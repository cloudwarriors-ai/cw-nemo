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All Issues" sheetId="2" r:id="rId5"/>
  </sheets>
  <definedNames>
    <definedName hidden="1" localSheetId="1" name="_xlnm._FilterDatabase">'All Issues'!$A$1:$T$841</definedName>
  </definedNames>
  <calcPr/>
  <extLst>
    <ext uri="GoogleSheetsCustomDataVersion2">
      <go:sheetsCustomData xmlns:go="http://customooxmlschemas.google.com/" r:id="rId6" roundtripDataChecksum="BsNexvvSuyd9efbS3aXcjpUvDn0fLTh3Y9P8Bu/pNN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======
ID#AAABw-KG0qQ
Rebecca Cichy    (2025-12-03 12:07:10)
Added for visibility, 3Dec25
------
ID#AAABw-KG0qU
Rebecca Cichy    (2025-12-03 12:07:19)
Msg'd Chad 3Dec25</t>
      </text>
    </comment>
    <comment authorId="0" ref="B15">
      <text>
        <t xml:space="preserve">======
ID#AAABw9tkMV4
Rebecca Cichy    (2025-12-03 12:05:47)
Added for visibility, 3Dec25
------
ID#AAABw-KG0qA
Rebecca Cichy    (2025-12-03 12:06:44)
Msg'd Chad 3Dec25</t>
      </text>
    </comment>
    <comment authorId="0" ref="B14">
      <text>
        <t xml:space="preserve">======
ID#AAABw9tkMV0
Rebecca Cichy    (2025-12-03 12:05:42)
Added for visibility, 3Dec25
------
ID#AAABw-KG0p8
Rebecca Cichy    (2025-12-03 12:06:34)
Msg'd Chad 3Dec25</t>
      </text>
    </comment>
  </commentList>
  <extLst>
    <ext uri="GoogleSheetsCustomDataVersion2">
      <go:sheetsCustomData xmlns:go="http://customooxmlschemas.google.com/" r:id="rId1" roundtripDataSignature="AMtx7miSkk53J0uRTptzz8AL+iiFgjpTrw=="/>
    </ext>
  </extLst>
</comments>
</file>

<file path=xl/sharedStrings.xml><?xml version="1.0" encoding="utf-8"?>
<sst xmlns="http://schemas.openxmlformats.org/spreadsheetml/2006/main" count="10476" uniqueCount="3868">
  <si>
    <t>GITHUB Issues Tracker</t>
  </si>
  <si>
    <t>Open Issues - Type</t>
  </si>
  <si>
    <t>Open Issues - Assignee</t>
  </si>
  <si>
    <r>
      <rPr>
        <rFont val="Calibri"/>
        <b/>
        <color rgb="FFFF0000"/>
      </rPr>
      <t>Date</t>
    </r>
    <r>
      <rPr>
        <rFont val="Calibri"/>
        <color rgb="FFFF0000"/>
      </rPr>
      <t>: 17Dec25 @ 10 AM EST</t>
    </r>
  </si>
  <si>
    <t>Date: 17Dec25 @ 10 AM EST</t>
  </si>
  <si>
    <t>Repository</t>
  </si>
  <si>
    <t>App Name</t>
  </si>
  <si>
    <t>Open</t>
  </si>
  <si>
    <t>Closed</t>
  </si>
  <si>
    <t>Total</t>
  </si>
  <si>
    <t>% Complete</t>
  </si>
  <si>
    <t>Change</t>
  </si>
  <si>
    <t>P1: Task</t>
  </si>
  <si>
    <t>P2:Bug</t>
  </si>
  <si>
    <t>P3: Features</t>
  </si>
  <si>
    <t>Not Specified</t>
  </si>
  <si>
    <t>Name</t>
  </si>
  <si>
    <t>Task Count</t>
  </si>
  <si>
    <t>Tes-BE</t>
  </si>
  <si>
    <t>Tes-FE</t>
  </si>
  <si>
    <t>Tes-Pl</t>
  </si>
  <si>
    <t>Rap</t>
  </si>
  <si>
    <t>RapFE</t>
  </si>
  <si>
    <t>PSO</t>
  </si>
  <si>
    <t>ZWar</t>
  </si>
  <si>
    <t>GIT</t>
  </si>
  <si>
    <t>ProPul</t>
  </si>
  <si>
    <t>AS</t>
  </si>
  <si>
    <t>ZWor</t>
  </si>
  <si>
    <t>Git RB</t>
  </si>
  <si>
    <t>Notes</t>
  </si>
  <si>
    <t>cloudwarriors-ai/Tesseract</t>
  </si>
  <si>
    <t>Tesseract - Backend</t>
  </si>
  <si>
    <t>↔️</t>
  </si>
  <si>
    <t>Voipin</t>
  </si>
  <si>
    <t>cloudwarriors-ai/tesseract-frontend</t>
  </si>
  <si>
    <t>Tesseract - Frontend</t>
  </si>
  <si>
    <t>Chaddacus</t>
  </si>
  <si>
    <t>cloudwarriors-ai/tesseract-platform</t>
  </si>
  <si>
    <t>Tessereact Platform</t>
  </si>
  <si>
    <t>⬆️</t>
  </si>
  <si>
    <t>trentcharlton</t>
  </si>
  <si>
    <t>cloudwarriors-ai/rapture</t>
  </si>
  <si>
    <t>MACD - Rapture</t>
  </si>
  <si>
    <t>Jeffrey-Searcy</t>
  </si>
  <si>
    <t>cloudwarriors-ai/rapture-frontend</t>
  </si>
  <si>
    <t>MACD - PSCX Frontend</t>
  </si>
  <si>
    <t>jvitato1</t>
  </si>
  <si>
    <t>cloudwarriors-ai/PSO-Quoting-Tool</t>
  </si>
  <si>
    <t>PSO Tool</t>
  </si>
  <si>
    <t>⬇️</t>
  </si>
  <si>
    <t>Matt-Keuning</t>
  </si>
  <si>
    <t>cloudwarriors-ai/zoomwarriors_2</t>
  </si>
  <si>
    <t>Zoom Warriors</t>
  </si>
  <si>
    <t>campbellayers</t>
  </si>
  <si>
    <t>cloudwarriors-ai/github_issues_tracker</t>
  </si>
  <si>
    <t>GitHub Issues Tracker</t>
  </si>
  <si>
    <t>rebecca-cichy</t>
  </si>
  <si>
    <t>cloudwarriors-ai/Project-Pulse</t>
  </si>
  <si>
    <t>Project Pulse</t>
  </si>
  <si>
    <t>DsuarezCW</t>
  </si>
  <si>
    <t>cloudwarriors-ai/automation-station</t>
  </si>
  <si>
    <t>Automation Station</t>
  </si>
  <si>
    <t>JStab7</t>
  </si>
  <si>
    <t>cloudwarriors-ai/codename_wad</t>
  </si>
  <si>
    <t>Zoom Workbook</t>
  </si>
  <si>
    <t>cloudwarriors-ai/github_review_build_test</t>
  </si>
  <si>
    <t>GitHub Review Build</t>
  </si>
  <si>
    <t>TOTALS</t>
  </si>
  <si>
    <t xml:space="preserve">FILL IN </t>
  </si>
  <si>
    <t>*Red Items require Manual Changes</t>
  </si>
  <si>
    <r>
      <rPr>
        <rFont val="Calibri"/>
        <b/>
        <color rgb="FFFF0000"/>
      </rPr>
      <t>Date</t>
    </r>
    <r>
      <rPr>
        <rFont val="Calibri"/>
        <color rgb="FFFF0000"/>
      </rPr>
      <t>: 10Dec25 @ 6 AM EST</t>
    </r>
  </si>
  <si>
    <t>Date: 10Dec25 @ 6 AM EST</t>
  </si>
  <si>
    <t>Chad</t>
  </si>
  <si>
    <t>Supp</t>
  </si>
  <si>
    <t>cloudwarriors-ai/chadwick</t>
  </si>
  <si>
    <t>Chadwick</t>
  </si>
  <si>
    <t>cloudwarriors-ai/support</t>
  </si>
  <si>
    <t>Support</t>
  </si>
  <si>
    <r>
      <rPr>
        <rFont val="Calibri"/>
        <b/>
        <color rgb="FFFF0000"/>
      </rPr>
      <t>Date</t>
    </r>
    <r>
      <rPr>
        <rFont val="Calibri"/>
        <color rgb="FFFF0000"/>
      </rPr>
      <t>: 3Dec25 @ 6 AM EST</t>
    </r>
  </si>
  <si>
    <t>Date: 3Dec25 @ 6 AM EST</t>
  </si>
  <si>
    <t>TesPl</t>
  </si>
  <si>
    <t>cloudwarriors-ai/zoom_presales_django</t>
  </si>
  <si>
    <t>sophiahooley-CW</t>
  </si>
  <si>
    <t>sara-ota-cw</t>
  </si>
  <si>
    <t>Tesseract Platform</t>
  </si>
  <si>
    <r>
      <rPr>
        <rFont val="Calibri"/>
        <b/>
        <color rgb="FFFF0000"/>
      </rPr>
      <t>Date</t>
    </r>
    <r>
      <rPr>
        <rFont val="Calibri"/>
        <color rgb="FFFF0000"/>
      </rPr>
      <t>: 26Nov25 @ 7 AM EST</t>
    </r>
  </si>
  <si>
    <t>Date: 26Nov25 @ 7 AM EST</t>
  </si>
  <si>
    <r>
      <rPr>
        <rFont val="Calibri"/>
        <b/>
        <color rgb="FFFF0000"/>
      </rPr>
      <t>Date</t>
    </r>
    <r>
      <rPr>
        <rFont val="Calibri"/>
        <color rgb="FFFF0000"/>
      </rPr>
      <t>: 19Nov25 @ 10 PM EST</t>
    </r>
  </si>
  <si>
    <t>Date: 19Nov25 @ 10 PM EST</t>
  </si>
  <si>
    <r>
      <rPr>
        <rFont val="Calibri"/>
        <b/>
        <color rgb="FFFF0000"/>
      </rPr>
      <t>Date</t>
    </r>
    <r>
      <rPr>
        <rFont val="Calibri"/>
        <color rgb="FFFF0000"/>
      </rPr>
      <t>: 15Oct25 @ 7 AM EST</t>
    </r>
  </si>
  <si>
    <t>Date: 15Oct25 @ 7 AM EST</t>
  </si>
  <si>
    <t>adamarnold-cpu</t>
  </si>
  <si>
    <r>
      <rPr>
        <rFont val="Calibri"/>
        <b/>
        <color rgb="FFFF0000"/>
      </rPr>
      <t>Date</t>
    </r>
    <r>
      <rPr>
        <rFont val="Calibri"/>
        <color rgb="FFFF0000"/>
      </rPr>
      <t>: 24Sep25 @ 7 AM EST</t>
    </r>
  </si>
  <si>
    <t>Date: 24Sep25 @ 7 AM EST</t>
  </si>
  <si>
    <t>Waterboy-TH</t>
  </si>
  <si>
    <r>
      <rPr>
        <rFont val="Calibri"/>
        <b/>
        <color rgb="FFFF0000"/>
        <sz val="11.0"/>
      </rPr>
      <t>Date</t>
    </r>
    <r>
      <rPr>
        <rFont val="Calibri"/>
        <color rgb="FFFF0000"/>
        <sz val="11.0"/>
      </rPr>
      <t>: 16Sep25 @ 8 PM EST</t>
    </r>
  </si>
  <si>
    <t>Date: 16Sep25 @ 8 PM EST</t>
  </si>
  <si>
    <t>ATribbleCW</t>
  </si>
  <si>
    <r>
      <rPr>
        <rFont val="Calibri"/>
        <b/>
        <color theme="1"/>
      </rPr>
      <t>Date</t>
    </r>
    <r>
      <rPr>
        <rFont val="Calibri"/>
        <color theme="1"/>
      </rPr>
      <t>: 30Jul25 @ 10 AM EST</t>
    </r>
  </si>
  <si>
    <t>Date: 30Jul25 @ 10 AM EST</t>
  </si>
  <si>
    <t>QAST</t>
  </si>
  <si>
    <t>MACD - Rapture Frontend</t>
  </si>
  <si>
    <t>cloudwarriors-ai/QA_Selenium_Tester</t>
  </si>
  <si>
    <t>QA Selenium Tester</t>
  </si>
  <si>
    <r>
      <rPr>
        <rFont val="Calibri"/>
        <b/>
        <color rgb="FF000000"/>
      </rPr>
      <t>Date</t>
    </r>
    <r>
      <rPr>
        <rFont val="Calibri"/>
        <color rgb="FF000000"/>
      </rPr>
      <t>: 23Jul25 @ 10 AM EST</t>
    </r>
  </si>
  <si>
    <t>Date: 23Jul25 @ 10 AM EST</t>
  </si>
  <si>
    <t>CWAS</t>
  </si>
  <si>
    <t>RapT</t>
  </si>
  <si>
    <t>abbyrien</t>
  </si>
  <si>
    <t>drake-lankford</t>
  </si>
  <si>
    <r>
      <rPr>
        <rFont val="Calibri"/>
        <b/>
        <color rgb="FF000000"/>
      </rPr>
      <t>Date</t>
    </r>
    <r>
      <rPr>
        <rFont val="Calibri"/>
        <color rgb="FF000000"/>
      </rPr>
      <t>: 16Jul25 @ 10 AM EST</t>
    </r>
  </si>
  <si>
    <t>Date: 16Jul25 @ 10 AM EST</t>
  </si>
  <si>
    <r>
      <rPr>
        <rFont val="Calibri"/>
        <b/>
        <color rgb="FF000000"/>
      </rPr>
      <t>Date</t>
    </r>
    <r>
      <rPr>
        <rFont val="Calibri"/>
        <color rgb="FF000000"/>
      </rPr>
      <t>: 9Jul25 @ 10 AM EST</t>
    </r>
  </si>
  <si>
    <t>Date: 9Jul25 @ 10 AM EST</t>
  </si>
  <si>
    <t>TesETL</t>
  </si>
  <si>
    <t>Tesseract</t>
  </si>
  <si>
    <t>dan-fellner</t>
  </si>
  <si>
    <r>
      <rPr>
        <rFont val="Calibri"/>
        <b/>
        <color rgb="FF000000"/>
      </rPr>
      <t>Date</t>
    </r>
    <r>
      <rPr>
        <rFont val="Calibri"/>
        <color rgb="FF000000"/>
      </rPr>
      <t>: 2Jul25 @ 10 AM EST</t>
    </r>
  </si>
  <si>
    <t>Date: 2Jul25 @ 10 AM EST</t>
  </si>
  <si>
    <t>p-ulap</t>
  </si>
  <si>
    <t>Date: 25Jun25 / 8 AM EST</t>
  </si>
  <si>
    <t>cloudwarriors-ai/cw-automation-station</t>
  </si>
  <si>
    <t>CW Automation Station</t>
  </si>
  <si>
    <t>cloudwarriors-ai/rapture_test</t>
  </si>
  <si>
    <t>Rapture Tests</t>
  </si>
  <si>
    <t>Date: 18Jun25 / 10 AM EST</t>
  </si>
  <si>
    <t>4-RapFE</t>
  </si>
  <si>
    <t>1-AS, 8-Rap, 12-RapFE</t>
  </si>
  <si>
    <t>1-AS, 1-ZW, 13-RapFE</t>
  </si>
  <si>
    <t xml:space="preserve">16-ZW, </t>
  </si>
  <si>
    <t>1-Rap, 7-ZW</t>
  </si>
  <si>
    <t>2-QAST</t>
  </si>
  <si>
    <t>10-ZW, 1-QAST</t>
  </si>
  <si>
    <r>
      <rPr>
        <rFont val="Calibri"/>
        <b/>
        <color theme="1"/>
      </rPr>
      <t>Date</t>
    </r>
    <r>
      <rPr>
        <rFont val="Calibri"/>
        <color theme="1"/>
      </rPr>
      <t>: 4Jun25 / 10 AM EST</t>
    </r>
  </si>
  <si>
    <r>
      <rPr>
        <rFont val="Calibri"/>
        <b/>
        <color theme="1"/>
      </rPr>
      <t>Date</t>
    </r>
    <r>
      <rPr>
        <rFont val="Calibri"/>
        <color theme="1"/>
      </rPr>
      <t>: 4Jun25 / 10 AM EST</t>
    </r>
  </si>
  <si>
    <t>voipin</t>
  </si>
  <si>
    <t>9-Rap, 10-RapFE</t>
  </si>
  <si>
    <t>1-AS, 2-ZW, 13-RapFE</t>
  </si>
  <si>
    <t>4-ZW</t>
  </si>
  <si>
    <t>1-Rap, 4-RapFE</t>
  </si>
  <si>
    <t>pollsduong</t>
  </si>
  <si>
    <r>
      <rPr>
        <rFont val="Calibri"/>
        <b/>
        <color theme="1"/>
      </rPr>
      <t>Date</t>
    </r>
    <r>
      <rPr>
        <rFont val="Calibri"/>
        <color theme="1"/>
      </rPr>
      <t>: 29May25 / 7AM EST</t>
    </r>
  </si>
  <si>
    <r>
      <rPr>
        <rFont val="Calibri"/>
        <b/>
        <color theme="1"/>
      </rPr>
      <t>Date:</t>
    </r>
    <r>
      <rPr>
        <rFont val="Calibri"/>
        <color theme="1"/>
      </rPr>
      <t xml:space="preserve"> 29May25 / 7AM EST</t>
    </r>
  </si>
  <si>
    <t>No Label</t>
  </si>
  <si>
    <t>9-Rap, 8-RapFE</t>
  </si>
  <si>
    <t>1-AS, 4-ZW, 10-RapFE</t>
  </si>
  <si>
    <r>
      <rPr>
        <rFont val="Calibri"/>
        <b/>
        <color theme="1"/>
      </rPr>
      <t>Date</t>
    </r>
    <r>
      <rPr>
        <rFont val="Calibri"/>
        <color theme="1"/>
      </rPr>
      <t>: 20May25 / 4PM EST</t>
    </r>
  </si>
  <si>
    <t>ttar-p</t>
  </si>
  <si>
    <t>mbuchowiec</t>
  </si>
  <si>
    <r>
      <rPr>
        <rFont val="Calibri"/>
        <b/>
        <color theme="1"/>
      </rPr>
      <t>Date</t>
    </r>
    <r>
      <rPr>
        <rFont val="Calibri"/>
        <color theme="1"/>
      </rPr>
      <t>: 14May25</t>
    </r>
  </si>
  <si>
    <t>Assignee Name</t>
  </si>
  <si>
    <t>Open Issues</t>
  </si>
  <si>
    <t>Closed Issues</t>
  </si>
  <si>
    <t>Total Issues</t>
  </si>
  <si>
    <r>
      <rPr>
        <rFont val="Calibri"/>
        <b/>
        <color theme="1"/>
      </rPr>
      <t>Date</t>
    </r>
    <r>
      <rPr>
        <rFont val="Calibri"/>
        <color theme="1"/>
      </rPr>
      <t>: 7May25</t>
    </r>
  </si>
  <si>
    <t>System</t>
  </si>
  <si>
    <t>Issue Number</t>
  </si>
  <si>
    <t>Title</t>
  </si>
  <si>
    <t>State</t>
  </si>
  <si>
    <t>Created At</t>
  </si>
  <si>
    <t>Created By</t>
  </si>
  <si>
    <t>Last Updated At</t>
  </si>
  <si>
    <t>Closed At</t>
  </si>
  <si>
    <t>Type</t>
  </si>
  <si>
    <t>Labels</t>
  </si>
  <si>
    <t>Assignees</t>
  </si>
  <si>
    <t>Comments Count</t>
  </si>
  <si>
    <t>URL</t>
  </si>
  <si>
    <t>Priority</t>
  </si>
  <si>
    <t>Skill</t>
  </si>
  <si>
    <t>Status</t>
  </si>
  <si>
    <t>Feature Request - new V1 Common Area user setting modifications</t>
  </si>
  <si>
    <t>closed</t>
  </si>
  <si>
    <t>2024-04-19T19:37:01Z</t>
  </si>
  <si>
    <t>jondejonghcw</t>
  </si>
  <si>
    <t>2025-06-12T15:34:16Z</t>
  </si>
  <si>
    <t>None</t>
  </si>
  <si>
    <t>https://github.com/cloudwarriors-ai/cw-automation-station/issues/26</t>
  </si>
  <si>
    <t>Feature Request - Enhance v1 Call Queue Overflow to include other destinations</t>
  </si>
  <si>
    <t>2024-04-19T19:34:00Z</t>
  </si>
  <si>
    <t>2025-06-12T15:34:24Z</t>
  </si>
  <si>
    <t>https://github.com/cloudwarriors-ai/cw-automation-station/issues/25</t>
  </si>
  <si>
    <t>Feature Request - Add Description Field in CSV files</t>
  </si>
  <si>
    <t>2024-04-19T19:31:25Z</t>
  </si>
  <si>
    <t>2025-06-12T15:34:30Z</t>
  </si>
  <si>
    <t>https://github.com/cloudwarriors-ai/cw-automation-station/issues/24</t>
  </si>
  <si>
    <t>Feature Request: Test Zoom generated SDK for Contact Center</t>
  </si>
  <si>
    <t>2024-02-12T17:13:38Z</t>
  </si>
  <si>
    <t>CkirkCW</t>
  </si>
  <si>
    <t>2025-06-12T15:35:05Z</t>
  </si>
  <si>
    <t>https://github.com/cloudwarriors-ai/cw-automation-station/issues/15</t>
  </si>
  <si>
    <t>Login Redirect Issue</t>
  </si>
  <si>
    <t>2024-01-31T14:54:44Z</t>
  </si>
  <si>
    <t>2024-02-12T21:29:16Z</t>
  </si>
  <si>
    <t>https://github.com/cloudwarriors-ai/cw-automation-station/issues/11</t>
  </si>
  <si>
    <t>Remote DB not adding new users to database at insert_into_database</t>
  </si>
  <si>
    <t>2024-01-30T17:30:00Z</t>
  </si>
  <si>
    <t>2025-06-12T15:34:58Z</t>
  </si>
  <si>
    <t>https://github.com/cloudwarriors-ai/cw-automation-station/issues/8</t>
  </si>
  <si>
    <t>Process_user_data possible infinite loop</t>
  </si>
  <si>
    <t>2024-01-30T17:27:06Z</t>
  </si>
  <si>
    <t>2024-05-07T20:53:49Z</t>
  </si>
  <si>
    <t>2024-01-30T20:57:01Z</t>
  </si>
  <si>
    <t>https://github.com/cloudwarriors-ai/cw-automation-station/issues/7</t>
  </si>
  <si>
    <t>phone call queue manager needs to get the manger ID to insert</t>
  </si>
  <si>
    <t>2024-01-23T20:58:08Z</t>
  </si>
  <si>
    <t>2025-06-12T15:34:52Z</t>
  </si>
  <si>
    <t>https://github.com/cloudwarriors-ai/cw-automation-station/issues/5</t>
  </si>
  <si>
    <t>call_queue member doesn't work , missing data</t>
  </si>
  <si>
    <t>2024-01-23T20:57:19Z</t>
  </si>
  <si>
    <t>2025-06-12T15:34:46Z</t>
  </si>
  <si>
    <t>https://github.com/cloudwarriors-ai/cw-automation-station/issues/4</t>
  </si>
  <si>
    <t>Validation button/alerts</t>
  </si>
  <si>
    <t>2024-01-22T20:00:06Z</t>
  </si>
  <si>
    <t>2025-06-12T15:34:39Z</t>
  </si>
  <si>
    <t>https://github.com/cloudwarriors-ai/cw-automation-station/issues/3</t>
  </si>
  <si>
    <t>User email redirection - update zoom OAUTH not redirecting to index</t>
  </si>
  <si>
    <t>2024-01-19T22:15:23Z</t>
  </si>
  <si>
    <t>2024-01-19T22:22:10Z</t>
  </si>
  <si>
    <t>https://github.com/cloudwarriors-ai/cw-automation-station/issues/2</t>
  </si>
  <si>
    <t>Check for file before upload button is functional</t>
  </si>
  <si>
    <t>2024-01-17T18:45:10Z</t>
  </si>
  <si>
    <t>2024-01-30T20:57:16Z</t>
  </si>
  <si>
    <t>2024-01-30T20:57:15Z</t>
  </si>
  <si>
    <t>https://github.com/cloudwarriors-ai/cw-automation-station/issues/1</t>
  </si>
  <si>
    <t>Zoom Phone - Need to have the option to add extra e911 zones</t>
  </si>
  <si>
    <t>2025-04-08T18:50:21Z</t>
  </si>
  <si>
    <t>2025-07-11T21:07:52Z</t>
  </si>
  <si>
    <t>2025-04-08T18:55:46Z</t>
  </si>
  <si>
    <t>https://github.com/cloudwarriors-ai/automation-station/issues/58</t>
  </si>
  <si>
    <t>SLA not being correctly pulled when job is created</t>
  </si>
  <si>
    <t>2025-02-26T14:00:38Z</t>
  </si>
  <si>
    <t>2025-07-11T21:07:54Z</t>
  </si>
  <si>
    <t>2025-06-12T15:13:33Z</t>
  </si>
  <si>
    <t>https://github.com/cloudwarriors-ai/automation-station/issues/55</t>
  </si>
  <si>
    <t>List jobs need to be exempt from SLA</t>
  </si>
  <si>
    <t>2025-02-26T13:59:26Z</t>
  </si>
  <si>
    <t>2025-07-11T21:07:55Z</t>
  </si>
  <si>
    <t>2025-06-12T15:14:11Z</t>
  </si>
  <si>
    <t>https://github.com/cloudwarriors-ai/automation-station/issues/54</t>
  </si>
  <si>
    <t>Jobs not properly moving between tables based on status</t>
  </si>
  <si>
    <t>2025-02-26T13:58:07Z</t>
  </si>
  <si>
    <t>2025-06-12T15:19:19Z</t>
  </si>
  <si>
    <t>https://github.com/cloudwarriors-ai/automation-station/issues/53</t>
  </si>
  <si>
    <t>Job Page - Rework/Touch Up</t>
  </si>
  <si>
    <t>open</t>
  </si>
  <si>
    <t>2025-02-26T13:56:48Z</t>
  </si>
  <si>
    <t>2025-12-03T11:34:20Z</t>
  </si>
  <si>
    <t>Feature</t>
  </si>
  <si>
    <t>PRIORITY: Low, SKILL: Low, STATUS: In Progress</t>
  </si>
  <si>
    <t>https://github.com/cloudwarriors-ai/automation-station/issues/52</t>
  </si>
  <si>
    <t>Logging</t>
  </si>
  <si>
    <t>2025-01-21T21:17:10Z</t>
  </si>
  <si>
    <t>PittyG</t>
  </si>
  <si>
    <t>2025-07-11T21:08:06Z</t>
  </si>
  <si>
    <t>2025-02-07T15:45:49Z</t>
  </si>
  <si>
    <t>https://github.com/cloudwarriors-ai/automation-station/issues/38</t>
  </si>
  <si>
    <t>Add a send function after celery has completed a job that routes the results to the frontend</t>
  </si>
  <si>
    <t>2025-01-21T16:37:37Z</t>
  </si>
  <si>
    <t>2025-07-11T21:08:07Z</t>
  </si>
  <si>
    <t>https://github.com/cloudwarriors-ai/automation-station/issues/37</t>
  </si>
  <si>
    <t>Fix the CSRF Token Authentication to a True Token Authentication System</t>
  </si>
  <si>
    <t>2025-01-21T16:34:03Z</t>
  </si>
  <si>
    <t>2025-07-16T16:18:24Z</t>
  </si>
  <si>
    <t>PRIORITY: Medium, SKILL: Medium, STATUS: In Progress</t>
  </si>
  <si>
    <t>https://github.com/cloudwarriors-ai/automation-station/issues/36</t>
  </si>
  <si>
    <t>ZoomWarriors v1</t>
  </si>
  <si>
    <t>[CAB] Data Cleanup Refactor - Comprehensive Reset Approach</t>
  </si>
  <si>
    <t>2025-08-25T13:54:11Z</t>
  </si>
  <si>
    <t>2025-09-05T18:42:53Z</t>
  </si>
  <si>
    <t>https://github.com/cloudwarriors-ai/zoom_presales_django/issues/432</t>
  </si>
  <si>
    <t>[CAB] UI Bundle Fix For CAB - Multiple UI Improvements</t>
  </si>
  <si>
    <t>2025-08-22T18:49:09Z</t>
  </si>
  <si>
    <t>2025-09-05T18:42:39Z</t>
  </si>
  <si>
    <t>voipin, Chaddacus, trentcharlton</t>
  </si>
  <si>
    <t>https://github.com/cloudwarriors-ai/zoom_presales_django/issues/431</t>
  </si>
  <si>
    <t>[CAB] zoom_presales_django – Form logic + data-cleanup fixes</t>
  </si>
  <si>
    <t>2025-08-17T18:41:57Z</t>
  </si>
  <si>
    <t>2025-09-19T03:29:21Z</t>
  </si>
  <si>
    <t>2025-09-05T18:42:30Z</t>
  </si>
  <si>
    <t>https://github.com/cloudwarriors-ai/zoom_presales_django/issues/427</t>
  </si>
  <si>
    <t>Zoom Phone Paging - Page Separation Appearance</t>
  </si>
  <si>
    <t>2025-08-13T18:05:04Z</t>
  </si>
  <si>
    <t>2025-09-05T18:42:06Z</t>
  </si>
  <si>
    <t>Bug</t>
  </si>
  <si>
    <t>PRIORITY: Low, SKILL: Low, STATUS: QA Passed - Awaiting Release</t>
  </si>
  <si>
    <t>https://github.com/cloudwarriors-ai/zoom_presales_django/issues/424</t>
  </si>
  <si>
    <t>Zoom Phone Harware Page - Remove Baseline Slider</t>
  </si>
  <si>
    <t>2025-08-06T19:08:37Z</t>
  </si>
  <si>
    <t>2025-09-05T18:41:59Z</t>
  </si>
  <si>
    <t>Task</t>
  </si>
  <si>
    <t>PRIORITY: Low, SKILL: Low, STATUS: Released to Prod</t>
  </si>
  <si>
    <t>https://github.com/cloudwarriors-ai/zoom_presales_django/issues/422</t>
  </si>
  <si>
    <t>Edit Previous Customer Quote Functionality - Saving Previously Entered Data</t>
  </si>
  <si>
    <t>2025-08-05T16:40:25Z</t>
  </si>
  <si>
    <t>2025-09-05T18:41:50Z</t>
  </si>
  <si>
    <t>PRIORITY: High, SKILL: Medium, STATUS: Released to Prod</t>
  </si>
  <si>
    <t>https://github.com/cloudwarriors-ai/zoom_presales_django/issues/418</t>
  </si>
  <si>
    <t>Align Toggle Buttons - Zoom Phone SBC &amp; PBX - ZW Dev</t>
  </si>
  <si>
    <t>2025-07-14T16:50:52Z</t>
  </si>
  <si>
    <t>2025-07-31T21:29:51Z</t>
  </si>
  <si>
    <t>PRIORITY: Low, SKILL: Low, STATUS: Update in v2.0</t>
  </si>
  <si>
    <t>https://github.com/cloudwarriors-ai/zoom_presales_django/issues/407</t>
  </si>
  <si>
    <t>Zoom Contact Center Page - Social Media (Flows, Queues, Surveys, Database Dips) Not Saving - ZW Dev</t>
  </si>
  <si>
    <t>2025-07-14T13:16:46Z</t>
  </si>
  <si>
    <t>2025-08-22T00:37:50Z</t>
  </si>
  <si>
    <t>2025-08-11T20:45:47Z</t>
  </si>
  <si>
    <t>https://github.com/cloudwarriors-ai/zoom_presales_django/issues/406</t>
  </si>
  <si>
    <t>Remove Drop Down Arrow (SSO Type, SSO Authentication Method) - Zoom Phone &amp; Contact Center Custom Additions Page - ZW Dev</t>
  </si>
  <si>
    <t>2025-07-14T12:56:09Z</t>
  </si>
  <si>
    <t>2025-08-18T19:55:38Z</t>
  </si>
  <si>
    <t>https://github.com/cloudwarriors-ai/zoom_presales_django/issues/405</t>
  </si>
  <si>
    <t>Trivial Horizontal Scroll Bar - Zoom Phone Hardware Page - Zoom Warriors (DEV)</t>
  </si>
  <si>
    <t>2025-07-14T12:18:24Z</t>
  </si>
  <si>
    <t>2025-07-31T22:39:09Z</t>
  </si>
  <si>
    <t>2025-07-14T16:56:20Z</t>
  </si>
  <si>
    <t>https://github.com/cloudwarriors-ai/zoom_presales_django/issues/404</t>
  </si>
  <si>
    <t>Zoom Warriors Production site: Paging Configuration page split up</t>
  </si>
  <si>
    <t>2025-07-11T20:08:59Z</t>
  </si>
  <si>
    <t>2025-09-05T18:41:39Z</t>
  </si>
  <si>
    <t>https://github.com/cloudwarriors-ai/zoom_presales_django/issues/403</t>
  </si>
  <si>
    <t>Missing Drop Down Fields in Paging Configuration (DEV)</t>
  </si>
  <si>
    <t>2025-07-11T18:58:06Z</t>
  </si>
  <si>
    <t>2025-07-15T17:03:47Z</t>
  </si>
  <si>
    <t>PRIORITY: High, STATUS: Dev Complete - Awaiting QA</t>
  </si>
  <si>
    <t>https://github.com/cloudwarriors-ai/zoom_presales_django/issues/401</t>
  </si>
  <si>
    <t>Phone Number Validation on Company Order page - BUG</t>
  </si>
  <si>
    <t>2025-07-11T15:27:52Z</t>
  </si>
  <si>
    <t>2025-07-31T22:39:08Z</t>
  </si>
  <si>
    <t>2025-07-15T17:05:30Z</t>
  </si>
  <si>
    <t>STATUS: Dev Complete - Awaiting QA</t>
  </si>
  <si>
    <t>https://github.com/cloudwarriors-ai/zoom_presales_django/issues/400</t>
  </si>
  <si>
    <t>Deployment Overview - 'Go-Live Date' goes back in time</t>
  </si>
  <si>
    <t>2025-07-10T06:33:32Z</t>
  </si>
  <si>
    <t>2025-09-05T18:41:29Z</t>
  </si>
  <si>
    <t>https://github.com/cloudwarriors-ai/zoom_presales_django/issues/398</t>
  </si>
  <si>
    <t>Zoom Contact Center Page - Channel Toggles NOT Working (on Mac)</t>
  </si>
  <si>
    <t>2025-07-10T06:29:22Z</t>
  </si>
  <si>
    <t>2025-07-15T17:43:02Z</t>
  </si>
  <si>
    <t>https://github.com/cloudwarriors-ai/zoom_presales_django/issues/397</t>
  </si>
  <si>
    <t>Zoom Phone Locations Page - Capping Total Countries</t>
  </si>
  <si>
    <t>2025-07-10T06:10:15Z</t>
  </si>
  <si>
    <t>2025-09-05T18:41:17Z</t>
  </si>
  <si>
    <t>https://github.com/cloudwarriors-ai/zoom_presales_django/issues/396</t>
  </si>
  <si>
    <t>Zoom Phone Licenses - Duplicate Fields Allowed</t>
  </si>
  <si>
    <t>2025-07-10T06:05:39Z</t>
  </si>
  <si>
    <t>2025-09-05T18:40:49Z</t>
  </si>
  <si>
    <t>PRIORITY: Low, SKILL: Medium, STATUS: Released to Prod</t>
  </si>
  <si>
    <t>https://github.com/cloudwarriors-ai/zoom_presales_django/issues/395</t>
  </si>
  <si>
    <t>Tool Tip - Customer Information Page UI Enhancement</t>
  </si>
  <si>
    <t>2025-07-10T06:03:16Z</t>
  </si>
  <si>
    <t>2025-09-05T18:40:40Z</t>
  </si>
  <si>
    <t>https://github.com/cloudwarriors-ai/zoom_presales_django/issues/394</t>
  </si>
  <si>
    <t>Add Button for 'Superusers' to go to Cloud Warriors Cost w/o Margin Page</t>
  </si>
  <si>
    <t>2025-07-09T21:06:22Z</t>
  </si>
  <si>
    <t>2025-09-05T18:40:23Z</t>
  </si>
  <si>
    <t>https://github.com/cloudwarriors-ai/zoom_presales_django/issues/393</t>
  </si>
  <si>
    <t>Discount Button - Add Discount Button in Django to Modify Quotes in Orders</t>
  </si>
  <si>
    <t>2025-07-09T21:00:11Z</t>
  </si>
  <si>
    <t>2025-07-31T21:12:53Z</t>
  </si>
  <si>
    <t>PRIORITY: Medium, SKILL: Low, STATUS: Update in v2.0</t>
  </si>
  <si>
    <t>https://github.com/cloudwarriors-ai/zoom_presales_django/issues/392</t>
  </si>
  <si>
    <t>Zoom Warriors Dev Site: "Zoom Phone Paging Configuration" Page Unresponsive Buttons</t>
  </si>
  <si>
    <t>2025-07-08T20:11:19Z</t>
  </si>
  <si>
    <t>2025-07-11T16:07:43Z</t>
  </si>
  <si>
    <t>https://github.com/cloudwarriors-ai/zoom_presales_django/issues/391</t>
  </si>
  <si>
    <t>ZCC zoom contact center input not updating</t>
  </si>
  <si>
    <t>2025-07-08T13:51:25Z</t>
  </si>
  <si>
    <t>2025-07-31T18:45:27Z</t>
  </si>
  <si>
    <t>SKILL: Medium, STATUS: Follow-Up Required</t>
  </si>
  <si>
    <t>https://github.com/cloudwarriors-ai/zoom_presales_django/issues/390</t>
  </si>
  <si>
    <t>Tool Tip Change - Zoom Phone Paging Configuration</t>
  </si>
  <si>
    <t>2025-06-26T18:55:37Z</t>
  </si>
  <si>
    <t>Drake-Lankford</t>
  </si>
  <si>
    <t>2025-09-26T14:48:16Z</t>
  </si>
  <si>
    <t>2025-06-30T18:30:20Z</t>
  </si>
  <si>
    <t>https://github.com/cloudwarriors-ai/zoom_presales_django/issues/388</t>
  </si>
  <si>
    <t>TEST - Change Color to Blue &amp; White</t>
  </si>
  <si>
    <t>2025-06-26T16:02:59Z</t>
  </si>
  <si>
    <t>2025-07-31T22:39:07Z</t>
  </si>
  <si>
    <t>2025-06-26T17:03:28Z</t>
  </si>
  <si>
    <t>https://github.com/cloudwarriors-ai/zoom_presales_django/issues/387</t>
  </si>
  <si>
    <t>SOW Issue - SOW Number Naming Convention</t>
  </si>
  <si>
    <t>2025-06-26T10:46:49Z</t>
  </si>
  <si>
    <t>2025-06-26T12:04:05Z</t>
  </si>
  <si>
    <t>https://github.com/cloudwarriors-ai/zoom_presales_django/issues/386</t>
  </si>
  <si>
    <t>Tool Tip - ZCC Page - Spell out # on Bubble</t>
  </si>
  <si>
    <t>2025-06-25T21:03:24Z</t>
  </si>
  <si>
    <t>2025-07-11T20:59:52Z</t>
  </si>
  <si>
    <t>2025-06-25T21:04:20Z</t>
  </si>
  <si>
    <t>https://github.com/cloudwarriors-ai/zoom_presales_django/issues/385</t>
  </si>
  <si>
    <t>Tool Tip Change - ZCC Page - #</t>
  </si>
  <si>
    <t>2025-06-25T21:01:27Z</t>
  </si>
  <si>
    <t>2025-09-26T14:48:15Z</t>
  </si>
  <si>
    <t>2025-06-26T12:05:01Z</t>
  </si>
  <si>
    <t>https://github.com/cloudwarriors-ai/zoom_presales_django/issues/384</t>
  </si>
  <si>
    <t>Tool Tip Change - ZCC Page - Bubble Size</t>
  </si>
  <si>
    <t>2025-06-25T20:58:34Z</t>
  </si>
  <si>
    <t>2025-06-26T12:04:44Z</t>
  </si>
  <si>
    <t>https://github.com/cloudwarriors-ai/zoom_presales_django/issues/383</t>
  </si>
  <si>
    <t>Tool Tip Change - ZCC Page</t>
  </si>
  <si>
    <t>2025-06-25T20:56:58Z</t>
  </si>
  <si>
    <t>2025-09-05T18:40:13Z</t>
  </si>
  <si>
    <t>https://github.com/cloudwarriors-ai/zoom_presales_django/issues/382</t>
  </si>
  <si>
    <t>Zoom Contact Center Page- Delete Price on Bubble</t>
  </si>
  <si>
    <t>2025-06-25T20:55:32Z</t>
  </si>
  <si>
    <t>2025-09-26T14:48:14Z</t>
  </si>
  <si>
    <t>2025-06-25T21:06:43Z</t>
  </si>
  <si>
    <t>https://github.com/cloudwarriors-ai/zoom_presales_django/issues/381</t>
  </si>
  <si>
    <t>ZP &amp; ZCC Custom Additions Page - SAML Format</t>
  </si>
  <si>
    <t>2025-06-25T20:52:01Z</t>
  </si>
  <si>
    <t>2025-09-05T18:40:03Z</t>
  </si>
  <si>
    <t>https://github.com/cloudwarriors-ai/zoom_presales_django/issues/380</t>
  </si>
  <si>
    <t>Tool Tip Change - ZP &amp; ZCC Custom Additions Page</t>
  </si>
  <si>
    <t>2025-06-25T20:48:27Z</t>
  </si>
  <si>
    <t>2025-07-14T19:55:42Z</t>
  </si>
  <si>
    <t>PRIORITY: Low, TYPE: Duplicate</t>
  </si>
  <si>
    <t>https://github.com/cloudwarriors-ai/zoom_presales_django/issues/379</t>
  </si>
  <si>
    <t>Zoom Phone &amp; Contact Center Custom Additions Page- Delete Prices for CTI Integration</t>
  </si>
  <si>
    <t>2025-06-25T20:43:46Z</t>
  </si>
  <si>
    <t>2025-06-25T21:07:09Z</t>
  </si>
  <si>
    <t>https://github.com/cloudwarriors-ai/zoom_presales_django/issues/378</t>
  </si>
  <si>
    <t>Tool Tip Change - ZP SBC &amp; PBX Page - PBX Explanation</t>
  </si>
  <si>
    <t>2025-06-25T20:38:42Z</t>
  </si>
  <si>
    <t>2025-09-26T14:48:13Z</t>
  </si>
  <si>
    <t>2025-06-26T12:04:27Z</t>
  </si>
  <si>
    <t>https://github.com/cloudwarriors-ai/zoom_presales_django/issues/377</t>
  </si>
  <si>
    <t>ZP SBC &amp; PBX Page - Adjust Page Structure To Toggle On/Off &amp; Expansions</t>
  </si>
  <si>
    <t>2025-06-25T20:36:51Z</t>
  </si>
  <si>
    <t>2025-08-18T19:41:32Z</t>
  </si>
  <si>
    <t>https://github.com/cloudwarriors-ai/zoom_presales_django/issues/376</t>
  </si>
  <si>
    <t>Tool Tip Change - ZP SBC &amp; PBX Page</t>
  </si>
  <si>
    <t>2025-06-25T20:34:37Z</t>
  </si>
  <si>
    <t>2025-09-05T18:39:53Z</t>
  </si>
  <si>
    <t>https://github.com/cloudwarriors-ai/zoom_presales_django/issues/375</t>
  </si>
  <si>
    <t>ZP SBC &amp; PBX Page - Does Not Save When You Review &amp; Edit</t>
  </si>
  <si>
    <t>2025-06-25T20:32:02Z</t>
  </si>
  <si>
    <t>2025-08-22T00:38:44Z</t>
  </si>
  <si>
    <t>2025-08-11T20:33:33Z</t>
  </si>
  <si>
    <t>https://github.com/cloudwarriors-ai/zoom_presales_django/issues/374</t>
  </si>
  <si>
    <t>ZP Paging Hardware Page - Increase Font Size</t>
  </si>
  <si>
    <t>2025-06-25T20:28:00Z</t>
  </si>
  <si>
    <t>2025-07-15T17:06:54Z</t>
  </si>
  <si>
    <t>PRIORITY: Low, STATUS: Dev Complete - Awaiting QA</t>
  </si>
  <si>
    <t>https://github.com/cloudwarriors-ai/zoom_presales_django/issues/373</t>
  </si>
  <si>
    <t>Tool Tip Addition - ZP Features (ATA) Page</t>
  </si>
  <si>
    <t>2025-06-25T20:25:54Z</t>
  </si>
  <si>
    <t>2025-09-05T18:39:42Z</t>
  </si>
  <si>
    <t>https://github.com/cloudwarriors-ai/zoom_presales_django/issues/372</t>
  </si>
  <si>
    <t>ZP Features Page - Format Change</t>
  </si>
  <si>
    <t>2025-06-25T20:15:59Z</t>
  </si>
  <si>
    <t>2025-09-26T14:48:12Z</t>
  </si>
  <si>
    <t>2025-06-27T19:39:59Z</t>
  </si>
  <si>
    <t>https://github.com/cloudwarriors-ai/zoom_presales_django/issues/371</t>
  </si>
  <si>
    <t>ZP Locations Page - Format Change</t>
  </si>
  <si>
    <t>2025-06-25T20:12:45Z</t>
  </si>
  <si>
    <t>2025-07-15T17:41:49Z</t>
  </si>
  <si>
    <t>PRIORITY: Medium, STATUS: Dev Complete - Awaiting QA</t>
  </si>
  <si>
    <t>https://github.com/cloudwarriors-ai/zoom_presales_django/issues/370</t>
  </si>
  <si>
    <t>Tool Tip Change - ZP Locations Page</t>
  </si>
  <si>
    <t>2025-06-25T20:03:24Z</t>
  </si>
  <si>
    <t>2025-09-05T18:39:33Z</t>
  </si>
  <si>
    <t>https://github.com/cloudwarriors-ai/zoom_presales_django/issues/369</t>
  </si>
  <si>
    <t>Zoom Page Locations Page- Delete Cost Bubble for E911</t>
  </si>
  <si>
    <t>2025-06-25T19:53:58Z</t>
  </si>
  <si>
    <t>2025-06-25T21:14:44Z</t>
  </si>
  <si>
    <t>https://github.com/cloudwarriors-ai/zoom_presales_django/issues/368</t>
  </si>
  <si>
    <t>ZP Locations Page- UI Enhancement for E911 Zone Field</t>
  </si>
  <si>
    <t>2025-06-25T19:45:08Z</t>
  </si>
  <si>
    <t>2025-09-26T14:48:11Z</t>
  </si>
  <si>
    <t>2025-07-15T17:44:35Z</t>
  </si>
  <si>
    <t>https://github.com/cloudwarriors-ai/zoom_presales_django/issues/367</t>
  </si>
  <si>
    <t>Tool Tip Addition - ZP Locations Page - Small Site Explanation</t>
  </si>
  <si>
    <t>2025-06-25T19:42:55Z</t>
  </si>
  <si>
    <t>2025-08-28T19:17:33Z</t>
  </si>
  <si>
    <t>https://github.com/cloudwarriors-ai/zoom_presales_django/issues/366</t>
  </si>
  <si>
    <t>SOW Issue - "Training Session" Addition to ZP</t>
  </si>
  <si>
    <t>2025-06-25T19:37:18Z</t>
  </si>
  <si>
    <t>2025-06-27T19:42:59Z</t>
  </si>
  <si>
    <t>https://github.com/cloudwarriors-ai/zoom_presales_django/issues/365</t>
  </si>
  <si>
    <t>ZP License Types Page - Spelling Error</t>
  </si>
  <si>
    <t>2025-06-25T19:07:46Z</t>
  </si>
  <si>
    <t>PRIORITY: Medium, SKILL: Low, STATUS: QA Passed - Awaiting Release</t>
  </si>
  <si>
    <t>https://github.com/cloudwarriors-ai/zoom_presales_django/issues/364</t>
  </si>
  <si>
    <t>Tool Tip Change - ZP License Page</t>
  </si>
  <si>
    <t>2025-06-25T19:03:41Z</t>
  </si>
  <si>
    <t>2025-08-28T19:17:34Z</t>
  </si>
  <si>
    <t>https://github.com/cloudwarriors-ai/zoom_presales_django/issues/363</t>
  </si>
  <si>
    <t>Tool Tip Change - Customer Information Page</t>
  </si>
  <si>
    <t>2025-06-25T18:53:25Z</t>
  </si>
  <si>
    <t>2025-08-06T18:30:10Z</t>
  </si>
  <si>
    <t>https://github.com/cloudwarriors-ai/zoom_presales_django/issues/362</t>
  </si>
  <si>
    <t>Tool Tip Change - Customer Information Page - Diction Change</t>
  </si>
  <si>
    <t>2025-06-25T18:49:33Z</t>
  </si>
  <si>
    <t>2025-09-05T18:39:21Z</t>
  </si>
  <si>
    <t>https://github.com/cloudwarriors-ai/zoom_presales_django/issues/361</t>
  </si>
  <si>
    <t>ZP &amp; ZCC Custom Additions - Add Zoom Marketplace Hyperlink</t>
  </si>
  <si>
    <t>2025-06-25T11:44:09Z</t>
  </si>
  <si>
    <t>2025-08-04T18:11:19Z</t>
  </si>
  <si>
    <t>https://github.com/cloudwarriors-ai/zoom_presales_django/issues/360</t>
  </si>
  <si>
    <t>ZP SBC &amp; PBX - Explain SBC like PBX</t>
  </si>
  <si>
    <t>2025-06-25T11:42:19Z</t>
  </si>
  <si>
    <t>2025-08-06T19:07:05Z</t>
  </si>
  <si>
    <t>https://github.com/cloudwarriors-ai/zoom_presales_django/issues/359</t>
  </si>
  <si>
    <t>ZP Hardware - Increase Text Size on this Page</t>
  </si>
  <si>
    <t>2025-06-25T11:39:37Z</t>
  </si>
  <si>
    <t>2025-07-31T22:39:05Z</t>
  </si>
  <si>
    <t>2025-07-11T16:53:07Z</t>
  </si>
  <si>
    <t>https://github.com/cloudwarriors-ai/zoom_presales_django/issues/358</t>
  </si>
  <si>
    <t>ZP Features Page - Spell out ATA</t>
  </si>
  <si>
    <t>2025-06-25T11:37:34Z</t>
  </si>
  <si>
    <t>2025-09-05T18:39:10Z</t>
  </si>
  <si>
    <t>https://github.com/cloudwarriors-ai/zoom_presales_django/issues/357</t>
  </si>
  <si>
    <t>Tool Tip Change - Remove Pricing $</t>
  </si>
  <si>
    <t>2025-06-25T11:29:22Z</t>
  </si>
  <si>
    <t>2025-09-26T14:48:10Z</t>
  </si>
  <si>
    <t>2025-06-30T07:22:24Z</t>
  </si>
  <si>
    <t>https://github.com/cloudwarriors-ai/zoom_presales_django/issues/356</t>
  </si>
  <si>
    <t>Update / Train BOT Capability</t>
  </si>
  <si>
    <t>2025-06-25T03:55:10Z</t>
  </si>
  <si>
    <t>2025-09-05T18:38:45Z</t>
  </si>
  <si>
    <t>PRIORITY: Low, SKILL: Medium, STATUS: Update in v2.0</t>
  </si>
  <si>
    <t>https://github.com/cloudwarriors-ai/zoom_presales_django/issues/355</t>
  </si>
  <si>
    <t>SOW Issue - Generate SOW # On Page 1</t>
  </si>
  <si>
    <t>2025-06-24T18:26:16Z</t>
  </si>
  <si>
    <t>2025-06-27T01:07:31Z</t>
  </si>
  <si>
    <t>https://github.com/cloudwarriors-ai/zoom_presales_django/issues/354</t>
  </si>
  <si>
    <t>SOW Issue - Add Contact Info (Email) to Line - CW PSO Rep Name</t>
  </si>
  <si>
    <t>2025-06-24T18:23:58Z</t>
  </si>
  <si>
    <t>2025-07-31T21:26:19Z</t>
  </si>
  <si>
    <t>https://github.com/cloudwarriors-ai/zoom_presales_django/issues/353</t>
  </si>
  <si>
    <t>Pricing - ZP Locations Change Foreign Port Request from $500 to $1500</t>
  </si>
  <si>
    <t>2025-06-18T21:11:01Z</t>
  </si>
  <si>
    <t>2025-09-26T14:48:09Z</t>
  </si>
  <si>
    <t>2025-06-30T16:28:34Z</t>
  </si>
  <si>
    <t>https://github.com/cloudwarriors-ai/zoom_presales_django/issues/352</t>
  </si>
  <si>
    <t>ZP Features Page - Highlight 'TOTAL' before Auto Receptionist &amp; Call Queue</t>
  </si>
  <si>
    <t>2025-06-18T21:08:21Z</t>
  </si>
  <si>
    <t>2025-06-27T01:00:03Z</t>
  </si>
  <si>
    <t>https://github.com/cloudwarriors-ai/zoom_presales_django/issues/351</t>
  </si>
  <si>
    <t>ZCC Page - Form Validation for Instances &amp; Agent/Supervisors</t>
  </si>
  <si>
    <t>2025-06-18T19:58:27Z</t>
  </si>
  <si>
    <t>2025-07-11T17:02:21Z</t>
  </si>
  <si>
    <t>https://github.com/cloudwarriors-ai/zoom_presales_django/issues/350</t>
  </si>
  <si>
    <t>ZP Location Page - Form Validation, Must include at least one Site</t>
  </si>
  <si>
    <t>2025-06-18T19:56:58Z</t>
  </si>
  <si>
    <t>2025-07-11T17:04:42Z</t>
  </si>
  <si>
    <t>https://github.com/cloudwarriors-ai/zoom_presales_django/issues/349</t>
  </si>
  <si>
    <t>Implement backend pricing breakdown</t>
  </si>
  <si>
    <t>2025-06-18T17:24:34Z</t>
  </si>
  <si>
    <t>2025-07-31T22:39:04Z</t>
  </si>
  <si>
    <t>2025-06-24T15:25:26Z</t>
  </si>
  <si>
    <t>rebecca-cichy, jvitato1</t>
  </si>
  <si>
    <t>https://github.com/cloudwarriors-ai/zoom_presales_django/issues/348</t>
  </si>
  <si>
    <t>Remove Preview Quote Function</t>
  </si>
  <si>
    <t>2025-06-13T21:48:37Z</t>
  </si>
  <si>
    <t>2025-06-24T15:28:08Z</t>
  </si>
  <si>
    <t>https://github.com/cloudwarriors-ai/zoom_presales_django/issues/346</t>
  </si>
  <si>
    <t>SOW Issue - ZP Locations  Page - Extra E911 Zones Not Included in SOW</t>
  </si>
  <si>
    <t>2025-06-13T17:57:54Z</t>
  </si>
  <si>
    <t>2025-07-11T17:10:51Z</t>
  </si>
  <si>
    <t>https://github.com/cloudwarriors-ai/zoom_presales_django/issues/345</t>
  </si>
  <si>
    <t>Add Preview Page Button</t>
  </si>
  <si>
    <t>2025-06-13T16:47:54Z</t>
  </si>
  <si>
    <t>2025-09-26T14:48:08Z</t>
  </si>
  <si>
    <t>2025-06-18T21:15:46Z</t>
  </si>
  <si>
    <t>https://github.com/cloudwarriors-ai/zoom_presales_django/issues/344</t>
  </si>
  <si>
    <t>Pricing - ZCC Logic Impacted when changing the # of Agents &amp; Supervisors</t>
  </si>
  <si>
    <t>2025-06-12T21:15:08Z</t>
  </si>
  <si>
    <t>2025-09-26T14:48:07Z</t>
  </si>
  <si>
    <t>2025-06-30T16:29:27Z</t>
  </si>
  <si>
    <t>https://github.com/cloudwarriors-ai/zoom_presales_django/issues/342</t>
  </si>
  <si>
    <t>Create QA Account for Testing</t>
  </si>
  <si>
    <t>2025-06-11T19:27:16Z</t>
  </si>
  <si>
    <t>2025-06-11T20:17:29Z</t>
  </si>
  <si>
    <t>https://github.com/cloudwarriors-ai/zoom_presales_django/issues/341</t>
  </si>
  <si>
    <t>ZP License Type Page - Ability to Add Negative License Qty</t>
  </si>
  <si>
    <t>2025-06-10T21:19:05Z</t>
  </si>
  <si>
    <t>2025-06-30T07:29:59Z</t>
  </si>
  <si>
    <t>https://github.com/cloudwarriors-ai/zoom_presales_django/issues/340</t>
  </si>
  <si>
    <t>Pricing - ZP Quote Minimum Cost Logic</t>
  </si>
  <si>
    <t>2025-06-10T20:33:01Z</t>
  </si>
  <si>
    <t>2025-09-26T14:48:06Z</t>
  </si>
  <si>
    <t>2025-06-30T07:31:02Z</t>
  </si>
  <si>
    <t>https://github.com/cloudwarriors-ai/zoom_presales_django/issues/339</t>
  </si>
  <si>
    <t>SOW/Quote Changes &amp; Updates - Not Displaying new message in ZW_SOW Chat</t>
  </si>
  <si>
    <t>2025-06-10T20:03:22Z</t>
  </si>
  <si>
    <t>2025-07-31T22:39:03Z</t>
  </si>
  <si>
    <t>2025-06-24T19:33:29Z</t>
  </si>
  <si>
    <t>Jeffrey-Searcy, rebecca-cichy</t>
  </si>
  <si>
    <t>https://github.com/cloudwarriors-ai/zoom_presales_django/issues/338</t>
  </si>
  <si>
    <t>ZP Locations Page - Change North America to United States</t>
  </si>
  <si>
    <t>2025-06-10T19:43:01Z</t>
  </si>
  <si>
    <t>2025-09-26T14:48:05Z</t>
  </si>
  <si>
    <t>2025-06-27T00:58:11Z</t>
  </si>
  <si>
    <t>https://github.com/cloudwarriors-ai/zoom_presales_django/issues/337</t>
  </si>
  <si>
    <t>ZW Login Page - Add Ability to See/Unhide Password</t>
  </si>
  <si>
    <t>2025-06-10T15:10:26Z</t>
  </si>
  <si>
    <t>2025-06-27T02:18:06Z</t>
  </si>
  <si>
    <t>https://github.com/cloudwarriors-ai/zoom_presales_django/issues/336</t>
  </si>
  <si>
    <t>ZP &amp; ZCC Additions Page - Remove Selection Buttons</t>
  </si>
  <si>
    <t>2025-06-07T12:36:14Z</t>
  </si>
  <si>
    <t>2025-08-06T19:10:29Z</t>
  </si>
  <si>
    <t>PRIORITY: Low, SKILL: Low, STATUS: Follow-Up Required</t>
  </si>
  <si>
    <t>https://github.com/cloudwarriors-ai/zoom_presales_django/issues/334</t>
  </si>
  <si>
    <t>Final Submission Page - Remove Partner Reference</t>
  </si>
  <si>
    <t>2025-06-07T12:32:38Z</t>
  </si>
  <si>
    <t>2025-06-27T01:05:40Z</t>
  </si>
  <si>
    <t>https://github.com/cloudwarriors-ai/zoom_presales_django/issues/333</t>
  </si>
  <si>
    <t>Excessive SOW Email Communication</t>
  </si>
  <si>
    <t>2025-06-07T12:28:20Z</t>
  </si>
  <si>
    <t>2025-09-26T14:48:04Z</t>
  </si>
  <si>
    <t>2025-06-24T17:07:16Z</t>
  </si>
  <si>
    <t>https://github.com/cloudwarriors-ai/zoom_presales_django/issues/332</t>
  </si>
  <si>
    <t>SOW Issue - ARs &amp; Queues not matching</t>
  </si>
  <si>
    <t>2025-06-05T21:18:48Z</t>
  </si>
  <si>
    <t>2025-07-31T22:39:01Z</t>
  </si>
  <si>
    <t>2025-07-11T17:33:37Z</t>
  </si>
  <si>
    <t>https://github.com/cloudwarriors-ai/zoom_presales_django/issues/330</t>
  </si>
  <si>
    <t>Update Final Submission Statement</t>
  </si>
  <si>
    <t>2025-06-04T19:35:38Z</t>
  </si>
  <si>
    <t>2025-06-06T20:55:46Z</t>
  </si>
  <si>
    <t>https://github.com/cloudwarriors-ai/zoom_presales_django/issues/328</t>
  </si>
  <si>
    <t>Cloud Warrirors Cost w/o Margin Page - Add &amp; Italicize Clause at the bottom of Page</t>
  </si>
  <si>
    <t>2025-06-04T19:23:44Z</t>
  </si>
  <si>
    <t>2025-07-11T21:00:38Z</t>
  </si>
  <si>
    <t>2025-06-06T20:57:28Z</t>
  </si>
  <si>
    <t>https://github.com/cloudwarriors-ai/zoom_presales_django/issues/327</t>
  </si>
  <si>
    <t>Deployment Overview Page - Differentiate Go Live Events for ZP vs ZCC</t>
  </si>
  <si>
    <t>2025-06-04T19:17:31Z</t>
  </si>
  <si>
    <t>2025-09-05T18:38:58Z</t>
  </si>
  <si>
    <t>PRIORITY: Medium, SKILL: Low, STATUS: In Progress</t>
  </si>
  <si>
    <t>https://github.com/cloudwarriors-ai/zoom_presales_django/issues/326</t>
  </si>
  <si>
    <t>Deployment Overview - Delete Last Two Statements</t>
  </si>
  <si>
    <t>2025-06-04T19:13:36Z</t>
  </si>
  <si>
    <t>2025-06-18T14:11:22Z</t>
  </si>
  <si>
    <t>https://github.com/cloudwarriors-ai/zoom_presales_django/issues/325</t>
  </si>
  <si>
    <t>ZCC Page - Auto-Default the blank below 'How Many' line to be "1" initially</t>
  </si>
  <si>
    <t>2025-06-04T19:05:31Z</t>
  </si>
  <si>
    <t>2025-09-26T14:48:03Z</t>
  </si>
  <si>
    <t>2025-06-30T07:35:30Z</t>
  </si>
  <si>
    <t>https://github.com/cloudwarriors-ai/zoom_presales_django/issues/324</t>
  </si>
  <si>
    <t>Zoom Contact Center - Change Bubble on 'How Many'</t>
  </si>
  <si>
    <t>2025-06-04T19:03:13Z</t>
  </si>
  <si>
    <t>2025-07-31T22:39:00Z</t>
  </si>
  <si>
    <t>2025-06-06T21:02:27Z</t>
  </si>
  <si>
    <t>https://github.com/cloudwarriors-ai/zoom_presales_django/issues/323</t>
  </si>
  <si>
    <t>Zoom Contact Center - Change verbiage to 'How many' Question</t>
  </si>
  <si>
    <t>2025-06-04T19:00:35Z</t>
  </si>
  <si>
    <t>2025-06-06T21:04:57Z</t>
  </si>
  <si>
    <t>https://github.com/cloudwarriors-ai/zoom_presales_django/issues/322</t>
  </si>
  <si>
    <t>ZP &amp; ZCC Custom Additions - Rename Button from 'Continue to Custom Integration' to 'Continue to Zoom Contact Center'</t>
  </si>
  <si>
    <t>2025-06-04T18:55:07Z</t>
  </si>
  <si>
    <t>2025-06-06T21:11:08Z</t>
  </si>
  <si>
    <t>https://github.com/cloudwarriors-ai/zoom_presales_django/issues/321</t>
  </si>
  <si>
    <t>Zoom Phone Hardware - Auto-Default second Line to have ------ like first.</t>
  </si>
  <si>
    <t>2025-06-04T18:50:14Z</t>
  </si>
  <si>
    <t>2025-07-31T22:38:59Z</t>
  </si>
  <si>
    <t>2025-06-06T21:12:42Z</t>
  </si>
  <si>
    <t>https://github.com/cloudwarriors-ai/zoom_presales_django/issues/320</t>
  </si>
  <si>
    <t>Zoom Phone Hardware - Remove 'Zoom App Only' from Dropdown Menu</t>
  </si>
  <si>
    <t>2025-06-04T18:48:45Z</t>
  </si>
  <si>
    <t>2025-06-06T21:13:57Z</t>
  </si>
  <si>
    <t>https://github.com/cloudwarriors-ai/zoom_presales_django/issues/319</t>
  </si>
  <si>
    <t>On License Page - Remove Zoom Contact Center, Zoom Spaces and Workvivo from Dropdown Menu</t>
  </si>
  <si>
    <t>2025-06-04T18:45:58Z</t>
  </si>
  <si>
    <t>2025-06-06T21:16:18Z</t>
  </si>
  <si>
    <t>https://github.com/cloudwarriors-ai/zoom_presales_django/issues/318</t>
  </si>
  <si>
    <t>Change Naming of "Terms of Engagement" to "Terms &amp; Conditions"</t>
  </si>
  <si>
    <t>2025-06-04T18:41:20Z</t>
  </si>
  <si>
    <t>2025-07-31T22:38:58Z</t>
  </si>
  <si>
    <t>2025-06-06T21:21:22Z</t>
  </si>
  <si>
    <t>https://github.com/cloudwarriors-ai/zoom_presales_django/issues/317</t>
  </si>
  <si>
    <t>Note Terms of Engagement is REQUIRED</t>
  </si>
  <si>
    <t>2025-06-04T18:38:59Z</t>
  </si>
  <si>
    <t>2025-06-06T21:20:54Z</t>
  </si>
  <si>
    <t>https://github.com/cloudwarriors-ai/zoom_presales_django/issues/316</t>
  </si>
  <si>
    <t>Intiial Login Page - Flip Flop</t>
  </si>
  <si>
    <t>2025-06-04T18:36:55Z</t>
  </si>
  <si>
    <t>2025-07-11T21:00:47Z</t>
  </si>
  <si>
    <t>2025-06-06T21:20:05Z</t>
  </si>
  <si>
    <t>https://github.com/cloudwarriors-ai/zoom_presales_django/issues/315</t>
  </si>
  <si>
    <t>Pricing - Verify ZVA info is being Calculated Properly in the Quote Process</t>
  </si>
  <si>
    <t>2025-06-03T17:09:20Z</t>
  </si>
  <si>
    <t>2025-06-30T16:31:41Z</t>
  </si>
  <si>
    <t>https://github.com/cloudwarriors-ai/zoom_presales_django/issues/314</t>
  </si>
  <si>
    <t>Replicate Missing SOW Issue from 28May25</t>
  </si>
  <si>
    <t>2025-06-03T17:06:38Z</t>
  </si>
  <si>
    <t>2025-07-23T11:33:51Z</t>
  </si>
  <si>
    <t>PRIORITY: Low, SKILL: Medium, STATUS: Follow-Up Required</t>
  </si>
  <si>
    <t>https://github.com/cloudwarriors-ai/zoom_presales_django/issues/313</t>
  </si>
  <si>
    <t>Remove Partner Name Field from Customer Information Page 1</t>
  </si>
  <si>
    <t>2025-05-22T20:30:25Z</t>
  </si>
  <si>
    <t>2025-09-19T03:29:08Z</t>
  </si>
  <si>
    <t>2025-06-02T20:42:51Z</t>
  </si>
  <si>
    <t>https://github.com/cloudwarriors-ai/zoom_presales_django/issues/307</t>
  </si>
  <si>
    <t>Update Terms of Engagement Button to Initial Login Page with New Link</t>
  </si>
  <si>
    <t>2025-05-21T15:18:51Z</t>
  </si>
  <si>
    <t>2025-09-19T03:29:07Z</t>
  </si>
  <si>
    <t>2025-06-18T14:07:53Z</t>
  </si>
  <si>
    <t>https://github.com/cloudwarriors-ai/zoom_presales_django/issues/306</t>
  </si>
  <si>
    <t>Make Bot is More Visible - Hard to See</t>
  </si>
  <si>
    <t>2025-05-16T20:57:37Z</t>
  </si>
  <si>
    <t>2025-06-02T20:47:52Z</t>
  </si>
  <si>
    <t>https://github.com/cloudwarriors-ai/zoom_presales_django/issues/305</t>
  </si>
  <si>
    <t>Make Partner Name Optional</t>
  </si>
  <si>
    <t>2025-05-09T18:37:57Z</t>
  </si>
  <si>
    <t>2025-09-19T03:29:05Z</t>
  </si>
  <si>
    <t>2025-05-22T20:28:17Z</t>
  </si>
  <si>
    <t>https://github.com/cloudwarriors-ai/zoom_presales_django/issues/304</t>
  </si>
  <si>
    <t>ZP - Zoom Phone Hardware Toggle</t>
  </si>
  <si>
    <t>2025-04-30T19:17:24Z</t>
  </si>
  <si>
    <t>2025-05-22T20:21:29Z</t>
  </si>
  <si>
    <t>https://github.com/cloudwarriors-ai/zoom_presales_django/issues/302</t>
  </si>
  <si>
    <t>Overall System - First or Last Page with 'Terms of Engagement' Link</t>
  </si>
  <si>
    <t>2025-04-22T17:59:03Z</t>
  </si>
  <si>
    <t>2025-09-19T03:29:04Z</t>
  </si>
  <si>
    <t>2025-05-22T20:26:45Z</t>
  </si>
  <si>
    <t>https://github.com/cloudwarriors-ai/zoom_presales_django/issues/301</t>
  </si>
  <si>
    <t>ZCC - Workplace Optimization AI Expert Assist</t>
  </si>
  <si>
    <t>2025-04-22T17:27:20Z</t>
  </si>
  <si>
    <t>2025-05-22T20:40:36Z</t>
  </si>
  <si>
    <t>https://github.com/cloudwarriors-ai/zoom_presales_django/issues/300</t>
  </si>
  <si>
    <t>ZCC - Outbound Dialer Campaigns</t>
  </si>
  <si>
    <t>2025-04-14T16:21:52Z</t>
  </si>
  <si>
    <t>2025-09-19T03:29:03Z</t>
  </si>
  <si>
    <t>2025-05-22T20:35:09Z</t>
  </si>
  <si>
    <t>https://github.com/cloudwarriors-ai/zoom_presales_django/issues/299</t>
  </si>
  <si>
    <t>ZCC - Add Service Now as Checkbox CTI Integration</t>
  </si>
  <si>
    <t>2025-04-14T16:10:56Z</t>
  </si>
  <si>
    <t>2025-05-22T20:38:25Z</t>
  </si>
  <si>
    <t>https://github.com/cloudwarriors-ai/zoom_presales_django/issues/298</t>
  </si>
  <si>
    <t>ZCC - SSO Type &amp; Auth Method</t>
  </si>
  <si>
    <t>2025-04-14T16:08:38Z</t>
  </si>
  <si>
    <t>2025-05-22T20:34:06Z</t>
  </si>
  <si>
    <t>https://github.com/cloudwarriors-ai/zoom_presales_django/issues/297</t>
  </si>
  <si>
    <t>ZCC - Add 2 Limitations to ZCC SOWs w Up to 8 Dispositions per Queue &amp; Up to 8 Skills per Queue</t>
  </si>
  <si>
    <t>2025-04-14T15:37:58Z</t>
  </si>
  <si>
    <t>2025-07-11T21:01:02Z</t>
  </si>
  <si>
    <t>2025-06-26T17:14:04Z</t>
  </si>
  <si>
    <t>https://github.com/cloudwarriors-ai/zoom_presales_django/issues/296</t>
  </si>
  <si>
    <t>ZCC - Social Media Channel - Create a box to describe what they are looking for (e.g. WhatsApp, Facebook, etc.)</t>
  </si>
  <si>
    <t>2025-04-08T19:29:12Z</t>
  </si>
  <si>
    <t>2025-09-19T03:29:02Z</t>
  </si>
  <si>
    <t>2025-05-22T20:36:20Z</t>
  </si>
  <si>
    <t>https://github.com/cloudwarriors-ai/zoom_presales_django/issues/295</t>
  </si>
  <si>
    <t>ZCC - ADD "Video Channel”</t>
  </si>
  <si>
    <t>2025-04-08T19:27:16Z</t>
  </si>
  <si>
    <t>2025-05-22T20:37:17Z</t>
  </si>
  <si>
    <t>https://github.com/cloudwarriors-ai/zoom_presales_django/issues/294</t>
  </si>
  <si>
    <t>Zoom Cust Exp (CX) - Provide Workforce Management (WFM) Details</t>
  </si>
  <si>
    <t>2025-04-08T19:21:30Z</t>
  </si>
  <si>
    <t>2025-05-22T20:42:04Z</t>
  </si>
  <si>
    <t>https://github.com/cloudwarriors-ai/zoom_presales_django/issues/293</t>
  </si>
  <si>
    <t>Zoom Cust Exp (CX) - Provide Zoom Virtual Agent (ZVA) Details</t>
  </si>
  <si>
    <t>2025-04-08T19:20:49Z</t>
  </si>
  <si>
    <t>2025-09-19T03:29:01Z</t>
  </si>
  <si>
    <t>2025-05-22T20:41:25Z</t>
  </si>
  <si>
    <t>https://github.com/cloudwarriors-ai/zoom_presales_django/issues/292</t>
  </si>
  <si>
    <t>Zoom Cust Exp (CX) - Provide Expert Assist Details</t>
  </si>
  <si>
    <t>2025-04-08T19:20:07Z</t>
  </si>
  <si>
    <t>2025-05-09T19:05:39Z</t>
  </si>
  <si>
    <t>https://github.com/cloudwarriors-ai/zoom_presales_django/issues/291</t>
  </si>
  <si>
    <t>Overall System - Create an Option to Generate the SOW on CW Paper</t>
  </si>
  <si>
    <t>2025-04-08T19:16:59Z</t>
  </si>
  <si>
    <t>2025-05-22T20:25:38Z</t>
  </si>
  <si>
    <t>https://github.com/cloudwarriors-ai/zoom_presales_django/issues/290</t>
  </si>
  <si>
    <t>Overall System - Create the ability to skip the ZP or ZCC questionnaire sections if they’re not selected</t>
  </si>
  <si>
    <t>2025-04-08T19:13:42Z</t>
  </si>
  <si>
    <t>2025-09-19T03:29:00Z</t>
  </si>
  <si>
    <t>2025-05-22T20:19:29Z</t>
  </si>
  <si>
    <t>https://github.com/cloudwarriors-ai/zoom_presales_django/issues/289</t>
  </si>
  <si>
    <t>ZCC - Increase Prices 20% Across The Board</t>
  </si>
  <si>
    <t>2025-04-08T19:09:35Z</t>
  </si>
  <si>
    <t>2025-04-30T19:29:39Z</t>
  </si>
  <si>
    <t>https://github.com/cloudwarriors-ai/zoom_presales_django/issues/288</t>
  </si>
  <si>
    <t>ZCC - Split Surveys to Each Channel</t>
  </si>
  <si>
    <t>2025-04-08T19:08:42Z</t>
  </si>
  <si>
    <t>2025-04-22T18:25:49Z</t>
  </si>
  <si>
    <t>https://github.com/cloudwarriors-ai/zoom_presales_django/issues/287</t>
  </si>
  <si>
    <t>ZCC - Split Flows &amp; Queues Into Each Channel</t>
  </si>
  <si>
    <t>2025-04-08T19:06:53Z</t>
  </si>
  <si>
    <t>2025-04-22T18:26:47Z</t>
  </si>
  <si>
    <t>https://github.com/cloudwarriors-ai/zoom_presales_django/issues/286</t>
  </si>
  <si>
    <t>ZCC - Add Video Channel</t>
  </si>
  <si>
    <t>2025-04-08T19:05:49Z</t>
  </si>
  <si>
    <t>2025-09-19T03:28:59Z</t>
  </si>
  <si>
    <t>2025-04-22T18:26:13Z</t>
  </si>
  <si>
    <t>https://github.com/cloudwarriors-ai/zoom_presales_django/issues/285</t>
  </si>
  <si>
    <t>ZCC - Change Channels to ‘YES/NO’ Rather than the Number of Channels</t>
  </si>
  <si>
    <t>2025-04-08T19:04:38Z</t>
  </si>
  <si>
    <t>2025-05-22T20:39:28Z</t>
  </si>
  <si>
    <t>https://github.com/cloudwarriors-ai/zoom_presales_django/issues/284</t>
  </si>
  <si>
    <t>ZP - Increase Prices 20% Across The Board</t>
  </si>
  <si>
    <t>2025-04-08T19:03:01Z</t>
  </si>
  <si>
    <t>2025-05-09T19:07:34Z</t>
  </si>
  <si>
    <t>https://github.com/cloudwarriors-ai/zoom_presales_django/issues/283</t>
  </si>
  <si>
    <t>ZP - Allow Option To Charge For Live Training</t>
  </si>
  <si>
    <t>2025-04-08T19:01:41Z</t>
  </si>
  <si>
    <t>2025-09-19T03:28:58Z</t>
  </si>
  <si>
    <t>2025-04-30T19:13:21Z</t>
  </si>
  <si>
    <t>https://github.com/cloudwarriors-ai/zoom_presales_django/issues/282</t>
  </si>
  <si>
    <t>ZP - Remove Bulk Re-Provisioning Option</t>
  </si>
  <si>
    <t>2025-04-08T18:59:53Z</t>
  </si>
  <si>
    <t>2025-05-22T20:22:27Z</t>
  </si>
  <si>
    <t>https://github.com/cloudwarriors-ai/zoom_presales_django/issues/281</t>
  </si>
  <si>
    <t>ZP - Need to have the option to add extra E911 zones</t>
  </si>
  <si>
    <t>2025-04-08T18:58:50Z</t>
  </si>
  <si>
    <t>2025-05-22T20:23:18Z</t>
  </si>
  <si>
    <t>https://github.com/cloudwarriors-ai/zoom_presales_django/issues/280</t>
  </si>
  <si>
    <t>Dev Branch - workplace_optimization page *See description</t>
  </si>
  <si>
    <t>2024-10-23T14:25:59Z</t>
  </si>
  <si>
    <t>2025-07-11T21:01:24Z</t>
  </si>
  <si>
    <t>2025-04-22T18:05:04Z</t>
  </si>
  <si>
    <t>https://github.com/cloudwarriors-ai/zoom_presales_django/issues/265</t>
  </si>
  <si>
    <t>Dev Branch - location page * See description</t>
  </si>
  <si>
    <t>2024-10-23T14:22:31Z</t>
  </si>
  <si>
    <t>2025-07-11T21:01:25Z</t>
  </si>
  <si>
    <t>2025-04-22T18:05:22Z</t>
  </si>
  <si>
    <t>https://github.com/cloudwarriors-ai/zoom_presales_django/issues/264</t>
  </si>
  <si>
    <t>P1 - Workforce management needs to be yes or no</t>
  </si>
  <si>
    <t>2024-09-04T19:00:44Z</t>
  </si>
  <si>
    <t>2025-07-11T21:01:33Z</t>
  </si>
  <si>
    <t>2024-10-23T14:29:11Z</t>
  </si>
  <si>
    <t>https://github.com/cloudwarriors-ai/zoom_presales_django/issues/253</t>
  </si>
  <si>
    <t>P1 - ATA glitch when deleting. Needs further troubleshooting to identify the failure point.</t>
  </si>
  <si>
    <t>2024-09-03T19:36:39Z</t>
  </si>
  <si>
    <t>2025-07-11T21:01:34Z</t>
  </si>
  <si>
    <t>2024-10-23T14:31:29Z</t>
  </si>
  <si>
    <t>https://github.com/cloudwarriors-ai/zoom_presales_django/issues/252</t>
  </si>
  <si>
    <t>P1 - Eliminate the ability to allow negative values to be chosen for different fields of the application * See description</t>
  </si>
  <si>
    <t>2024-09-03T18:46:56Z</t>
  </si>
  <si>
    <t>2024-10-25T21:51:04Z</t>
  </si>
  <si>
    <t>https://github.com/cloudwarriors-ai/zoom_presales_django/issues/251</t>
  </si>
  <si>
    <t>P1 - Add drop down on the license type so that the AE's can select the exact type of licenses to deploy. * See description</t>
  </si>
  <si>
    <t>2024-09-03T17:44:25Z</t>
  </si>
  <si>
    <t>2025-07-11T21:01:35Z</t>
  </si>
  <si>
    <t>2024-10-23T14:28:45Z</t>
  </si>
  <si>
    <t>https://github.com/cloudwarriors-ai/zoom_presales_django/issues/250</t>
  </si>
  <si>
    <t>P1 - Autopopulate names of AE's on the SOW. (Zoom requirement)</t>
  </si>
  <si>
    <t>2024-09-02T16:53:40Z</t>
  </si>
  <si>
    <t>2025-07-11T21:01:36Z</t>
  </si>
  <si>
    <t>2024-10-23T14:28:26Z</t>
  </si>
  <si>
    <t>https://github.com/cloudwarriors-ai/zoom_presales_django/issues/249</t>
  </si>
  <si>
    <t>Priority 1 - Add validation to the marketplace apps field to prevent user from erasing a mandatory value</t>
  </si>
  <si>
    <t>2024-08-16T01:24:31Z</t>
  </si>
  <si>
    <t>2025-07-11T21:01:39Z</t>
  </si>
  <si>
    <t>2024-08-23T14:50:11Z</t>
  </si>
  <si>
    <t>https://github.com/cloudwarriors-ai/zoom_presales_django/issues/245</t>
  </si>
  <si>
    <t>Priority 1 - Licenses are no longer showing on the Checkout Page</t>
  </si>
  <si>
    <t>2024-08-05T20:20:50Z</t>
  </si>
  <si>
    <t>2025-07-11T21:01:40Z</t>
  </si>
  <si>
    <t>2024-08-23T14:50:21Z</t>
  </si>
  <si>
    <t>https://github.com/cloudwarriors-ai/zoom_presales_django/issues/243</t>
  </si>
  <si>
    <t>JD Request -- (ZCX) AI Expert Assist **See Description**</t>
  </si>
  <si>
    <t>2024-07-08T22:08:44Z</t>
  </si>
  <si>
    <t>2025-07-11T21:01:47Z</t>
  </si>
  <si>
    <t>2024-09-02T16:03:31Z</t>
  </si>
  <si>
    <t>https://github.com/cloudwarriors-ai/zoom_presales_django/issues/234</t>
  </si>
  <si>
    <t>JD Request (ZCX) -- CRM Integration **See Description**</t>
  </si>
  <si>
    <t>2024-07-08T22:08:05Z</t>
  </si>
  <si>
    <t>2025-07-11T21:01:48Z</t>
  </si>
  <si>
    <t>2024-07-10T18:20:31Z</t>
  </si>
  <si>
    <t>https://github.com/cloudwarriors-ai/zoom_presales_django/issues/233</t>
  </si>
  <si>
    <t>JD Request (ZCX) -- Type of CRM  **See Description**</t>
  </si>
  <si>
    <t>2024-07-08T22:07:09Z</t>
  </si>
  <si>
    <t>2024-09-02T16:03:22Z</t>
  </si>
  <si>
    <t>https://github.com/cloudwarriors-ai/zoom_presales_django/issues/232</t>
  </si>
  <si>
    <t>JD Request (ZCX) -- SBC Type **See Description**</t>
  </si>
  <si>
    <t>2024-07-08T22:05:58Z</t>
  </si>
  <si>
    <t>2025-07-11T21:01:49Z</t>
  </si>
  <si>
    <t>2024-09-02T16:03:37Z</t>
  </si>
  <si>
    <t>https://github.com/cloudwarriors-ai/zoom_presales_django/issues/231</t>
  </si>
  <si>
    <t>(Priority Request) -- Strike Extra E911 Zones from the SOW.</t>
  </si>
  <si>
    <t>2024-07-03T14:07:14Z</t>
  </si>
  <si>
    <t>2025-07-11T21:01:53Z</t>
  </si>
  <si>
    <t>2024-07-03T16:26:50Z</t>
  </si>
  <si>
    <t>https://github.com/cloudwarriors-ai/zoom_presales_django/issues/226</t>
  </si>
  <si>
    <t>(Priority Request) -- Strike the Large Locations Page from the Site.</t>
  </si>
  <si>
    <t>2024-07-03T14:05:40Z</t>
  </si>
  <si>
    <t>2024-07-03T16:26:59Z</t>
  </si>
  <si>
    <t>https://github.com/cloudwarriors-ai/zoom_presales_django/issues/225</t>
  </si>
  <si>
    <t>(Priority Request) ZCX Page --- Add question bubbles with details for each ZCX field. Needed prior to launch.</t>
  </si>
  <si>
    <t>2024-07-03T14:04:04Z</t>
  </si>
  <si>
    <t>2025-07-11T21:01:54Z</t>
  </si>
  <si>
    <t>2024-07-09T20:10:19Z</t>
  </si>
  <si>
    <t>https://github.com/cloudwarriors-ai/zoom_presales_django/issues/224</t>
  </si>
  <si>
    <t>/wrapupquestions/ - Onsite support toggle resets after revisiting the checkout page.</t>
  </si>
  <si>
    <t>2024-06-27T18:27:53Z</t>
  </si>
  <si>
    <t>2025-07-11T21:01:56Z</t>
  </si>
  <si>
    <t>2024-07-02T16:48:29Z</t>
  </si>
  <si>
    <t>https://github.com/cloudwarriors-ai/zoom_presales_django/issues/221</t>
  </si>
  <si>
    <t>Security -- There is no timeout to the admin page pw log in. Users can potentially use brute force attack to access.</t>
  </si>
  <si>
    <t>2024-06-27T18:21:12Z</t>
  </si>
  <si>
    <t>2025-07-11T21:01:57Z</t>
  </si>
  <si>
    <t>2024-10-23T14:27:07Z</t>
  </si>
  <si>
    <t>https://github.com/cloudwarriors-ai/zoom_presales_django/issues/220</t>
  </si>
  <si>
    <t>Security -- User can access admin page login from the url *See Description</t>
  </si>
  <si>
    <t>2024-06-27T18:18:20Z</t>
  </si>
  <si>
    <t>2025-07-11T21:01:58Z</t>
  </si>
  <si>
    <t>2024-10-23T14:26:55Z</t>
  </si>
  <si>
    <t>https://github.com/cloudwarriors-ai/zoom_presales_django/issues/219</t>
  </si>
  <si>
    <t>Suggestion (ZCX) -- Make the verbiage more defined to "stupid proof" the ZCX form agianst the AE's.</t>
  </si>
  <si>
    <t>2024-06-25T21:57:12Z</t>
  </si>
  <si>
    <t>2024-07-03T14:02:35Z</t>
  </si>
  <si>
    <t>https://github.com/cloudwarriors-ai/zoom_presales_django/issues/218</t>
  </si>
  <si>
    <t>Generate SOW -- Generate total amount of analog or sip paging integrations captured on website and calculate price</t>
  </si>
  <si>
    <t>2024-06-25T18:49:46Z</t>
  </si>
  <si>
    <t>2025-07-11T21:01:59Z</t>
  </si>
  <si>
    <t>2024-07-02T16:47:15Z</t>
  </si>
  <si>
    <t>https://github.com/cloudwarriors-ai/zoom_presales_django/issues/217</t>
  </si>
  <si>
    <t>Generate SOW -- Capture total amount of Contact Centers and calculate cost and hours</t>
  </si>
  <si>
    <t>2024-06-25T18:23:08Z</t>
  </si>
  <si>
    <t>2025-07-11T21:02:01Z</t>
  </si>
  <si>
    <t>2024-07-02T16:48:47Z</t>
  </si>
  <si>
    <t>https://github.com/cloudwarriors-ai/zoom_presales_django/issues/215</t>
  </si>
  <si>
    <t>/checkout/ Update Locations Section of checkout page to populate correctly.</t>
  </si>
  <si>
    <t>2024-06-24T16:00:32Z</t>
  </si>
  <si>
    <t>2025-07-11T21:02:11Z</t>
  </si>
  <si>
    <t>2024-06-24T16:01:21Z</t>
  </si>
  <si>
    <t>https://github.com/cloudwarriors-ai/zoom_presales_django/issues/202</t>
  </si>
  <si>
    <t>Add "Log in Requiredd" to each view</t>
  </si>
  <si>
    <t>2024-06-24T15:47:29Z</t>
  </si>
  <si>
    <t>2025-07-11T21:02:12Z</t>
  </si>
  <si>
    <t>2024-06-25T18:51:28Z</t>
  </si>
  <si>
    <t>https://github.com/cloudwarriors-ai/zoom_presales_django/issues/201</t>
  </si>
  <si>
    <t>/checkout/ Add the Total calculated price to the summary page</t>
  </si>
  <si>
    <t>2024-06-24T14:12:03Z</t>
  </si>
  <si>
    <t>2025-07-11T21:02:13Z</t>
  </si>
  <si>
    <t>2024-07-02T16:47:07Z</t>
  </si>
  <si>
    <t>https://github.com/cloudwarriors-ai/zoom_presales_django/issues/199</t>
  </si>
  <si>
    <t>/optioncount/ "ZCX Page" -- Add (Total Scorecards) to the QM Config. *See Description</t>
  </si>
  <si>
    <t>2024-06-24T13:45:10Z</t>
  </si>
  <si>
    <t>2025-07-11T21:02:14Z</t>
  </si>
  <si>
    <t>2024-06-24T21:18:08Z</t>
  </si>
  <si>
    <t>https://github.com/cloudwarriors-ai/zoom_presales_django/issues/198</t>
  </si>
  <si>
    <t>/additions/ -- Remove "None" fromt he SSO Option Drop Down</t>
  </si>
  <si>
    <t>2024-06-24T13:40:21Z</t>
  </si>
  <si>
    <t>2025-07-11T21:02:15Z</t>
  </si>
  <si>
    <t>2024-06-24T21:17:29Z</t>
  </si>
  <si>
    <t>https://github.com/cloudwarriors-ai/zoom_presales_django/issues/197</t>
  </si>
  <si>
    <t>Paging -- Remove the "No Paging Needed" option</t>
  </si>
  <si>
    <t>2024-06-24T13:39:43Z</t>
  </si>
  <si>
    <t>2025-07-11T21:02:16Z</t>
  </si>
  <si>
    <t>2024-06-24T21:16:23Z</t>
  </si>
  <si>
    <t>https://github.com/cloudwarriors-ai/zoom_presales_django/issues/196</t>
  </si>
  <si>
    <t>Features Page -- Remove Delegations From page. No longer captured in the SOW.</t>
  </si>
  <si>
    <t>2024-06-24T13:38:32Z</t>
  </si>
  <si>
    <t>2024-06-24T21:16:01Z</t>
  </si>
  <si>
    <t>https://github.com/cloudwarriors-ai/zoom_presales_django/issues/195</t>
  </si>
  <si>
    <t>Custom Integrations Page -- Rename page to ZCX</t>
  </si>
  <si>
    <t>2024-06-24T13:37:55Z</t>
  </si>
  <si>
    <t>2025-07-11T21:02:17Z</t>
  </si>
  <si>
    <t>2024-06-24T21:18:02Z</t>
  </si>
  <si>
    <t>https://github.com/cloudwarriors-ai/zoom_presales_django/issues/194</t>
  </si>
  <si>
    <t>Generate SOW --- Add logic that tells customer to copy and paste addresses below</t>
  </si>
  <si>
    <t>2024-06-21T15:45:06Z</t>
  </si>
  <si>
    <t>2025-07-11T21:02:21Z</t>
  </si>
  <si>
    <t>2024-06-24T22:53:33Z</t>
  </si>
  <si>
    <t>https://github.com/cloudwarriors-ai/zoom_presales_django/issues/189</t>
  </si>
  <si>
    <t>SOW Generation -- Acount for User Margins and add Zoom Total to SOW calculation</t>
  </si>
  <si>
    <t>2024-06-20T23:22:48Z</t>
  </si>
  <si>
    <t>2024-06-23T21:58:14Z</t>
  </si>
  <si>
    <t>https://github.com/cloudwarriors-ai/zoom_presales_django/issues/188</t>
  </si>
  <si>
    <t>SOW Generation - Calculate ZCC Support hours and populate on the SOW</t>
  </si>
  <si>
    <t>2024-06-20T23:22:10Z</t>
  </si>
  <si>
    <t>2025-07-11T21:02:22Z</t>
  </si>
  <si>
    <t>2024-06-23T21:57:52Z</t>
  </si>
  <si>
    <t>https://github.com/cloudwarriors-ai/zoom_presales_django/issues/187</t>
  </si>
  <si>
    <t>Generate SOW - Calculate ZCC order cost</t>
  </si>
  <si>
    <t>2024-06-20T23:21:28Z</t>
  </si>
  <si>
    <t>2025-07-11T21:02:23Z</t>
  </si>
  <si>
    <t>2024-06-23T21:57:35Z</t>
  </si>
  <si>
    <t>https://github.com/cloudwarriors-ai/zoom_presales_django/issues/186</t>
  </si>
  <si>
    <t>/optioncount/ Add a field to the custom integrations model for "Total number of Contact Centers" to be captured.</t>
  </si>
  <si>
    <t>2024-06-19T00:44:55Z</t>
  </si>
  <si>
    <t>2025-07-11T21:02:26Z</t>
  </si>
  <si>
    <t>2024-06-25T18:22:33Z</t>
  </si>
  <si>
    <t>https://github.com/cloudwarriors-ai/zoom_presales_django/issues/181</t>
  </si>
  <si>
    <t>SOW Generation -- Add values and calculations for all ZCX (ZCC) Fields</t>
  </si>
  <si>
    <t>2024-06-18T21:07:03Z</t>
  </si>
  <si>
    <t>2025-07-11T21:02:27Z</t>
  </si>
  <si>
    <t>2024-06-23T21:57:43Z</t>
  </si>
  <si>
    <t>https://github.com/cloudwarriors-ai/zoom_presales_django/issues/180</t>
  </si>
  <si>
    <t>SOW Generation -- Add a device count to the SOW generation of the Bulk Phone reprovisioning</t>
  </si>
  <si>
    <t>2024-06-18T21:05:49Z</t>
  </si>
  <si>
    <t>2025-07-11T21:02:28Z</t>
  </si>
  <si>
    <t>2024-06-24T21:56:39Z</t>
  </si>
  <si>
    <t>https://github.com/cloudwarriors-ai/zoom_presales_django/issues/179</t>
  </si>
  <si>
    <t>SOW Generation -- Update PBX (Zoom) and (Customer) to have a "Both" option on the SOW.</t>
  </si>
  <si>
    <t>2024-06-18T21:05:03Z</t>
  </si>
  <si>
    <t>2024-06-25T18:22:19Z</t>
  </si>
  <si>
    <t>https://github.com/cloudwarriors-ai/zoom_presales_django/issues/178</t>
  </si>
  <si>
    <t>Debug SOW Generation Code</t>
  </si>
  <si>
    <t>2024-06-18T21:03:57Z</t>
  </si>
  <si>
    <t>2025-07-11T21:02:29Z</t>
  </si>
  <si>
    <t>2024-06-18T21:04:03Z</t>
  </si>
  <si>
    <t>https://github.com/cloudwarriors-ai/zoom_presales_django/issues/177</t>
  </si>
  <si>
    <t>SOW Template -- Update SOW template to newest version. Incorporate changes</t>
  </si>
  <si>
    <t>2024-06-18T21:03:24Z</t>
  </si>
  <si>
    <t>2025-07-11T21:02:30Z</t>
  </si>
  <si>
    <t>2024-06-23T21:58:01Z</t>
  </si>
  <si>
    <t>https://github.com/cloudwarriors-ai/zoom_presales_django/issues/176</t>
  </si>
  <si>
    <t>Suggestion- Signed-up Page</t>
  </si>
  <si>
    <t>2024-06-18T20:33:00Z</t>
  </si>
  <si>
    <t>adrianamendozacw</t>
  </si>
  <si>
    <t>2024-06-24T13:32:42Z</t>
  </si>
  <si>
    <t>https://github.com/cloudwarriors-ai/zoom_presales_django/issues/175</t>
  </si>
  <si>
    <t>Suggestion-Paging Configurations</t>
  </si>
  <si>
    <t>2024-06-18T20:31:19Z</t>
  </si>
  <si>
    <t>2025-07-11T21:02:31Z</t>
  </si>
  <si>
    <t>2024-06-24T15:39:25Z</t>
  </si>
  <si>
    <t>https://github.com/cloudwarriors-ai/zoom_presales_django/issues/174</t>
  </si>
  <si>
    <t>Hardware and SBC pages:</t>
  </si>
  <si>
    <t>2024-06-18T20:30:53Z</t>
  </si>
  <si>
    <t>2025-07-11T21:02:32Z</t>
  </si>
  <si>
    <t>2024-06-24T13:21:35Z</t>
  </si>
  <si>
    <t>https://github.com/cloudwarriors-ai/zoom_presales_django/issues/173</t>
  </si>
  <si>
    <t>Licenses Page:</t>
  </si>
  <si>
    <t>2024-06-18T20:29:42Z</t>
  </si>
  <si>
    <t>2024-06-25T18:23:22Z</t>
  </si>
  <si>
    <t>https://github.com/cloudwarriors-ai/zoom_presales_django/issues/172</t>
  </si>
  <si>
    <t>Customer Info Page</t>
  </si>
  <si>
    <t>2024-06-18T20:28:45Z</t>
  </si>
  <si>
    <t>2025-07-11T21:02:33Z</t>
  </si>
  <si>
    <t>2024-06-24T13:21:58Z</t>
  </si>
  <si>
    <t>https://github.com/cloudwarriors-ai/zoom_presales_django/issues/171</t>
  </si>
  <si>
    <t>P1: /sbcpbx/ Add a both option for the pbx (premise peering) Zoom and Customer Integration</t>
  </si>
  <si>
    <t>2024-06-18T18:17:46Z</t>
  </si>
  <si>
    <t>2025-07-11T21:02:34Z</t>
  </si>
  <si>
    <t>2024-06-24T00:15:14Z</t>
  </si>
  <si>
    <t>https://github.com/cloudwarriors-ai/zoom_presales_django/issues/170</t>
  </si>
  <si>
    <t>P1: /hardware/ Need to capture the amount of devices needed for Bulk Phone / Handset Reprovisioning</t>
  </si>
  <si>
    <t>2024-06-18T16:37:42Z</t>
  </si>
  <si>
    <t>2025-07-11T21:02:35Z</t>
  </si>
  <si>
    <t>2024-06-24T00:15:53Z</t>
  </si>
  <si>
    <t>https://github.com/cloudwarriors-ai/zoom_presales_django/issues/169</t>
  </si>
  <si>
    <t>Send Docusign</t>
  </si>
  <si>
    <t>2024-06-17T16:27:49Z</t>
  </si>
  <si>
    <t>2025-07-11T21:02:37Z</t>
  </si>
  <si>
    <t>2024-06-18T16:46:07Z</t>
  </si>
  <si>
    <t>https://github.com/cloudwarriors-ai/zoom_presales_django/issues/165</t>
  </si>
  <si>
    <t>Checkout</t>
  </si>
  <si>
    <t>2024-06-17T16:26:40Z</t>
  </si>
  <si>
    <t>2025-07-11T21:02:38Z</t>
  </si>
  <si>
    <t>2024-06-18T16:46:15Z</t>
  </si>
  <si>
    <t>https://github.com/cloudwarriors-ai/zoom_presales_django/issues/164</t>
  </si>
  <si>
    <t>On Wrap-Up Questions page</t>
  </si>
  <si>
    <t>2024-06-17T16:25:54Z</t>
  </si>
  <si>
    <t>2025-07-11T21:02:39Z</t>
  </si>
  <si>
    <t>2024-06-18T16:46:58Z</t>
  </si>
  <si>
    <t>https://github.com/cloudwarriors-ai/zoom_presales_django/issues/163</t>
  </si>
  <si>
    <t>Paging Configuration</t>
  </si>
  <si>
    <t>2024-06-17T16:24:46Z</t>
  </si>
  <si>
    <t>2024-06-18T16:47:23Z</t>
  </si>
  <si>
    <t>https://github.com/cloudwarriors-ai/zoom_presales_django/issues/162</t>
  </si>
  <si>
    <t>Locations</t>
  </si>
  <si>
    <t>2024-06-17T16:24:16Z</t>
  </si>
  <si>
    <t>2025-07-11T21:02:40Z</t>
  </si>
  <si>
    <t>2024-06-18T16:47:05Z</t>
  </si>
  <si>
    <t>https://github.com/cloudwarriors-ai/zoom_presales_django/issues/161</t>
  </si>
  <si>
    <t>Monthly Recurring Revenue (USD)</t>
  </si>
  <si>
    <t>2024-06-17T16:23:39Z</t>
  </si>
  <si>
    <t>2025-07-11T21:02:41Z</t>
  </si>
  <si>
    <t>2024-06-18T16:47:16Z</t>
  </si>
  <si>
    <t>https://github.com/cloudwarriors-ai/zoom_presales_django/issues/160</t>
  </si>
  <si>
    <t>Customer Information page</t>
  </si>
  <si>
    <t>2024-06-17T16:19:38Z</t>
  </si>
  <si>
    <t>2024-06-18T16:46:37Z</t>
  </si>
  <si>
    <t>https://github.com/cloudwarriors-ai/zoom_presales_django/issues/159</t>
  </si>
  <si>
    <t>PSO NUMBER</t>
  </si>
  <si>
    <t>2024-06-17T16:07:55Z</t>
  </si>
  <si>
    <t>2025-07-11T21:02:42Z</t>
  </si>
  <si>
    <t>2024-06-18T16:46:23Z</t>
  </si>
  <si>
    <t>https://github.com/cloudwarriors-ai/zoom_presales_django/issues/158</t>
  </si>
  <si>
    <t>Logo</t>
  </si>
  <si>
    <t>2024-06-17T16:04:16Z</t>
  </si>
  <si>
    <t>2025-07-11T21:02:43Z</t>
  </si>
  <si>
    <t>2024-06-24T13:21:48Z</t>
  </si>
  <si>
    <t>https://github.com/cloudwarriors-ai/zoom_presales_django/issues/157</t>
  </si>
  <si>
    <t>RFCT: Need To Figure out a place to capture AE's name and GSO Rep's name so we can populate on SOW</t>
  </si>
  <si>
    <t>2024-06-14T22:56:21Z</t>
  </si>
  <si>
    <t>2025-07-11T21:02:45Z</t>
  </si>
  <si>
    <t>2024-06-24T13:31:37Z</t>
  </si>
  <si>
    <t>https://github.com/cloudwarriors-ai/zoom_presales_django/issues/154</t>
  </si>
  <si>
    <t>RFCT: /hardware/ Speed Dial Bulk Import's are sold per Bulk Import * See description</t>
  </si>
  <si>
    <t>2024-06-14T18:05:32Z</t>
  </si>
  <si>
    <t>2025-07-11T21:02:48Z</t>
  </si>
  <si>
    <t>2024-06-14T20:32:18Z</t>
  </si>
  <si>
    <t>https://github.com/cloudwarriors-ai/zoom_presales_django/issues/150</t>
  </si>
  <si>
    <t>Tooltip message</t>
  </si>
  <si>
    <t>2024-06-14T17:25:03Z</t>
  </si>
  <si>
    <t>2024-06-14T20:32:05Z</t>
  </si>
  <si>
    <t>https://github.com/cloudwarriors-ai/zoom_presales_django/issues/149</t>
  </si>
  <si>
    <t>Input type for all the pages</t>
  </si>
  <si>
    <t>2024-06-14T16:54:58Z</t>
  </si>
  <si>
    <t>2025-07-11T21:02:49Z</t>
  </si>
  <si>
    <t>2024-06-14T20:32:29Z</t>
  </si>
  <si>
    <t>https://github.com/cloudwarriors-ai/zoom_presales_django/issues/148</t>
  </si>
  <si>
    <t>RFCT: /hardware/ Adjust Verbiage and Questions (break down into multiple pages) * See Description for details</t>
  </si>
  <si>
    <t>2024-06-13T20:08:15Z</t>
  </si>
  <si>
    <t>2025-07-11T21:02:52Z</t>
  </si>
  <si>
    <t>2024-06-24T00:26:39Z</t>
  </si>
  <si>
    <t>https://github.com/cloudwarriors-ai/zoom_presales_django/issues/144</t>
  </si>
  <si>
    <t>RFCT: /wrapupquestions/ Additional Verbiage for the questions needs to be integrated in the page *See Description for exact details</t>
  </si>
  <si>
    <t>2024-06-13T19:29:23Z</t>
  </si>
  <si>
    <t>2025-07-11T21:02:53Z</t>
  </si>
  <si>
    <t>2024-06-18T02:29:43Z</t>
  </si>
  <si>
    <t>https://github.com/cloudwarriors-ai/zoom_presales_django/issues/143</t>
  </si>
  <si>
    <t>RFCT: /additions/ page goes straight to /checkout/  *See description for proper order</t>
  </si>
  <si>
    <t>2024-06-13T19:16:41Z</t>
  </si>
  <si>
    <t>2024-06-13T20:03:01Z</t>
  </si>
  <si>
    <t>https://github.com/cloudwarriors-ai/zoom_presales_django/issues/142</t>
  </si>
  <si>
    <t>RFCT: /additions/ Rename Page from 'Custom Additions' to 'Additions'</t>
  </si>
  <si>
    <t>2024-06-13T19:13:34Z</t>
  </si>
  <si>
    <t>2025-07-11T21:02:54Z</t>
  </si>
  <si>
    <t>2024-06-14T17:26:44Z</t>
  </si>
  <si>
    <t>https://github.com/cloudwarriors-ai/zoom_presales_django/issues/141</t>
  </si>
  <si>
    <t>RFCT: /hardware/ Delete the following fields from page: *See description*</t>
  </si>
  <si>
    <t>2024-06-13T19:07:56Z</t>
  </si>
  <si>
    <t>2025-07-11T21:02:55Z</t>
  </si>
  <si>
    <t>2024-06-18T16:38:13Z</t>
  </si>
  <si>
    <t>https://github.com/cloudwarriors-ai/zoom_presales_django/issues/140</t>
  </si>
  <si>
    <t>RFCT: /features/ change narrative under header * See description</t>
  </si>
  <si>
    <t>2024-06-13T18:31:55Z</t>
  </si>
  <si>
    <t>2025-07-11T21:02:56Z</t>
  </si>
  <si>
    <t>2024-06-18T16:38:02Z</t>
  </si>
  <si>
    <t>https://github.com/cloudwarriors-ai/zoom_presales_django/issues/139</t>
  </si>
  <si>
    <t>RFCT: (NEW PAGE) Add wrap up page with all the questions and fields below</t>
  </si>
  <si>
    <t>2024-06-13T00:05:36Z</t>
  </si>
  <si>
    <t>2025-07-11T21:03:00Z</t>
  </si>
  <si>
    <t>2024-06-24T00:16:27Z</t>
  </si>
  <si>
    <t>https://github.com/cloudwarriors-ai/zoom_presales_django/issues/132</t>
  </si>
  <si>
    <t>RFCT: /optioncount/ Ensure ZCX Model has all fields for the form detailed below</t>
  </si>
  <si>
    <t>2024-06-13T00:02:44Z</t>
  </si>
  <si>
    <t>2025-07-11T21:03:01Z</t>
  </si>
  <si>
    <t>2024-06-24T00:16:56Z</t>
  </si>
  <si>
    <t>https://github.com/cloudwarriors-ai/zoom_presales_django/issues/131</t>
  </si>
  <si>
    <t>RFCT: /optioncount/ add ZCX question: "If yes, please complete the form below"</t>
  </si>
  <si>
    <t>2024-06-13T00:00:17Z</t>
  </si>
  <si>
    <t>2025-07-11T21:03:02Z</t>
  </si>
  <si>
    <t>2024-06-24T00:17:11Z</t>
  </si>
  <si>
    <t>https://github.com/cloudwarriors-ai/zoom_presales_django/issues/130</t>
  </si>
  <si>
    <t>RFCT: /optioncount/ Add slider box for question: Is ZCX Included as part of this project? Yes or No.</t>
  </si>
  <si>
    <t>2024-06-12T23:58:24Z</t>
  </si>
  <si>
    <t>2024-06-24T00:17:38Z</t>
  </si>
  <si>
    <t>https://github.com/cloudwarriors-ai/zoom_presales_django/issues/129</t>
  </si>
  <si>
    <t>RFCT: /optioncount/ Remove CRM from option count page.</t>
  </si>
  <si>
    <t>2024-06-12T23:56:02Z</t>
  </si>
  <si>
    <t>2025-07-11T21:03:03Z</t>
  </si>
  <si>
    <t>2024-06-24T00:17:23Z</t>
  </si>
  <si>
    <t>https://github.com/cloudwarriors-ai/zoom_presales_django/issues/128</t>
  </si>
  <si>
    <t>RFCT: /authoption/ Add question to the bottom *See Description</t>
  </si>
  <si>
    <t>2024-06-12T23:42:54Z</t>
  </si>
  <si>
    <t>2025-07-11T21:03:04Z</t>
  </si>
  <si>
    <t>2024-06-13T16:10:07Z</t>
  </si>
  <si>
    <t>https://github.com/cloudwarriors-ai/zoom_presales_django/issues/127</t>
  </si>
  <si>
    <t>RFCT: /authoption/   Delete top two questions about customer integrations / applications.</t>
  </si>
  <si>
    <t>2024-06-12T23:41:58Z</t>
  </si>
  <si>
    <t>2024-06-13T16:10:00Z</t>
  </si>
  <si>
    <t>https://github.com/cloudwarriors-ai/zoom_presales_django/issues/126</t>
  </si>
  <si>
    <t>RFCT: /authoption/  Change name of form/page to ‘Additions.’</t>
  </si>
  <si>
    <t>2024-06-12T23:37:26Z</t>
  </si>
  <si>
    <t>2025-07-11T21:03:05Z</t>
  </si>
  <si>
    <t>2024-06-13T16:13:11Z</t>
  </si>
  <si>
    <t>https://github.com/cloudwarriors-ai/zoom_presales_django/issues/125</t>
  </si>
  <si>
    <t>RFCT: /hardware/ PAGE OVERHAUL *See Details</t>
  </si>
  <si>
    <t>2024-06-12T23:33:21Z</t>
  </si>
  <si>
    <t>2025-07-11T21:03:06Z</t>
  </si>
  <si>
    <t>2024-06-13T16:04:08Z</t>
  </si>
  <si>
    <t>https://github.com/cloudwarriors-ai/zoom_presales_django/issues/124</t>
  </si>
  <si>
    <t>RFCT: /paging/ (Verbiage Change) *See details</t>
  </si>
  <si>
    <t>2024-06-12T23:13:09Z</t>
  </si>
  <si>
    <t>2024-06-25T19:00:49Z</t>
  </si>
  <si>
    <t>https://github.com/cloudwarriors-ai/zoom_presales_django/issues/123</t>
  </si>
  <si>
    <t>RFCT: /features/  Delete the question about international port requests required.</t>
  </si>
  <si>
    <t>2024-06-12T23:10:04Z</t>
  </si>
  <si>
    <t>2025-07-11T21:03:07Z</t>
  </si>
  <si>
    <t>2024-06-24T00:26:08Z</t>
  </si>
  <si>
    <t>https://github.com/cloudwarriors-ai/zoom_presales_django/issues/122</t>
  </si>
  <si>
    <t>RFCT: /features/ (Verbiage Change) *See details</t>
  </si>
  <si>
    <t>2024-06-12T23:08:35Z</t>
  </si>
  <si>
    <t>2025-07-11T21:03:08Z</t>
  </si>
  <si>
    <t>2024-06-18T16:39:53Z</t>
  </si>
  <si>
    <t>https://github.com/cloudwarriors-ai/zoom_presales_django/issues/121</t>
  </si>
  <si>
    <t>RFCT: /location/ (PAGE OVERHAUL) *See Details*</t>
  </si>
  <si>
    <t>2024-06-12T22:48:45Z</t>
  </si>
  <si>
    <t>2025-07-11T21:03:09Z</t>
  </si>
  <si>
    <t>2024-06-24T00:18:00Z</t>
  </si>
  <si>
    <t>https://github.com/cloudwarriors-ai/zoom_presales_django/issues/120</t>
  </si>
  <si>
    <t>RFCT: /license/ “Licenses” Page (PAGE OVERHAUL) *See details</t>
  </si>
  <si>
    <t>2024-06-12T22:47:12Z</t>
  </si>
  <si>
    <t>2024-06-24T00:20:32Z</t>
  </si>
  <si>
    <t>https://github.com/cloudwarriors-ai/zoom_presales_django/issues/119</t>
  </si>
  <si>
    <t>RFCT: /partnerinfo/ 2nd “Partner Information” Page (Page Deletion) *See details</t>
  </si>
  <si>
    <t>2024-06-12T22:44:31Z</t>
  </si>
  <si>
    <t>2025-07-11T21:03:10Z</t>
  </si>
  <si>
    <t>2024-06-13T16:12:58Z</t>
  </si>
  <si>
    <t>https://github.com/cloudwarriors-ai/zoom_presales_django/issues/118</t>
  </si>
  <si>
    <t>RFCT: /orderpage/ Website Deletion *See Details*</t>
  </si>
  <si>
    <t>2024-06-12T22:28:34Z</t>
  </si>
  <si>
    <t>2025-07-11T21:03:11Z</t>
  </si>
  <si>
    <t>2024-06-13T16:10:58Z</t>
  </si>
  <si>
    <t>https://github.com/cloudwarriors-ai/zoom_presales_django/issues/117</t>
  </si>
  <si>
    <t>RFCT: /orderpage/ Website addition *See Details*</t>
  </si>
  <si>
    <t>2024-06-12T22:27:29Z</t>
  </si>
  <si>
    <t>2024-06-13T16:10:47Z</t>
  </si>
  <si>
    <t>https://github.com/cloudwarriors-ai/zoom_presales_django/issues/116</t>
  </si>
  <si>
    <t>RFCT: /orderpage/ 1st “Partner Information” Page *Verbiage Change See Details*</t>
  </si>
  <si>
    <t>2024-06-12T22:25:58Z</t>
  </si>
  <si>
    <t>2025-07-11T21:03:12Z</t>
  </si>
  <si>
    <t>2024-06-13T16:10:36Z</t>
  </si>
  <si>
    <t>https://github.com/cloudwarriors-ai/zoom_presales_django/issues/115</t>
  </si>
  <si>
    <t>RFCT: /orderstatus/ "Order Status Page" *Verbiage Changes See Details Below*</t>
  </si>
  <si>
    <t>2024-06-12T21:45:43Z</t>
  </si>
  <si>
    <t>2025-07-11T21:03:13Z</t>
  </si>
  <si>
    <t>2024-06-13T16:10:29Z</t>
  </si>
  <si>
    <t>https://github.com/cloudwarriors-ai/zoom_presales_django/issues/114</t>
  </si>
  <si>
    <t>RFCT: Primary Site Header *See Details Below*</t>
  </si>
  <si>
    <t>2024-06-12T21:42:55Z</t>
  </si>
  <si>
    <t>2024-06-12T22:20:37Z</t>
  </si>
  <si>
    <t>https://github.com/cloudwarriors-ai/zoom_presales_django/issues/113</t>
  </si>
  <si>
    <t>RFCT: /Sign in Page/ Edit text to say, “If you have not created an account, please sign up now.”</t>
  </si>
  <si>
    <t>2024-06-12T21:39:34Z</t>
  </si>
  <si>
    <t>2025-07-11T21:03:14Z</t>
  </si>
  <si>
    <t>2024-06-12T22:41:43Z</t>
  </si>
  <si>
    <t>https://github.com/cloudwarriors-ai/zoom_presales_django/issues/112</t>
  </si>
  <si>
    <t>RFCT: Secondary Footer Change *Details Below*</t>
  </si>
  <si>
    <t>2024-06-12T21:37:18Z</t>
  </si>
  <si>
    <t>2025-07-11T21:03:15Z</t>
  </si>
  <si>
    <t>2024-06-12T22:25:09Z</t>
  </si>
  <si>
    <t>https://github.com/cloudwarriors-ai/zoom_presales_django/issues/111</t>
  </si>
  <si>
    <t>RFCT: Primarey Footer Change *Details Below*</t>
  </si>
  <si>
    <t>2024-06-12T21:36:19Z</t>
  </si>
  <si>
    <t>2025-07-11T21:03:16Z</t>
  </si>
  <si>
    <t>2024-06-12T22:18:29Z</t>
  </si>
  <si>
    <t>https://github.com/cloudwarriors-ai/zoom_presales_django/issues/110</t>
  </si>
  <si>
    <t>PSO number add to order</t>
  </si>
  <si>
    <t>2024-06-12T14:35:50Z</t>
  </si>
  <si>
    <t>2025-07-11T21:03:18Z</t>
  </si>
  <si>
    <t>2024-06-13T16:10:14Z</t>
  </si>
  <si>
    <t>https://github.com/cloudwarriors-ai/zoom_presales_django/issues/106</t>
  </si>
  <si>
    <t>P1: "Foreign Port Request" (WEBSITE ADDITION) *see details below*</t>
  </si>
  <si>
    <t>2024-06-12T01:05:59Z</t>
  </si>
  <si>
    <t>2025-07-11T21:03:23Z</t>
  </si>
  <si>
    <t>2024-06-12T17:01:37Z</t>
  </si>
  <si>
    <t>https://github.com/cloudwarriors-ai/zoom_presales_django/issues/101</t>
  </si>
  <si>
    <t>P2: /authoption/ App Names is a mandaotry field. Needs a string to move forward. Should be optional</t>
  </si>
  <si>
    <t>2024-06-11T23:21:15Z</t>
  </si>
  <si>
    <t>2025-07-11T21:03:24Z</t>
  </si>
  <si>
    <t>2024-06-12T17:06:48Z</t>
  </si>
  <si>
    <t>https://github.com/cloudwarriors-ai/zoom_presales_django/issues/100</t>
  </si>
  <si>
    <t>P2: /features/ Might want to consider a help text specifying what actually constitutes "small" "medium" or "large" ATA's (Description Below)</t>
  </si>
  <si>
    <t>2024-06-11T23:15:52Z</t>
  </si>
  <si>
    <t>2024-06-12T17:01:55Z</t>
  </si>
  <si>
    <t>https://github.com/cloudwarriors-ai/zoom_presales_django/issues/99</t>
  </si>
  <si>
    <t>P1: /license/ When adding more licenses like CAP licenses to the order those licenses don't show up in the order details</t>
  </si>
  <si>
    <t>2024-06-11T22:34:30Z</t>
  </si>
  <si>
    <t>2025-07-11T21:03:25Z</t>
  </si>
  <si>
    <t>2024-06-13T00:06:28Z</t>
  </si>
  <si>
    <t>https://github.com/cloudwarriors-ai/zoom_presales_django/issues/98</t>
  </si>
  <si>
    <t>P1: /license/ Additional DID's aren't showing up in the order details</t>
  </si>
  <si>
    <t>2024-06-11T22:33:39Z</t>
  </si>
  <si>
    <t>2025-07-11T21:03:26Z</t>
  </si>
  <si>
    <t>2024-06-13T14:37:52Z</t>
  </si>
  <si>
    <t>https://github.com/cloudwarriors-ai/zoom_presales_django/issues/97</t>
  </si>
  <si>
    <t>P2: /hardware/ Might want to consider changing "Automate reprovisioning" to "Bulk Phone/ Handset Reprovisioning" because that is what we will call it on the SOW.</t>
  </si>
  <si>
    <t>2024-06-11T22:19:21Z</t>
  </si>
  <si>
    <t>2024-06-12T17:02:15Z</t>
  </si>
  <si>
    <t>https://github.com/cloudwarriors-ai/zoom_presales_django/issues/96</t>
  </si>
  <si>
    <t>P1: /hardware/ "Reprovisioning Assistance" needs to be taken off the website as an option. Leadership does not want to offer "basic reprovisioining assistance as a service"</t>
  </si>
  <si>
    <t>2024-06-11T22:17:35Z</t>
  </si>
  <si>
    <t>2025-07-11T21:03:27Z</t>
  </si>
  <si>
    <t>2024-06-12T17:02:29Z</t>
  </si>
  <si>
    <t>https://github.com/cloudwarriors-ai/zoom_presales_django/issues/95</t>
  </si>
  <si>
    <t>P1: "Delegation Groups" needs to be changed to "Delegations." on the Website. (Delegations will be charged per delegation)</t>
  </si>
  <si>
    <t>2024-06-11T22:14:56Z</t>
  </si>
  <si>
    <t>2025-07-11T21:03:28Z</t>
  </si>
  <si>
    <t>2024-06-12T17:02:38Z</t>
  </si>
  <si>
    <t>https://github.com/cloudwarriors-ai/zoom_presales_django/issues/94</t>
  </si>
  <si>
    <t>P1: "Speed Dial Bulk Import" needs to be added as an option to choose from in our website. Price is calculated in the SOW (WEBSITE ADDITION)</t>
  </si>
  <si>
    <t>2024-06-10T19:34:25Z</t>
  </si>
  <si>
    <t>2025-07-11T21:03:30Z</t>
  </si>
  <si>
    <t>2024-06-12T17:04:07Z</t>
  </si>
  <si>
    <t>https://github.com/cloudwarriors-ai/zoom_presales_django/issues/91</t>
  </si>
  <si>
    <t>Header.html (Home, Product Configuration, et...)</t>
  </si>
  <si>
    <t>2024-06-10T17:59:16Z</t>
  </si>
  <si>
    <t>2025-07-11T21:03:31Z</t>
  </si>
  <si>
    <t>2024-06-12T14:31:07Z</t>
  </si>
  <si>
    <t>https://github.com/cloudwarriors-ai/zoom_presales_django/issues/90</t>
  </si>
  <si>
    <t>Add Section Cost That returns as a Data Structure that factors into the Total Cost (COST BREAKDOWN FOR ALL SECTIONS)</t>
  </si>
  <si>
    <t>2024-06-10T17:01:03Z</t>
  </si>
  <si>
    <t>2025-07-11T21:03:32Z</t>
  </si>
  <si>
    <t>2024-06-24T00:18:58Z</t>
  </si>
  <si>
    <t>https://github.com/cloudwarriors-ai/zoom_presales_django/issues/88</t>
  </si>
  <si>
    <t>Location, add floors field</t>
  </si>
  <si>
    <t>2024-06-10T14:35:33Z</t>
  </si>
  <si>
    <t>2025-07-11T21:03:35Z</t>
  </si>
  <si>
    <t>2024-06-12T02:56:00Z</t>
  </si>
  <si>
    <t>https://github.com/cloudwarriors-ai/zoom_presales_django/issues/84</t>
  </si>
  <si>
    <t>P1: /authoption/ Need to figure out a way to count Marketplace Apps. SOW calculates per Marketplace App (Website Addition)</t>
  </si>
  <si>
    <t>2024-06-09T03:11:30Z</t>
  </si>
  <si>
    <t>2025-07-11T21:03:37Z</t>
  </si>
  <si>
    <t>2024-06-12T17:02:56Z</t>
  </si>
  <si>
    <t>https://github.com/cloudwarriors-ai/zoom_presales_django/issues/82</t>
  </si>
  <si>
    <t>P1: /location/ Choosing the amount of Go Lives does not populate in the order details (database)</t>
  </si>
  <si>
    <t>2024-06-09T01:55:15Z</t>
  </si>
  <si>
    <t>2024-06-10T16:35:14Z</t>
  </si>
  <si>
    <t>https://github.com/cloudwarriors-ai/zoom_presales_django/issues/81</t>
  </si>
  <si>
    <t>P1: /location/ Add a way to count floors on the sites page - needs to be calculated into the Cost on the SOW. (WEBSITE ADDITION)</t>
  </si>
  <si>
    <t>2024-06-09T01:39:36Z</t>
  </si>
  <si>
    <t>2025-07-11T21:03:38Z</t>
  </si>
  <si>
    <t>2024-06-11T22:23:38Z</t>
  </si>
  <si>
    <t>https://github.com/cloudwarriors-ai/zoom_presales_django/issues/80</t>
  </si>
  <si>
    <t>/hardware/ Automate reprovisioning selection doesn't populate in order details</t>
  </si>
  <si>
    <t>2024-06-09T01:29:12Z</t>
  </si>
  <si>
    <t>2025-07-11T21:03:39Z</t>
  </si>
  <si>
    <t>2024-06-10T16:27:39Z</t>
  </si>
  <si>
    <t>https://github.com/cloudwarriors-ai/zoom_presales_django/issues/79</t>
  </si>
  <si>
    <t>/hardware/ Reprovisioning Assistance Doesn't Populate in the order details.</t>
  </si>
  <si>
    <t>2024-06-09T01:28:12Z</t>
  </si>
  <si>
    <t>2024-06-10T16:31:33Z</t>
  </si>
  <si>
    <t>https://github.com/cloudwarriors-ai/zoom_presales_django/issues/78</t>
  </si>
  <si>
    <t>P1: Bring Your Own PBX Integration needs two types of integrations (zoom and customer) Both are priced differently (WEBSITE ADDITION)</t>
  </si>
  <si>
    <t>2024-06-09T01:08:25Z</t>
  </si>
  <si>
    <t>2025-07-11T21:03:40Z</t>
  </si>
  <si>
    <t>2024-06-10T16:31:43Z</t>
  </si>
  <si>
    <t>https://github.com/cloudwarriors-ai/zoom_presales_django/issues/77</t>
  </si>
  <si>
    <t>P1: SBC Integration choices needed "AudioCode SBC Integration" and "Cisco SBC Integration" (Website Addition)</t>
  </si>
  <si>
    <t>2024-06-09T00:49:10Z</t>
  </si>
  <si>
    <t>2025-07-11T21:03:41Z</t>
  </si>
  <si>
    <t>2024-06-11T15:30:54Z</t>
  </si>
  <si>
    <t>https://github.com/cloudwarriors-ai/zoom_presales_django/issues/76</t>
  </si>
  <si>
    <t>/features/ When Going back to update ATA size and count after checkout cannot continue on. Hitting "Next" does nothing</t>
  </si>
  <si>
    <t>2024-06-08T21:15:05Z</t>
  </si>
  <si>
    <t>2025-07-11T21:03:42Z</t>
  </si>
  <si>
    <t>2024-06-13T00:05:51Z</t>
  </si>
  <si>
    <t>https://github.com/cloudwarriors-ai/zoom_presales_django/issues/75</t>
  </si>
  <si>
    <t>SOW integration from new zoom_calc and order_detail</t>
  </si>
  <si>
    <t>2024-06-07T15:33:56Z</t>
  </si>
  <si>
    <t>2025-07-11T21:03:44Z</t>
  </si>
  <si>
    <t>2024-06-13T00:06:09Z</t>
  </si>
  <si>
    <t>https://github.com/cloudwarriors-ai/zoom_presales_django/issues/72</t>
  </si>
  <si>
    <t>SOW needs admin page</t>
  </si>
  <si>
    <t>2024-06-07T15:31:26Z</t>
  </si>
  <si>
    <t>2025-07-11T21:03:45Z</t>
  </si>
  <si>
    <t>2024-06-24T00:24:01Z</t>
  </si>
  <si>
    <t>https://github.com/cloudwarriors-ai/zoom_presales_django/issues/71</t>
  </si>
  <si>
    <t>SOW file generation</t>
  </si>
  <si>
    <t>2024-06-07T15:30:05Z</t>
  </si>
  <si>
    <t>2024-06-13T00:06:42Z</t>
  </si>
  <si>
    <t>https://github.com/cloudwarriors-ai/zoom_presales_django/issues/70</t>
  </si>
  <si>
    <t>P1: Shared Line Groups and Group Pickups are added into the calculated total for Call Queues on the SOW (Website Option Addition)</t>
  </si>
  <si>
    <t>2024-06-06T20:25:17Z</t>
  </si>
  <si>
    <t>2025-07-11T21:03:47Z</t>
  </si>
  <si>
    <t>2024-06-10T16:31:54Z</t>
  </si>
  <si>
    <t>https://github.com/cloudwarriors-ai/zoom_presales_django/issues/67</t>
  </si>
  <si>
    <t>Generate SOW - Added User Management Group(s) value field</t>
  </si>
  <si>
    <t>2024-06-06T20:21:23Z</t>
  </si>
  <si>
    <t>2025-07-11T21:03:48Z</t>
  </si>
  <si>
    <t>2024-06-09T01:30:11Z</t>
  </si>
  <si>
    <t>https://github.com/cloudwarriors-ai/zoom_presales_django/issues/66</t>
  </si>
  <si>
    <t>Generate SOW - added additional E911 Zone Count to the generated SOW.</t>
  </si>
  <si>
    <t>2024-06-06T19:50:15Z</t>
  </si>
  <si>
    <t>2025-07-11T21:03:49Z</t>
  </si>
  <si>
    <t>2024-06-09T01:30:34Z</t>
  </si>
  <si>
    <t>https://github.com/cloudwarriors-ai/zoom_presales_django/issues/65</t>
  </si>
  <si>
    <t>SOW Template - Took License type off the Template. Unapplicable to the Calculation of Price.</t>
  </si>
  <si>
    <t>2024-06-06T14:48:34Z</t>
  </si>
  <si>
    <t>2025-07-11T21:03:52Z</t>
  </si>
  <si>
    <t>2024-06-09T01:30:22Z</t>
  </si>
  <si>
    <t>https://github.com/cloudwarriors-ai/zoom_presales_django/issues/60</t>
  </si>
  <si>
    <t>Generate SOW - Add the ability to chose a number of Additional DIDs to the generated SOW</t>
  </si>
  <si>
    <t>2024-06-06T14:32:04Z</t>
  </si>
  <si>
    <t>2025-07-11T21:03:53Z</t>
  </si>
  <si>
    <t>2024-06-09T01:29:49Z</t>
  </si>
  <si>
    <t>https://github.com/cloudwarriors-ai/zoom_presales_django/issues/59</t>
  </si>
  <si>
    <t>Generate SOW - Fix SSO configuration options</t>
  </si>
  <si>
    <t>2024-06-05T16:45:13Z</t>
  </si>
  <si>
    <t>2025-07-11T21:03:56Z</t>
  </si>
  <si>
    <t>2024-06-05T20:27:41Z</t>
  </si>
  <si>
    <t>https://github.com/cloudwarriors-ai/zoom_presales_django/issues/55</t>
  </si>
  <si>
    <t>License Page - DB Fix</t>
  </si>
  <si>
    <t>2024-06-05T16:05:44Z</t>
  </si>
  <si>
    <t>2025-07-11T21:03:57Z</t>
  </si>
  <si>
    <t>2024-06-05T16:07:04Z</t>
  </si>
  <si>
    <t>https://github.com/cloudwarriors-ai/zoom_presales_django/issues/54</t>
  </si>
  <si>
    <t>checkout edit and checkout buttons on pages</t>
  </si>
  <si>
    <t>2024-06-05T15:02:23Z</t>
  </si>
  <si>
    <t>2024-10-23T14:27:44Z</t>
  </si>
  <si>
    <t>https://github.com/cloudwarriors-ai/zoom_presales_django/issues/53</t>
  </si>
  <si>
    <t>P1: /locationsize/ Website Glitch Breaking the page and preventing the user from continuing on when hitting submit</t>
  </si>
  <si>
    <t>2024-06-05T14:10:34Z</t>
  </si>
  <si>
    <t>2025-07-11T21:03:58Z</t>
  </si>
  <si>
    <t>2024-06-24T00:20:17Z</t>
  </si>
  <si>
    <t>https://github.com/cloudwarriors-ai/zoom_presales_django/issues/52</t>
  </si>
  <si>
    <t>Generate SOW - Deployment Type needs Fixed</t>
  </si>
  <si>
    <t>2024-06-05T13:44:13Z</t>
  </si>
  <si>
    <t>2025-07-11T21:03:59Z</t>
  </si>
  <si>
    <t>2024-06-05T20:28:20Z</t>
  </si>
  <si>
    <t>https://github.com/cloudwarriors-ai/zoom_presales_django/issues/51</t>
  </si>
  <si>
    <t>Hardware - Type change</t>
  </si>
  <si>
    <t>2024-06-05T06:36:06Z</t>
  </si>
  <si>
    <t>2025-07-11T21:04:00Z</t>
  </si>
  <si>
    <t>2024-06-05T16:06:49Z</t>
  </si>
  <si>
    <t>https://github.com/cloudwarriors-ai/zoom_presales_django/issues/49</t>
  </si>
  <si>
    <t>Hardware - Phone Usage Change</t>
  </si>
  <si>
    <t>2024-06-05T06:34:29Z</t>
  </si>
  <si>
    <t>2025-07-11T21:04:01Z</t>
  </si>
  <si>
    <t>2024-06-05T16:06:48Z</t>
  </si>
  <si>
    <t>https://github.com/cloudwarriors-ai/zoom_presales_django/issues/48</t>
  </si>
  <si>
    <t>Hardware - Paging</t>
  </si>
  <si>
    <t>2024-06-05T06:30:15Z</t>
  </si>
  <si>
    <t>https://github.com/cloudwarriors-ai/zoom_presales_django/issues/47</t>
  </si>
  <si>
    <t>Hardware - Analog Paging needs to be changed to paging type</t>
  </si>
  <si>
    <t>2024-06-05T06:28:53Z</t>
  </si>
  <si>
    <t>2025-07-11T21:04:02Z</t>
  </si>
  <si>
    <t>https://github.com/cloudwarriors-ai/zoom_presales_django/issues/46</t>
  </si>
  <si>
    <t>Hardware - Change Checkboxes to Sliders</t>
  </si>
  <si>
    <t>2024-06-05T06:27:37Z</t>
  </si>
  <si>
    <t>2025-07-11T21:04:03Z</t>
  </si>
  <si>
    <t>2024-06-05T16:06:47Z</t>
  </si>
  <si>
    <t>https://github.com/cloudwarriors-ai/zoom_presales_django/issues/45</t>
  </si>
  <si>
    <t>License Page - DB Entry Fix</t>
  </si>
  <si>
    <t>2024-06-05T04:37:00Z</t>
  </si>
  <si>
    <t>2025-07-11T21:04:05Z</t>
  </si>
  <si>
    <t>2024-06-13T00:10:06Z</t>
  </si>
  <si>
    <t>https://github.com/cloudwarriors-ai/zoom_presales_django/issues/42</t>
  </si>
  <si>
    <t>License Page - add/remove license type and amount button</t>
  </si>
  <si>
    <t>2024-06-05T04:36:12Z</t>
  </si>
  <si>
    <t>https://github.com/cloudwarriors-ai/zoom_presales_django/issues/41</t>
  </si>
  <si>
    <t>License Page - Add hyperlink to License Resource</t>
  </si>
  <si>
    <t>2024-06-05T04:35:03Z</t>
  </si>
  <si>
    <t>2025-07-11T21:04:06Z</t>
  </si>
  <si>
    <t>https://github.com/cloudwarriors-ai/zoom_presales_django/issues/40</t>
  </si>
  <si>
    <t>License Page - Remove Common Area Toggle, Add Common Area license selections</t>
  </si>
  <si>
    <t>2024-06-05T04:34:22Z</t>
  </si>
  <si>
    <t>2025-07-11T21:04:07Z</t>
  </si>
  <si>
    <t>2024-06-05T16:06:46Z</t>
  </si>
  <si>
    <t>https://github.com/cloudwarriors-ai/zoom_presales_django/issues/39</t>
  </si>
  <si>
    <t>License Page - Add User License Options</t>
  </si>
  <si>
    <t>2024-06-05T04:32:58Z</t>
  </si>
  <si>
    <t>https://github.com/cloudwarriors-ai/zoom_presales_django/issues/38</t>
  </si>
  <si>
    <t>P1: Custom Application Development (Website Option Addition)</t>
  </si>
  <si>
    <t>2024-06-04T22:48:06Z</t>
  </si>
  <si>
    <t>2025-07-11T21:04:08Z</t>
  </si>
  <si>
    <t>2024-06-12T17:03:29Z</t>
  </si>
  <si>
    <t>https://github.com/cloudwarriors-ai/zoom_presales_django/issues/37</t>
  </si>
  <si>
    <t>/sbcpbx/ BYOC and PBX needs to be more specific for AE/customer</t>
  </si>
  <si>
    <t>2024-06-04T22:45:19Z</t>
  </si>
  <si>
    <t>2025-07-11T21:04:09Z</t>
  </si>
  <si>
    <t>2024-06-13T00:08:40Z</t>
  </si>
  <si>
    <t>https://github.com/cloudwarriors-ai/zoom_presales_django/issues/36</t>
  </si>
  <si>
    <t>/sbcpbx/  SBC's types needs to be more specific</t>
  </si>
  <si>
    <t>2024-06-04T22:38:58Z</t>
  </si>
  <si>
    <t>2025-07-11T21:04:10Z</t>
  </si>
  <si>
    <t>2024-06-10T19:47:11Z</t>
  </si>
  <si>
    <t>https://github.com/cloudwarriors-ai/zoom_presales_django/issues/35</t>
  </si>
  <si>
    <t>P1: Additional Go Live Events (Website Option Addition)</t>
  </si>
  <si>
    <t>2024-06-04T21:23:37Z</t>
  </si>
  <si>
    <t>2025-07-11T21:04:11Z</t>
  </si>
  <si>
    <t>2024-06-10T20:04:57Z</t>
  </si>
  <si>
    <t>https://github.com/cloudwarriors-ai/zoom_presales_django/issues/34</t>
  </si>
  <si>
    <t>P1: Delegations (Website Option Addition)</t>
  </si>
  <si>
    <t>2024-06-04T20:54:35Z</t>
  </si>
  <si>
    <t>2024-06-11T15:31:13Z</t>
  </si>
  <si>
    <t>https://github.com/cloudwarriors-ai/zoom_presales_django/issues/33</t>
  </si>
  <si>
    <t>/create_sow/ Key Error</t>
  </si>
  <si>
    <t>2024-06-04T20:16:38Z</t>
  </si>
  <si>
    <t>2025-07-11T21:04:12Z</t>
  </si>
  <si>
    <t>2024-06-09T01:31:15Z</t>
  </si>
  <si>
    <t>https://github.com/cloudwarriors-ai/zoom_presales_django/issues/32</t>
  </si>
  <si>
    <t>/order-details/ Key Error</t>
  </si>
  <si>
    <t>2024-06-04T20:15:54Z</t>
  </si>
  <si>
    <t>2024-06-09T01:31:25Z</t>
  </si>
  <si>
    <t>https://github.com/cloudwarriors-ai/zoom_presales_django/issues/31</t>
  </si>
  <si>
    <t>P1: User Management Groups (Website Option Addition)</t>
  </si>
  <si>
    <t>2024-06-04T20:02:47Z</t>
  </si>
  <si>
    <t>2025-07-11T21:04:13Z</t>
  </si>
  <si>
    <t>2024-06-11T15:31:24Z</t>
  </si>
  <si>
    <t>https://github.com/cloudwarriors-ai/zoom_presales_django/issues/30</t>
  </si>
  <si>
    <t>P1: Additional DID's (Website Option Addition)</t>
  </si>
  <si>
    <t>2024-06-04T19:51:36Z</t>
  </si>
  <si>
    <t>2025-07-11T21:04:14Z</t>
  </si>
  <si>
    <t>2024-06-10T16:31:17Z</t>
  </si>
  <si>
    <t>https://github.com/cloudwarriors-ai/zoom_presales_django/issues/29</t>
  </si>
  <si>
    <t>Need default.css Template so we dont have to keep creating/editing the style elements inside of the html file</t>
  </si>
  <si>
    <t>2024-06-04T19:22:56Z</t>
  </si>
  <si>
    <t>2025-07-11T21:04:15Z</t>
  </si>
  <si>
    <t>2024-06-13T00:09:52Z</t>
  </si>
  <si>
    <t>https://github.com/cloudwarriors-ai/zoom_presales_django/issues/28</t>
  </si>
  <si>
    <t>/optioncount/ vague definitions for customer/AE input values</t>
  </si>
  <si>
    <t>2024-06-04T18:44:11Z</t>
  </si>
  <si>
    <t>2024-06-13T00:09:04Z</t>
  </si>
  <si>
    <t>https://github.com/cloudwarriors-ai/zoom_presales_django/issues/27</t>
  </si>
  <si>
    <t>/hardware/ page has vaugue definitions for customer input</t>
  </si>
  <si>
    <t>2024-06-04T18:34:34Z</t>
  </si>
  <si>
    <t>2025-07-11T21:04:16Z</t>
  </si>
  <si>
    <t>https://github.com/cloudwarriors-ai/zoom_presales_django/issues/26</t>
  </si>
  <si>
    <t>What does Phone Usage mean?</t>
  </si>
  <si>
    <t>2024-06-04T18:31:39Z</t>
  </si>
  <si>
    <t>2025-07-11T21:04:17Z</t>
  </si>
  <si>
    <t>2024-06-04T18:36:43Z</t>
  </si>
  <si>
    <t>https://github.com/cloudwarriors-ai/zoom_presales_django/issues/25</t>
  </si>
  <si>
    <t>Paging Zone Type</t>
  </si>
  <si>
    <t>2024-06-04T18:27:28Z</t>
  </si>
  <si>
    <t>2025-07-11T21:04:18Z</t>
  </si>
  <si>
    <t>2024-06-04T19:59:41Z</t>
  </si>
  <si>
    <t>https://github.com/cloudwarriors-ai/zoom_presales_django/issues/24</t>
  </si>
  <si>
    <t>/partnerinfo/ Can't Copy Paste ScreenShot</t>
  </si>
  <si>
    <t>2024-06-04T18:19:28Z</t>
  </si>
  <si>
    <t>2024-06-12T14:30:35Z</t>
  </si>
  <si>
    <t>https://github.com/cloudwarriors-ai/zoom_presales_django/issues/23</t>
  </si>
  <si>
    <t>SOW Creation VS SOW Template</t>
  </si>
  <si>
    <t>2024-06-04T16:02:27Z</t>
  </si>
  <si>
    <t>2025-07-11T21:04:19Z</t>
  </si>
  <si>
    <t>2024-06-12T03:00:22Z</t>
  </si>
  <si>
    <t>https://github.com/cloudwarriors-ai/zoom_presales_django/issues/22</t>
  </si>
  <si>
    <t>From Scott - Order Page - Spacing between Label Wording</t>
  </si>
  <si>
    <t>2024-06-04T03:06:34Z</t>
  </si>
  <si>
    <t>2025-07-11T21:04:21Z</t>
  </si>
  <si>
    <t>2024-06-04T15:22:59Z</t>
  </si>
  <si>
    <t>https://github.com/cloudwarriors-ai/zoom_presales_django/issues/19</t>
  </si>
  <si>
    <t>From Scott - Order Page - Definition of DM</t>
  </si>
  <si>
    <t>2024-06-04T03:05:20Z</t>
  </si>
  <si>
    <t>2025-07-11T21:04:22Z</t>
  </si>
  <si>
    <t>2024-06-04T15:21:58Z</t>
  </si>
  <si>
    <t>https://github.com/cloudwarriors-ai/zoom_presales_django/issues/18</t>
  </si>
  <si>
    <t>Paging Html needs to be fixed</t>
  </si>
  <si>
    <t>2024-06-03T16:39:56Z</t>
  </si>
  <si>
    <t>2025-07-11T21:04:24Z</t>
  </si>
  <si>
    <t>2024-06-05T16:06:45Z</t>
  </si>
  <si>
    <t>https://github.com/cloudwarriors-ai/zoom_presales_django/issues/16</t>
  </si>
  <si>
    <t>Feature html page needs to be fixed</t>
  </si>
  <si>
    <t>2024-06-03T16:37:52Z</t>
  </si>
  <si>
    <t>2024-06-04T15:22:24Z</t>
  </si>
  <si>
    <t>https://github.com/cloudwarriors-ai/zoom_presales_django/issues/15</t>
  </si>
  <si>
    <t>Add admin interface for the pricing data payload.</t>
  </si>
  <si>
    <t>2024-06-03T15:33:53Z</t>
  </si>
  <si>
    <t>2025-07-11T21:04:25Z</t>
  </si>
  <si>
    <t>2024-07-03T16:27:20Z</t>
  </si>
  <si>
    <t>https://github.com/cloudwarriors-ai/zoom_presales_django/issues/14</t>
  </si>
  <si>
    <t>fix partner page</t>
  </si>
  <si>
    <t>2024-06-02T16:59:58Z</t>
  </si>
  <si>
    <t>2025-07-11T21:04:26Z</t>
  </si>
  <si>
    <t>2024-06-03T16:34:12Z</t>
  </si>
  <si>
    <t>https://github.com/cloudwarriors-ai/zoom_presales_django/issues/13</t>
  </si>
  <si>
    <t>Docusign flow, return guid and database update</t>
  </si>
  <si>
    <t>2024-06-02T16:46:01Z</t>
  </si>
  <si>
    <t>2024-06-24T00:22:34Z</t>
  </si>
  <si>
    <t>https://github.com/cloudwarriors-ai/zoom_presales_django/issues/12</t>
  </si>
  <si>
    <t>scheduling needs to be added to flow</t>
  </si>
  <si>
    <t>2024-06-02T16:44:55Z</t>
  </si>
  <si>
    <t>2025-07-11T21:04:27Z</t>
  </si>
  <si>
    <t>2024-10-23T14:26:27Z</t>
  </si>
  <si>
    <t>https://github.com/cloudwarriors-ai/zoom_presales_django/issues/11</t>
  </si>
  <si>
    <t>order status needs delete button on found orders</t>
  </si>
  <si>
    <t>2024-06-02T16:43:55Z</t>
  </si>
  <si>
    <t>2025-07-11T21:04:28Z</t>
  </si>
  <si>
    <t>2024-06-24T00:21:04Z</t>
  </si>
  <si>
    <t>https://github.com/cloudwarriors-ai/zoom_presales_django/issues/10</t>
  </si>
  <si>
    <t>template update for login and logout, account creation</t>
  </si>
  <si>
    <t>2024-06-02T16:43:02Z</t>
  </si>
  <si>
    <t>2024-06-24T00:21:49Z</t>
  </si>
  <si>
    <t>https://github.com/cloudwarriors-ai/zoom_presales_django/issues/9</t>
  </si>
  <si>
    <t>location UI/UX need rework</t>
  </si>
  <si>
    <t>2024-06-02T16:42:02Z</t>
  </si>
  <si>
    <t>2025-07-11T21:04:29Z</t>
  </si>
  <si>
    <t>2024-06-24T00:19:37Z</t>
  </si>
  <si>
    <t>https://github.com/cloudwarriors-ai/zoom_presales_django/issues/8</t>
  </si>
  <si>
    <t>back in the browser results in multiple db entries</t>
  </si>
  <si>
    <t>2024-06-02T16:40:32Z</t>
  </si>
  <si>
    <t>2025-07-11T21:04:30Z</t>
  </si>
  <si>
    <t>2024-06-24T00:21:23Z</t>
  </si>
  <si>
    <t>https://github.com/cloudwarriors-ai/zoom_presales_django/issues/7</t>
  </si>
  <si>
    <t>largelocation vs location</t>
  </si>
  <si>
    <t>2024-06-02T16:39:05Z</t>
  </si>
  <si>
    <t>2024-06-13T00:07:39Z</t>
  </si>
  <si>
    <t>https://github.com/cloudwarriors-ai/zoom_presales_django/issues/6</t>
  </si>
  <si>
    <t>redirect after login from sow creation</t>
  </si>
  <si>
    <t>2024-06-02T16:37:32Z</t>
  </si>
  <si>
    <t>2025-07-11T21:04:31Z</t>
  </si>
  <si>
    <t>2024-06-20T21:36:38Z</t>
  </si>
  <si>
    <t>https://github.com/cloudwarriors-ai/zoom_presales_django/issues/5</t>
  </si>
  <si>
    <t>location and locationsize calculations</t>
  </si>
  <si>
    <t>2024-06-02T16:36:01Z</t>
  </si>
  <si>
    <t>2025-07-11T21:04:32Z</t>
  </si>
  <si>
    <t>2024-06-13T00:07:12Z</t>
  </si>
  <si>
    <t>https://github.com/cloudwarriors-ai/zoom_presales_django/issues/4</t>
  </si>
  <si>
    <t>Importing is broken across all of the pages</t>
  </si>
  <si>
    <t>2025-02-18T16:25:45Z</t>
  </si>
  <si>
    <t>2025-07-11T21:09:45Z</t>
  </si>
  <si>
    <t>2025-05-20T15:13:24Z</t>
  </si>
  <si>
    <t>https://github.com/cloudwarriors-ai/codename_wad/issues/143</t>
  </si>
  <si>
    <t>Would it be possible to add the ability to display the projects in alphabetical order?</t>
  </si>
  <si>
    <t>2025-02-10T21:19:27Z</t>
  </si>
  <si>
    <t>2025-07-16T16:24:11Z</t>
  </si>
  <si>
    <t>https://github.com/cloudwarriors-ai/codename_wad/issues/142</t>
  </si>
  <si>
    <t>bulkporting import from csv fails</t>
  </si>
  <si>
    <t>2025-02-04T20:12:08Z</t>
  </si>
  <si>
    <t>2025-07-11T21:09:47Z</t>
  </si>
  <si>
    <t>2025-05-20T15:13:55Z</t>
  </si>
  <si>
    <t>https://github.com/cloudwarriors-ai/codename_wad/issues/141</t>
  </si>
  <si>
    <t>When adding a carrier, the BTN, account info and PIN are not required info</t>
  </si>
  <si>
    <t>2025-02-04T19:57:54Z</t>
  </si>
  <si>
    <t>2025-07-16T16:24:34Z</t>
  </si>
  <si>
    <t>https://github.com/cloudwarriors-ai/codename_wad/issues/140</t>
  </si>
  <si>
    <t>full build up from bare metal needs to be added to readme</t>
  </si>
  <si>
    <t>2024-11-20T21:25:53Z</t>
  </si>
  <si>
    <t>2025-07-16T16:24:48Z</t>
  </si>
  <si>
    <t>https://github.com/cloudwarriors-ai/codename_wad/issues/133</t>
  </si>
  <si>
    <t>.env template needs to reflect proper inputs</t>
  </si>
  <si>
    <t>2024-11-20T21:25:23Z</t>
  </si>
  <si>
    <t>2025-07-11T21:09:54Z</t>
  </si>
  <si>
    <t>2025-05-20T15:04:42Z</t>
  </si>
  <si>
    <t>https://github.com/cloudwarriors-ai/codename_wad/issues/132</t>
  </si>
  <si>
    <t>.env file zoombot false doesn't work as expected</t>
  </si>
  <si>
    <t>2024-11-20T21:24:57Z</t>
  </si>
  <si>
    <t>https://github.com/cloudwarriors-ai/codename_wad/issues/131</t>
  </si>
  <si>
    <t>e911 unable to save partial data</t>
  </si>
  <si>
    <t>2024-11-20T19:40:27Z</t>
  </si>
  <si>
    <t>2025-07-11T21:09:56Z</t>
  </si>
  <si>
    <t>2025-05-20T15:04:41Z</t>
  </si>
  <si>
    <t>https://github.com/cloudwarriors-ai/codename_wad/issues/129</t>
  </si>
  <si>
    <t>QOL - Add a section for users to leave a review</t>
  </si>
  <si>
    <t>2024-11-18T11:24:55Z</t>
  </si>
  <si>
    <t>2025-07-16T16:25:04Z</t>
  </si>
  <si>
    <t>PRIORITY: Low, SKILL: Medium, STATUS: In Progress</t>
  </si>
  <si>
    <t>https://github.com/cloudwarriors-ai/codename_wad/issues/126</t>
  </si>
  <si>
    <t>SOW Data pull from zoomwarriors</t>
  </si>
  <si>
    <t>2024-11-18T11:21:41Z</t>
  </si>
  <si>
    <t>2025-07-16T16:25:21Z</t>
  </si>
  <si>
    <t>PRIORITY: Low, SKILL: High, STATUS: In Progress</t>
  </si>
  <si>
    <t>https://github.com/cloudwarriors-ai/codename_wad/issues/125</t>
  </si>
  <si>
    <t>QOL - Add multiple selector for PM_PE Assignment to the project</t>
  </si>
  <si>
    <t>2024-11-18T11:19:00Z</t>
  </si>
  <si>
    <t>2025-07-16T16:25:36Z</t>
  </si>
  <si>
    <t>https://github.com/cloudwarriors-ai/codename_wad/issues/124</t>
  </si>
  <si>
    <t>Create a method for PM_PE to "Archive" Projects once complete</t>
  </si>
  <si>
    <t>2024-11-18T11:17:35Z</t>
  </si>
  <si>
    <t>2025-07-16T16:25:54Z</t>
  </si>
  <si>
    <t>https://github.com/cloudwarriors-ai/codename_wad/issues/123</t>
  </si>
  <si>
    <t>Checkout Page has been wiped from existence out of all of the dropdowns.</t>
  </si>
  <si>
    <t>2024-11-15T02:17:05Z</t>
  </si>
  <si>
    <t>2025-09-19T03:28:52Z</t>
  </si>
  <si>
    <t>2024-11-18T11:16:35Z</t>
  </si>
  <si>
    <t>https://github.com/cloudwarriors-ai/codename_wad/issues/118</t>
  </si>
  <si>
    <t>Home Page - View is using the user tag instead of custom user</t>
  </si>
  <si>
    <t>2024-11-13T23:12:58Z</t>
  </si>
  <si>
    <t>2024-11-18T11:16:30Z</t>
  </si>
  <si>
    <t>https://github.com/cloudwarriors-ai/codename_wad/issues/116</t>
  </si>
  <si>
    <t>Home Page User Display Spacing</t>
  </si>
  <si>
    <t>2024-11-13T23:10:31Z</t>
  </si>
  <si>
    <t>2025-09-19T03:28:51Z</t>
  </si>
  <si>
    <t>https://github.com/cloudwarriors-ai/codename_wad/issues/115</t>
  </si>
  <si>
    <t>Authorized Name Field Verbiage Update - From Scott Millisor</t>
  </si>
  <si>
    <t>2024-11-12T11:55:36Z</t>
  </si>
  <si>
    <t>2025-07-11T21:10:10Z</t>
  </si>
  <si>
    <t>https://github.com/cloudwarriors-ai/codename_wad/issues/111</t>
  </si>
  <si>
    <t>BULK PORTING PAGE - Verbiage/Functionality Fix - From Scott Millisor</t>
  </si>
  <si>
    <t>2024-11-12T11:54:03Z</t>
  </si>
  <si>
    <t>2025-07-11T21:10:11Z</t>
  </si>
  <si>
    <t>2025-05-20T15:04:40Z</t>
  </si>
  <si>
    <t>https://github.com/cloudwarriors-ai/codename_wad/issues/110</t>
  </si>
  <si>
    <t>LOSING CARRIER PAGE - Fix Verbiage/Validation - From Scott Millisor</t>
  </si>
  <si>
    <t>2024-11-12T11:51:02Z</t>
  </si>
  <si>
    <t>https://github.com/cloudwarriors-ai/codename_wad/issues/109</t>
  </si>
  <si>
    <t>restyle the modal on the home page for the email send, it just needs to be better</t>
  </si>
  <si>
    <t>2024-11-08T00:12:27Z</t>
  </si>
  <si>
    <t>2024-11-22T22:21:33Z</t>
  </si>
  <si>
    <t>https://github.com/cloudwarriors-ai/codename_wad/issues/103</t>
  </si>
  <si>
    <t>send button needs to be removed after invite is clicked along with the email.</t>
  </si>
  <si>
    <t>2024-11-07T22:50:36Z</t>
  </si>
  <si>
    <t>2025-07-11T21:10:17Z</t>
  </si>
  <si>
    <t>2024-11-15T02:17:21Z</t>
  </si>
  <si>
    <t>https://github.com/cloudwarriors-ai/codename_wad/issues/102</t>
  </si>
  <si>
    <t>Update the Alert Messaging for every page</t>
  </si>
  <si>
    <t>2024-11-07T16:36:36Z</t>
  </si>
  <si>
    <t>2024-11-22T22:21:14Z</t>
  </si>
  <si>
    <t>https://github.com/cloudwarriors-ai/codename_wad/issues/101</t>
  </si>
  <si>
    <t>E911 Page | Switch Info Column Does not show the JSON data in the column. Completed whited out.</t>
  </si>
  <si>
    <t>2024-11-07T11:24:24Z</t>
  </si>
  <si>
    <t>2025-07-11T21:10:18Z</t>
  </si>
  <si>
    <t>2024-11-15T02:17:57Z</t>
  </si>
  <si>
    <t>https://github.com/cloudwarriors-ai/codename_wad/issues/100</t>
  </si>
  <si>
    <t>CAP Page | Select Outbound Caller ID does not accept "off" or "on"</t>
  </si>
  <si>
    <t>2024-11-07T11:01:28Z</t>
  </si>
  <si>
    <t>2025-07-11T21:10:19Z</t>
  </si>
  <si>
    <t>https://github.com/cloudwarriors-ai/codename_wad/issues/99</t>
  </si>
  <si>
    <t>Project User Page | Select Outbound Caller ID does not accept "off" or "on"</t>
  </si>
  <si>
    <t>2024-11-07T10:58:35Z</t>
  </si>
  <si>
    <t>2025-07-11T21:10:20Z</t>
  </si>
  <si>
    <t>2024-11-15T02:17:56Z</t>
  </si>
  <si>
    <t>https://github.com/cloudwarriors-ai/codename_wad/issues/98</t>
  </si>
  <si>
    <t>Across all pages | Extension number column can accept 911 and 988</t>
  </si>
  <si>
    <t>2024-11-07T10:52:39Z</t>
  </si>
  <si>
    <t>https://github.com/cloudwarriors-ai/codename_wad/issues/97</t>
  </si>
  <si>
    <t>Project User Page | Package Column does not accept "Basic" or "None"</t>
  </si>
  <si>
    <t>2024-11-07T10:27:20Z</t>
  </si>
  <si>
    <t>2025-07-11T21:10:21Z</t>
  </si>
  <si>
    <t>https://github.com/cloudwarriors-ai/codename_wad/issues/96</t>
  </si>
  <si>
    <t>Site Page | New or Copy From A Site Auto Receptionist Column cannot input "Yes" or "No"</t>
  </si>
  <si>
    <t>2024-11-07T10:19:43Z</t>
  </si>
  <si>
    <t>2025-07-11T21:10:22Z</t>
  </si>
  <si>
    <t>2024-11-15T02:17:55Z</t>
  </si>
  <si>
    <t>https://github.com/cloudwarriors-ai/codename_wad/issues/95</t>
  </si>
  <si>
    <t>Site Page | New or Copy From A Site Auto Receptionist Column cannot input</t>
  </si>
  <si>
    <t>2024-11-07T10:16:33Z</t>
  </si>
  <si>
    <t>2024-11-07T10:23:17Z</t>
  </si>
  <si>
    <t>https://github.com/cloudwarriors-ai/codename_wad/issues/94</t>
  </si>
  <si>
    <t>Number Porting Page | Account Telephone Number Column can input phone number longer than 10 digits</t>
  </si>
  <si>
    <t>2024-11-07T10:07:23Z</t>
  </si>
  <si>
    <t>2025-07-11T21:10:23Z</t>
  </si>
  <si>
    <t>https://github.com/cloudwarriors-ai/codename_wad/issues/93</t>
  </si>
  <si>
    <t>PE/PM view window CW Logo and CW ZOOMBOOK on Top left and right do not resize when resizing window</t>
  </si>
  <si>
    <t>2024-11-05T19:07:16Z</t>
  </si>
  <si>
    <t>2025-09-19T03:28:50Z</t>
  </si>
  <si>
    <t>2025-05-20T15:04:39Z</t>
  </si>
  <si>
    <t>https://github.com/cloudwarriors-ai/codename_wad/issues/84</t>
  </si>
  <si>
    <t>Request Project, Edit Project, Create Project Pages - Shared Line Groups and Call Queues can be optional</t>
  </si>
  <si>
    <t>2024-11-05T15:22:58Z</t>
  </si>
  <si>
    <t>2025-07-11T21:10:31Z</t>
  </si>
  <si>
    <t>2024-11-06T22:11:29Z</t>
  </si>
  <si>
    <t>https://github.com/cloudwarriors-ai/codename_wad/issues/83</t>
  </si>
  <si>
    <t>HOME PAGE - Add another table for invited projects</t>
  </si>
  <si>
    <t>2024-11-05T15:18:27Z</t>
  </si>
  <si>
    <t>https://github.com/cloudwarriors-ai/codename_wad/issues/82</t>
  </si>
  <si>
    <t>LOSING CARRIER PAGE - Chatbot window resize is broken</t>
  </si>
  <si>
    <t>2024-11-05T14:50:03Z</t>
  </si>
  <si>
    <t>2025-07-11T21:10:32Z</t>
  </si>
  <si>
    <t>2024-11-06T18:48:18Z</t>
  </si>
  <si>
    <t>https://github.com/cloudwarriors-ai/codename_wad/issues/81</t>
  </si>
  <si>
    <t>HOME PAGE - Invite button needs to be hidden after initial click</t>
  </si>
  <si>
    <t>2024-11-05T14:48:38Z</t>
  </si>
  <si>
    <t>2025-07-11T21:10:33Z</t>
  </si>
  <si>
    <t>2024-11-06T01:15:27Z</t>
  </si>
  <si>
    <t>https://github.com/cloudwarriors-ai/codename_wad/issues/80</t>
  </si>
  <si>
    <t>Zoom VPN Blocks Site</t>
  </si>
  <si>
    <t>2024-11-05T14:46:56Z</t>
  </si>
  <si>
    <t>2024-11-05T16:37:24Z</t>
  </si>
  <si>
    <t>https://github.com/cloudwarriors-ai/codename_wad/issues/79</t>
  </si>
  <si>
    <t>LOSING CARRIER PAGE - Data disappears from the customer view after losing carrier submit</t>
  </si>
  <si>
    <t>2024-11-05T14:39:04Z</t>
  </si>
  <si>
    <t>2025-07-11T21:10:34Z</t>
  </si>
  <si>
    <t>2024-11-07T07:32:57Z</t>
  </si>
  <si>
    <t>https://github.com/cloudwarriors-ai/codename_wad/issues/78</t>
  </si>
  <si>
    <t>All Pages - Parentheses added to Data on import csv</t>
  </si>
  <si>
    <t>2024-11-05T14:37:03Z</t>
  </si>
  <si>
    <t>2025-07-11T21:10:35Z</t>
  </si>
  <si>
    <t>2024-11-07T06:43:49Z</t>
  </si>
  <si>
    <t>https://github.com/cloudwarriors-ai/codename_wad/issues/77</t>
  </si>
  <si>
    <t>create domain and url for wad site</t>
  </si>
  <si>
    <t>2024-10-22T14:48:31Z</t>
  </si>
  <si>
    <t>2025-07-11T21:10:58Z</t>
  </si>
  <si>
    <t>2024-11-06T18:48:57Z</t>
  </si>
  <si>
    <t>https://github.com/cloudwarriors-ai/codename_wad/issues/46</t>
  </si>
  <si>
    <t>Check for login on all functions</t>
  </si>
  <si>
    <t>2024-10-22T14:40:48Z</t>
  </si>
  <si>
    <t>2025-07-11T21:10:59Z</t>
  </si>
  <si>
    <t>2024-11-07T07:33:46Z</t>
  </si>
  <si>
    <t>https://github.com/cloudwarriors-ai/codename_wad/issues/45</t>
  </si>
  <si>
    <t>create new brain in cloud for wad site</t>
  </si>
  <si>
    <t>2024-10-22T14:31:56Z</t>
  </si>
  <si>
    <t>2025-07-11T21:11:00Z</t>
  </si>
  <si>
    <t>https://github.com/cloudwarriors-ai/codename_wad/issues/44</t>
  </si>
  <si>
    <t>Move logic to cloud for training</t>
  </si>
  <si>
    <t>2024-10-22T14:31:07Z</t>
  </si>
  <si>
    <t>2025-07-16T16:27:15Z</t>
  </si>
  <si>
    <t>https://github.com/cloudwarriors-ai/codename_wad/issues/43</t>
  </si>
  <si>
    <t>Setup for AI User Page</t>
  </si>
  <si>
    <t>2024-10-22T14:30:42Z</t>
  </si>
  <si>
    <t>2025-07-16T15:22:35Z</t>
  </si>
  <si>
    <t>PRIORITY: Low, STATUS: In Progress</t>
  </si>
  <si>
    <t>https://github.com/cloudwarriors-ai/codename_wad/issues/42</t>
  </si>
  <si>
    <t>Update the Home Page while assigned to the Dev or PM_PE group.</t>
  </si>
  <si>
    <t>2024-10-22T12:33:13Z</t>
  </si>
  <si>
    <t>2025-07-11T21:11:02Z</t>
  </si>
  <si>
    <t>2024-11-05T14:32:33Z</t>
  </si>
  <si>
    <t>https://github.com/cloudwarriors-ai/codename_wad/issues/41</t>
  </si>
  <si>
    <t>Customer Project Page - Add a way to bring external users into the project as editors</t>
  </si>
  <si>
    <t>2024-10-22T03:30:40Z</t>
  </si>
  <si>
    <t>2025-07-11T21:11:04Z</t>
  </si>
  <si>
    <t>https://github.com/cloudwarriors-ai/codename_wad/issues/38</t>
  </si>
  <si>
    <t>Accept Workbook With Data into Automation Station</t>
  </si>
  <si>
    <t>2024-10-22T03:29:06Z</t>
  </si>
  <si>
    <t>2025-07-16T16:28:03Z</t>
  </si>
  <si>
    <t>https://github.com/cloudwarriors-ai/codename_wad/issues/37</t>
  </si>
  <si>
    <t>Sending Workbook With Data to Automation Station</t>
  </si>
  <si>
    <t>2024-10-22T03:25:47Z</t>
  </si>
  <si>
    <t>2025-07-16T16:28:20Z</t>
  </si>
  <si>
    <t>https://github.com/cloudwarriors-ai/codename_wad/issues/36</t>
  </si>
  <si>
    <t>Checkout Page - Add a way to send workbook data to PM/PE assigned to project</t>
  </si>
  <si>
    <t>2024-10-22T03:22:37Z</t>
  </si>
  <si>
    <t>2025-07-11T21:11:07Z</t>
  </si>
  <si>
    <t>2024-10-22T12:30:54Z</t>
  </si>
  <si>
    <t>https://github.com/cloudwarriors-ai/codename_wad/issues/35</t>
  </si>
  <si>
    <t>Checkout Page - Finalize Button -  Downloading Workbook With Data</t>
  </si>
  <si>
    <t>2024-10-22T03:20:53Z</t>
  </si>
  <si>
    <t>2024-10-22T10:52:48Z</t>
  </si>
  <si>
    <t>https://github.com/cloudwarriors-ai/codename_wad/issues/34</t>
  </si>
  <si>
    <t>Validation - Auto Receptionist Page</t>
  </si>
  <si>
    <t>2024-10-22T03:09:17Z</t>
  </si>
  <si>
    <t>2025-07-11T21:11:08Z</t>
  </si>
  <si>
    <t>2024-11-05T14:32:32Z</t>
  </si>
  <si>
    <t>https://github.com/cloudwarriors-ai/codename_wad/issues/33</t>
  </si>
  <si>
    <t>Page Creation - Auto Receptionist</t>
  </si>
  <si>
    <t>2024-10-22T03:03:45Z</t>
  </si>
  <si>
    <t>2025-07-16T16:28:30Z</t>
  </si>
  <si>
    <t>https://github.com/cloudwarriors-ai/codename_wad/issues/32</t>
  </si>
  <si>
    <t>Validation - Call Queues</t>
  </si>
  <si>
    <t>2024-10-22T03:01:03Z</t>
  </si>
  <si>
    <t>2025-07-11T21:11:10Z</t>
  </si>
  <si>
    <t>https://github.com/cloudwarriors-ai/codename_wad/issues/31</t>
  </si>
  <si>
    <t>Validation - E911 Page</t>
  </si>
  <si>
    <t>2024-10-22T02:57:44Z</t>
  </si>
  <si>
    <t>2025-07-11T21:11:11Z</t>
  </si>
  <si>
    <t>https://github.com/cloudwarriors-ai/codename_wad/issues/30</t>
  </si>
  <si>
    <t>Validation - Shared Line Group Page</t>
  </si>
  <si>
    <t>2024-10-22T02:55:19Z</t>
  </si>
  <si>
    <t>2024-11-05T14:32:31Z</t>
  </si>
  <si>
    <t>https://github.com/cloudwarriors-ai/codename_wad/issues/29</t>
  </si>
  <si>
    <t>Validation - CAP Page</t>
  </si>
  <si>
    <t>2024-10-22T02:51:22Z</t>
  </si>
  <si>
    <t>2025-07-11T21:11:12Z</t>
  </si>
  <si>
    <t>https://github.com/cloudwarriors-ai/codename_wad/issues/28</t>
  </si>
  <si>
    <t>Validation - ProjectUser Page</t>
  </si>
  <si>
    <t>2024-10-22T02:49:24Z</t>
  </si>
  <si>
    <t>2025-07-11T21:11:13Z</t>
  </si>
  <si>
    <t>2024-11-05T14:32:30Z</t>
  </si>
  <si>
    <t>https://github.com/cloudwarriors-ai/codename_wad/issues/27</t>
  </si>
  <si>
    <t>Validation - Site Page</t>
  </si>
  <si>
    <t>2024-10-22T02:47:10Z</t>
  </si>
  <si>
    <t>https://github.com/cloudwarriors-ai/codename_wad/issues/26</t>
  </si>
  <si>
    <t>checkout page needs to be stylized</t>
  </si>
  <si>
    <t>2024-10-21T22:58:28Z</t>
  </si>
  <si>
    <t>2025-07-11T21:11:14Z</t>
  </si>
  <si>
    <t>https://github.com/cloudwarriors-ai/codename_wad/issues/25</t>
  </si>
  <si>
    <t>user wait messages during processing</t>
  </si>
  <si>
    <t>2024-10-21T22:12:48Z</t>
  </si>
  <si>
    <t>2025-07-11T21:11:16Z</t>
  </si>
  <si>
    <t>2024-11-05T14:32:29Z</t>
  </si>
  <si>
    <t>https://github.com/cloudwarriors-ai/codename_wad/issues/22</t>
  </si>
  <si>
    <t>sign out page needs to be created and sytleized</t>
  </si>
  <si>
    <t>2024-10-21T22:11:52Z</t>
  </si>
  <si>
    <t>2025-07-11T21:11:17Z</t>
  </si>
  <si>
    <t>2025-05-20T15:04:38Z</t>
  </si>
  <si>
    <t>https://github.com/cloudwarriors-ai/codename_wad/issues/21</t>
  </si>
  <si>
    <t>Alerts need to be replaced by messages</t>
  </si>
  <si>
    <t>2024-10-21T22:09:25Z</t>
  </si>
  <si>
    <t>2025-07-11T21:11:18Z</t>
  </si>
  <si>
    <t>https://github.com/cloudwarriors-ai/codename_wad/issues/20</t>
  </si>
  <si>
    <t>login page needs styling and config</t>
  </si>
  <si>
    <t>2024-10-21T22:08:20Z</t>
  </si>
  <si>
    <t>2025-07-11T21:11:19Z</t>
  </si>
  <si>
    <t>2024-11-05T14:32:28Z</t>
  </si>
  <si>
    <t>https://github.com/cloudwarriors-ai/codename_wad/issues/19</t>
  </si>
  <si>
    <t>Address line 2 indicates it's required by the model but not by the validation</t>
  </si>
  <si>
    <t>2024-10-21T22:07:03Z</t>
  </si>
  <si>
    <t>https://github.com/cloudwarriors-ai/codename_wad/issues/18</t>
  </si>
  <si>
    <t>Uploading CSV to Shared Line Group Failed</t>
  </si>
  <si>
    <t>2024-10-08T13:50:05Z</t>
  </si>
  <si>
    <t>2025-07-11T21:11:22Z</t>
  </si>
  <si>
    <t>2024-10-08T13:52:35Z</t>
  </si>
  <si>
    <t>https://github.com/cloudwarriors-ai/codename_wad/issues/14</t>
  </si>
  <si>
    <t>ProjectUser Page cannot edit the SMS and User Status Field</t>
  </si>
  <si>
    <t>2024-10-08T13:37:16Z</t>
  </si>
  <si>
    <t>2025-07-11T21:11:23Z</t>
  </si>
  <si>
    <t>https://github.com/cloudwarriors-ai/codename_wad/issues/13</t>
  </si>
  <si>
    <t>Phone Number In CAP site doesn't highlight red</t>
  </si>
  <si>
    <t>2024-10-08T13:32:42Z</t>
  </si>
  <si>
    <t>2025-07-11T21:11:24Z</t>
  </si>
  <si>
    <t>2024-11-05T14:32:27Z</t>
  </si>
  <si>
    <t>https://github.com/cloudwarriors-ai/codename_wad/issues/12</t>
  </si>
  <si>
    <t>Cannot highlight text in cells</t>
  </si>
  <si>
    <t>2024-10-07T19:26:38Z</t>
  </si>
  <si>
    <t>calwhit</t>
  </si>
  <si>
    <t>2025-07-11T21:11:25Z</t>
  </si>
  <si>
    <t>2024-11-05T14:33:11Z</t>
  </si>
  <si>
    <t>https://github.com/cloudwarriors-ai/codename_wad/issues/11</t>
  </si>
  <si>
    <t>Clicking box to the left of the "Site Name" label turns the whole table black</t>
  </si>
  <si>
    <t>2024-10-07T18:00:22Z</t>
  </si>
  <si>
    <t>2024-11-15T02:17:54Z</t>
  </si>
  <si>
    <t>https://github.com/cloudwarriors-ai/codename_wad/issues/10</t>
  </si>
  <si>
    <t>Site Page can put negative numbers</t>
  </si>
  <si>
    <t>2024-10-04T19:54:01Z</t>
  </si>
  <si>
    <t>2025-07-11T21:11:28Z</t>
  </si>
  <si>
    <t>2024-11-05T14:33:26Z</t>
  </si>
  <si>
    <t>https://github.com/cloudwarriors-ai/codename_wad/issues/6</t>
  </si>
  <si>
    <t>Undo (Control Z/CMD Z)</t>
  </si>
  <si>
    <t>2024-10-04T19:43:07Z</t>
  </si>
  <si>
    <t>2025-07-11T21:11:29Z</t>
  </si>
  <si>
    <t>2025-05-20T15:04:37Z</t>
  </si>
  <si>
    <t>https://github.com/cloudwarriors-ai/codename_wad/issues/5</t>
  </si>
  <si>
    <t>Error Popup</t>
  </si>
  <si>
    <t>2024-10-04T19:18:45Z</t>
  </si>
  <si>
    <t>2025-07-11T21:11:30Z</t>
  </si>
  <si>
    <t>2024-11-05T14:33:25Z</t>
  </si>
  <si>
    <t>https://github.com/cloudwarriors-ai/codename_wad/issues/4</t>
  </si>
  <si>
    <t>Password Reset - "Hello from example.com!"</t>
  </si>
  <si>
    <t>2025-08-07T11:59:00Z</t>
  </si>
  <si>
    <t>2025-09-19T03:29:17Z</t>
  </si>
  <si>
    <t>2025-09-05T03:59:18Z</t>
  </si>
  <si>
    <t>PRIORITY: Medium, SKILL: Medium, STATUS: Released to Prod</t>
  </si>
  <si>
    <t>https://github.com/cloudwarriors-ai/rapture/issues/77</t>
  </si>
  <si>
    <t>PSCX / MACD - Change Welcome Message</t>
  </si>
  <si>
    <t>2025-07-02T16:25:25Z</t>
  </si>
  <si>
    <t>2025-08-28T16:44:28Z</t>
  </si>
  <si>
    <t>https://github.com/cloudwarriors-ai/rapture/issues/76</t>
  </si>
  <si>
    <t>System Updates User Role Incorrectly for Admin to Member</t>
  </si>
  <si>
    <t>2025-05-26T21:04:56Z</t>
  </si>
  <si>
    <t>2025-07-11T21:08:37Z</t>
  </si>
  <si>
    <t>2025-06-18T13:45:17Z</t>
  </si>
  <si>
    <t>Chaddacus, rebecca-cichy</t>
  </si>
  <si>
    <t>https://github.com/cloudwarriors-ai/rapture/issues/75</t>
  </si>
  <si>
    <t>Backend of the MACD Application Not Responding Correctly</t>
  </si>
  <si>
    <t>2025-04-22T20:30:35Z</t>
  </si>
  <si>
    <t>2025-05-02T20:03:51Z</t>
  </si>
  <si>
    <t>https://github.com/cloudwarriors-ai/rapture/issues/73</t>
  </si>
  <si>
    <t>Incorrect Workflow Generating - When I Add New User from Drop Down</t>
  </si>
  <si>
    <t>2025-04-11T21:47:16Z</t>
  </si>
  <si>
    <t>2025-07-11T21:08:39Z</t>
  </si>
  <si>
    <t>2025-04-25T13:09:51Z</t>
  </si>
  <si>
    <t>https://github.com/cloudwarriors-ai/rapture/issues/72</t>
  </si>
  <si>
    <t>Create User Prompt from Typing in BOT - Additional Workflow Window Generated</t>
  </si>
  <si>
    <t>2025-04-11T21:44:32Z</t>
  </si>
  <si>
    <t>2025-07-11T21:08:40Z</t>
  </si>
  <si>
    <t>2025-04-23T10:30:45Z</t>
  </si>
  <si>
    <t>https://github.com/cloudwarriors-ai/rapture/issues/71</t>
  </si>
  <si>
    <t>Delete User - Processing Not Reflecting Correctly on Right Side</t>
  </si>
  <si>
    <t>2025-04-11T19:13:57Z</t>
  </si>
  <si>
    <t>2025-07-11T21:08:41Z</t>
  </si>
  <si>
    <t>2025-04-23T10:34:02Z</t>
  </si>
  <si>
    <t>https://github.com/cloudwarriors-ai/rapture/issues/70</t>
  </si>
  <si>
    <t>Delete User Prompt from Drop Down - Additional Workflow Window Generated</t>
  </si>
  <si>
    <t>2025-04-11T18:57:49Z</t>
  </si>
  <si>
    <t>2025-07-11T21:08:42Z</t>
  </si>
  <si>
    <t>2025-04-23T10:32:25Z</t>
  </si>
  <si>
    <t>https://github.com/cloudwarriors-ai/rapture/issues/69</t>
  </si>
  <si>
    <t>Hallucinating BOT During Workflow Request During Change Call Queue</t>
  </si>
  <si>
    <t>2025-04-11T16:27:18Z</t>
  </si>
  <si>
    <t>2025-07-30T19:59:44Z</t>
  </si>
  <si>
    <t>https://github.com/cloudwarriors-ai/rapture/issues/68</t>
  </si>
  <si>
    <t>When Deleting User - Automatically Select No If Email Not Provided</t>
  </si>
  <si>
    <t>2025-04-11T16:24:51Z</t>
  </si>
  <si>
    <t>2025-07-30T20:26:53Z</t>
  </si>
  <si>
    <t>PRIORITY: Low, SKILL: Low, STATUS: Needs Customer Feedback</t>
  </si>
  <si>
    <t>https://github.com/cloudwarriors-ai/rapture/issues/67</t>
  </si>
  <si>
    <t>When Deleting a User - Provide Drop Down</t>
  </si>
  <si>
    <t>2025-04-10T19:01:32Z</t>
  </si>
  <si>
    <t>2025-07-11T21:08:45Z</t>
  </si>
  <si>
    <t>2025-04-23T10:35:05Z</t>
  </si>
  <si>
    <t>https://github.com/cloudwarriors-ai/rapture/issues/66</t>
  </si>
  <si>
    <t>System Does Not Change PIN Code When Requested</t>
  </si>
  <si>
    <t>2025-04-08T17:07:13Z</t>
  </si>
  <si>
    <t>2025-07-11T21:08:47Z</t>
  </si>
  <si>
    <t>2025-05-05T15:14:37Z</t>
  </si>
  <si>
    <t>https://github.com/cloudwarriors-ai/rapture/issues/64</t>
  </si>
  <si>
    <t>Establish Job Scheduling</t>
  </si>
  <si>
    <t>2025-04-07T20:02:37Z</t>
  </si>
  <si>
    <t>2025-07-30T20:00:33Z</t>
  </si>
  <si>
    <t>PRIORITY: Low, SKILL: Medium, STATUS: Dev Complete - Awtg QA</t>
  </si>
  <si>
    <t>https://github.com/cloudwarriors-ai/rapture/issues/63</t>
  </si>
  <si>
    <t>Shared Line Group (SLG) - Add Voicemail Prompt</t>
  </si>
  <si>
    <t>2025-04-04T20:17:57Z</t>
  </si>
  <si>
    <t>2025-09-19T03:28:57Z</t>
  </si>
  <si>
    <t>PRIORITY: Low, SKILL: High, STATUS: Update in v2.0</t>
  </si>
  <si>
    <t>https://github.com/cloudwarriors-ai/rapture/issues/61</t>
  </si>
  <si>
    <t>Call Queue - Add Voicemail Prompt</t>
  </si>
  <si>
    <t>2025-04-04T20:16:02Z</t>
  </si>
  <si>
    <t>2025-07-11T21:08:51Z</t>
  </si>
  <si>
    <t>2025-04-25T17:02:09Z</t>
  </si>
  <si>
    <t>Chaddacus, ttar-p, rebecca-cichy</t>
  </si>
  <si>
    <t>https://github.com/cloudwarriors-ai/rapture/issues/60</t>
  </si>
  <si>
    <t>Replace User Request - Request ONLY Changed User Name</t>
  </si>
  <si>
    <t>2025-04-04T19:57:52Z</t>
  </si>
  <si>
    <t>2025-07-30T20:19:47Z</t>
  </si>
  <si>
    <t>PRIORITY: Medium, SKILL: High, STATUS: Dev Complete - Awtg QA</t>
  </si>
  <si>
    <t>https://github.com/cloudwarriors-ai/rapture/issues/59</t>
  </si>
  <si>
    <t>Replacing User Request - Difficult to Generate Request</t>
  </si>
  <si>
    <t>2025-04-04T19:50:59Z</t>
  </si>
  <si>
    <t>2025-07-11T21:08:53Z</t>
  </si>
  <si>
    <t>2025-04-26T01:52:58Z</t>
  </si>
  <si>
    <t>https://github.com/cloudwarriors-ai/rapture/issues/58</t>
  </si>
  <si>
    <t>New User Request - Auto populate the information provided in the initial request.</t>
  </si>
  <si>
    <t>2025-04-04T19:26:52Z</t>
  </si>
  <si>
    <t>2025-07-30T20:22:17Z</t>
  </si>
  <si>
    <t>https://github.com/cloudwarriors-ai/rapture/issues/57</t>
  </si>
  <si>
    <t>BOT states a new form is created but DID NOT display a new form as it stated it would.</t>
  </si>
  <si>
    <t>2025-04-04T19:21:18Z</t>
  </si>
  <si>
    <t>2025-07-11T21:08:55Z</t>
  </si>
  <si>
    <t>2025-04-26T01:48:16Z</t>
  </si>
  <si>
    <t>https://github.com/cloudwarriors-ai/rapture/issues/56</t>
  </si>
  <si>
    <t>Job Scheduler for Workflow jobs</t>
  </si>
  <si>
    <t>2025-04-02T20:13:57Z</t>
  </si>
  <si>
    <t>2025-07-30T20:23:11Z</t>
  </si>
  <si>
    <t>PRIORITY: Low, SKILL: High, STATUS: Dev Complete - Awtg QA</t>
  </si>
  <si>
    <t>https://github.com/cloudwarriors-ai/rapture/issues/54</t>
  </si>
  <si>
    <t>Validation Labeling for each field in a workflow</t>
  </si>
  <si>
    <t>2025-04-02T13:26:35Z</t>
  </si>
  <si>
    <t>2025-07-11T21:08:58Z</t>
  </si>
  <si>
    <t>2025-04-14T00:51:18Z</t>
  </si>
  <si>
    <t>https://github.com/cloudwarriors-ai/rapture/issues/53</t>
  </si>
  <si>
    <t>Configure Dependencies at the Inner and Outer Layers of the workflow</t>
  </si>
  <si>
    <t>2025-04-02T13:25:31Z</t>
  </si>
  <si>
    <t>2025-07-31T04:23:15Z</t>
  </si>
  <si>
    <t>https://github.com/cloudwarriors-ai/rapture/issues/52</t>
  </si>
  <si>
    <t>Validate with embeddings causing false positives</t>
  </si>
  <si>
    <t>2025-02-26T07:04:48Z</t>
  </si>
  <si>
    <t>2025-07-11T21:09:02Z</t>
  </si>
  <si>
    <t>2025-04-14T00:51:59Z</t>
  </si>
  <si>
    <t>https://github.com/cloudwarriors-ai/rapture/issues/48</t>
  </si>
  <si>
    <t>Fetch Requests coming back as failed</t>
  </si>
  <si>
    <t>2025-02-18T22:08:57Z</t>
  </si>
  <si>
    <t>2025-07-11T21:09:05Z</t>
  </si>
  <si>
    <t>2025-02-18T23:00:37Z</t>
  </si>
  <si>
    <t>https://github.com/cloudwarriors-ai/rapture/issues/44</t>
  </si>
  <si>
    <t>Not catching missing call queue names</t>
  </si>
  <si>
    <t>2025-02-14T22:25:44Z</t>
  </si>
  <si>
    <t>2025-07-11T21:09:07Z</t>
  </si>
  <si>
    <t>2025-04-14T00:51:39Z</t>
  </si>
  <si>
    <t>https://github.com/cloudwarriors-ai/rapture/issues/41</t>
  </si>
  <si>
    <t>Clean the JSON response for the API Sequence</t>
  </si>
  <si>
    <t>2025-01-22T20:49:03Z</t>
  </si>
  <si>
    <t>2025-07-11T21:09:31Z</t>
  </si>
  <si>
    <t>2025-02-07T15:45:08Z</t>
  </si>
  <si>
    <t>https://github.com/cloudwarriors-ai/rapture/issues/10</t>
  </si>
  <si>
    <t>Using string in index in validator.py</t>
  </si>
  <si>
    <t>2025-01-21T22:17:49Z</t>
  </si>
  <si>
    <t>2025-07-11T21:09:33Z</t>
  </si>
  <si>
    <t>2025-04-14T00:51:47Z</t>
  </si>
  <si>
    <t>https://github.com/cloudwarriors-ai/rapture/issues/7</t>
  </si>
  <si>
    <t>Embed_Sequences</t>
  </si>
  <si>
    <t>2025-01-21T21:15:32Z</t>
  </si>
  <si>
    <t>2025-07-11T21:09:34Z</t>
  </si>
  <si>
    <t>https://github.com/cloudwarriors-ai/rapture/issues/6</t>
  </si>
  <si>
    <t>Update the LLM in admin to have the initial tasks work everytime</t>
  </si>
  <si>
    <t>2025-01-21T16:42:19Z</t>
  </si>
  <si>
    <t>2025-07-11T21:09:35Z</t>
  </si>
  <si>
    <t>2025-02-07T15:45:07Z</t>
  </si>
  <si>
    <t>https://github.com/cloudwarriors-ai/rapture/issues/5</t>
  </si>
  <si>
    <t>Create a test for the prompt going through the LLM</t>
  </si>
  <si>
    <t>2025-01-21T16:39:50Z</t>
  </si>
  <si>
    <t>https://github.com/cloudwarriors-ai/rapture/issues/4</t>
  </si>
  <si>
    <t>Improve SLG &amp; CQ Reliability</t>
  </si>
  <si>
    <t>2025-09-11T10:40:44Z</t>
  </si>
  <si>
    <t>2025-09-24T14:30:32Z</t>
  </si>
  <si>
    <t>PRIORITY: Medium, SKILL: Medium, STATUS: Follow-Up Required</t>
  </si>
  <si>
    <t>https://github.com/cloudwarriors-ai/rapture-frontend/issues/237</t>
  </si>
  <si>
    <t>Improve Data Mgmt - Rate Limiting Msg</t>
  </si>
  <si>
    <t>2025-09-10T17:31:40Z</t>
  </si>
  <si>
    <t>2025-09-24T14:30:42Z</t>
  </si>
  <si>
    <t>https://github.com/cloudwarriors-ai/rapture-frontend/issues/236</t>
  </si>
  <si>
    <t>[CAB] UI/UX Bundle Deployment - Basic License Fixes, Branding Updates &amp; Code Quality Integration</t>
  </si>
  <si>
    <t>2025-08-29T20:03:19Z</t>
  </si>
  <si>
    <t>2025-09-19T03:29:22Z</t>
  </si>
  <si>
    <t>2025-09-05T19:16:35Z</t>
  </si>
  <si>
    <t>STATUS: Release to Prod</t>
  </si>
  <si>
    <t>voipin, rebecca-cichy</t>
  </si>
  <si>
    <t>https://github.com/cloudwarriors-ai/rapture-frontend/issues/233</t>
  </si>
  <si>
    <t>2025-08-29T16:44:40Z</t>
  </si>
  <si>
    <t>2025-09-02T15:10:21Z</t>
  </si>
  <si>
    <t>PRIORITY: High, SKILL: Medium, STATUS: Release to Prod</t>
  </si>
  <si>
    <t>https://github.com/cloudwarriors-ai/rapture-frontend/issues/232</t>
  </si>
  <si>
    <t>Frontpage Tab Displays Incorrectly</t>
  </si>
  <si>
    <t>2025-08-13T13:17:32Z</t>
  </si>
  <si>
    <t>2025-09-19T03:29:18Z</t>
  </si>
  <si>
    <t>2025-09-05T14:43:52Z</t>
  </si>
  <si>
    <t>PRIORITY: Medium, SKILL: Low, STATUS: Release to Prod</t>
  </si>
  <si>
    <t>https://github.com/cloudwarriors-ai/rapture-frontend/issues/219</t>
  </si>
  <si>
    <t>Cancellation of Workflow Causing Audio to Cut Out</t>
  </si>
  <si>
    <t>2025-08-09T04:48:16Z</t>
  </si>
  <si>
    <t>2025-09-11T10:51:16Z</t>
  </si>
  <si>
    <t>https://github.com/cloudwarriors-ai/rapture-frontend/issues/218</t>
  </si>
  <si>
    <t>Add Team Member Error - This group has reached the maximum of 5 members. You cannot invite more.</t>
  </si>
  <si>
    <t>2025-07-10T19:15:05Z</t>
  </si>
  <si>
    <t>2025-09-19T03:29:14Z</t>
  </si>
  <si>
    <t>2025-07-28T21:44:56Z</t>
  </si>
  <si>
    <t>PRIORITY: High, SKILL: Medium, STATUS: Dev Complete - Awaiting QA</t>
  </si>
  <si>
    <t>https://github.com/cloudwarriors-ai/rapture-frontend/issues/214</t>
  </si>
  <si>
    <t>Account Tab - Edit Account Unable to be Edited / Consider Removal</t>
  </si>
  <si>
    <t>2025-07-10T14:11:28Z</t>
  </si>
  <si>
    <t>2025-09-05T19:15:11Z</t>
  </si>
  <si>
    <t>PRIORITY: High, SKILL: Low, STATUS: Release to Prod</t>
  </si>
  <si>
    <t>https://github.com/cloudwarriors-ai/rapture-frontend/issues/213</t>
  </si>
  <si>
    <t>Rearrange / Rename / Add - Example Requests</t>
  </si>
  <si>
    <t>2025-07-07T11:30:02Z</t>
  </si>
  <si>
    <t>2025-12-03T11:57:24Z</t>
  </si>
  <si>
    <t>https://github.com/cloudwarriors-ai/rapture-frontend/issues/212</t>
  </si>
  <si>
    <t>Add User Workflow - Change License Type Dropdown</t>
  </si>
  <si>
    <t>2025-06-27T19:05:59Z</t>
  </si>
  <si>
    <t>2025-07-31T19:42:37Z</t>
  </si>
  <si>
    <t>https://github.com/cloudwarriors-ai/rapture-frontend/issues/211</t>
  </si>
  <si>
    <t>Create Zoom Workplace App for MACD</t>
  </si>
  <si>
    <t>2025-06-13T14:45:12Z</t>
  </si>
  <si>
    <t>2025-09-19T03:29:13Z</t>
  </si>
  <si>
    <t>2025-07-31T18:08:19Z</t>
  </si>
  <si>
    <t>PRIORITY: Medium, SKILL: High, STATUS: In Progress</t>
  </si>
  <si>
    <t>voipin, Chaddacus</t>
  </si>
  <si>
    <t>https://github.com/cloudwarriors-ai/rapture-frontend/issues/206</t>
  </si>
  <si>
    <t>Remove 'Request More Tickets' Button Under Account Tab</t>
  </si>
  <si>
    <t>2025-06-11T21:03:43Z</t>
  </si>
  <si>
    <t>2025-07-11T21:05:00Z</t>
  </si>
  <si>
    <t>2025-06-27T18:43:06Z</t>
  </si>
  <si>
    <t>https://github.com/cloudwarriors-ai/rapture-frontend/issues/205</t>
  </si>
  <si>
    <t>With Admin Privileges - Two Customer Support Buttons Display</t>
  </si>
  <si>
    <t>2025-06-11T20:42:02Z</t>
  </si>
  <si>
    <t>2025-07-11T21:05:01Z</t>
  </si>
  <si>
    <t>2025-06-27T18:12:56Z</t>
  </si>
  <si>
    <t>https://github.com/cloudwarriors-ai/rapture-frontend/issues/204</t>
  </si>
  <si>
    <t>Add a Customer Satisfaction Button for User</t>
  </si>
  <si>
    <t>2025-06-11T19:26:10Z</t>
  </si>
  <si>
    <t>2025-09-24T14:32:03Z</t>
  </si>
  <si>
    <t>https://github.com/cloudwarriors-ai/rapture-frontend/issues/203</t>
  </si>
  <si>
    <t>Add User Workflow - Not Confirming Success when basic license and no phone number is assigned</t>
  </si>
  <si>
    <t>2025-06-10T15:41:23Z</t>
  </si>
  <si>
    <t>2025-09-03T21:13:37Z</t>
  </si>
  <si>
    <t>PRIORITY: High, SKILL: Low, STATUS: Follow-Up Required, STATUS: In Progress</t>
  </si>
  <si>
    <t>https://github.com/cloudwarriors-ai/rapture-frontend/issues/202</t>
  </si>
  <si>
    <t>Automate the Jobs in AS when the SLA procs</t>
  </si>
  <si>
    <t>2025-06-09T14:30:56Z</t>
  </si>
  <si>
    <t>2025-07-31T19:40:21Z</t>
  </si>
  <si>
    <t>https://github.com/cloudwarriors-ai/rapture-frontend/issues/201</t>
  </si>
  <si>
    <t>Account Membership - When Adding Team Members, Enhance UI &amp; UX</t>
  </si>
  <si>
    <t>2025-06-05T18:59:56Z</t>
  </si>
  <si>
    <t>2025-10-15T14:39:15Z</t>
  </si>
  <si>
    <t>https://github.com/cloudwarriors-ai/rapture-frontend/issues/197</t>
  </si>
  <si>
    <t>Update Pricing Options on Plans</t>
  </si>
  <si>
    <t>2025-06-04T16:10:50Z</t>
  </si>
  <si>
    <t>2025-09-19T03:29:12Z</t>
  </si>
  <si>
    <t>2025-06-27T18:44:37Z</t>
  </si>
  <si>
    <t>https://github.com/cloudwarriors-ai/rapture-frontend/issues/195</t>
  </si>
  <si>
    <t>Under Systems Tab - Keep User Options Visible While Scrolling Down</t>
  </si>
  <si>
    <t>2025-06-04T15:49:38Z</t>
  </si>
  <si>
    <t>2025-10-15T14:39:38Z</t>
  </si>
  <si>
    <t>https://github.com/cloudwarriors-ai/rapture-frontend/issues/194</t>
  </si>
  <si>
    <t>Under Accounts tab, Team, Add User - Case sensitivity</t>
  </si>
  <si>
    <t>2025-06-04T13:15:27Z</t>
  </si>
  <si>
    <t>2025-12-03T11:57:20Z</t>
  </si>
  <si>
    <t>https://github.com/cloudwarriors-ai/rapture-frontend/issues/193</t>
  </si>
  <si>
    <t>Initial Login Page Does Not Scroll Down to Submit Request</t>
  </si>
  <si>
    <t>2025-06-03T19:47:59Z</t>
  </si>
  <si>
    <t>2025-07-11T21:05:11Z</t>
  </si>
  <si>
    <t>2025-06-11T14:23:32Z</t>
  </si>
  <si>
    <t>https://github.com/cloudwarriors-ai/rapture-frontend/issues/192</t>
  </si>
  <si>
    <t>Add feedback on unsuccessful site login attempt</t>
  </si>
  <si>
    <t>2025-06-03T17:22:29Z</t>
  </si>
  <si>
    <t>2025-07-11T21:05:12Z</t>
  </si>
  <si>
    <t>2025-06-18T11:49:35Z</t>
  </si>
  <si>
    <t>https://github.com/cloudwarriors-ai/rapture-frontend/issues/191</t>
  </si>
  <si>
    <t>Create 2 Factor Authentication</t>
  </si>
  <si>
    <t>2025-06-03T16:57:23Z</t>
  </si>
  <si>
    <t>2025-07-31T19:40:04Z</t>
  </si>
  <si>
    <t>PRIORITY: Medium, SKILL: Medium, STATUS: Update in v2.0</t>
  </si>
  <si>
    <t>https://github.com/cloudwarriors-ai/rapture-frontend/issues/190</t>
  </si>
  <si>
    <t>Customer Support Message - Change Verbaige from Zoom Workbook to Workplace</t>
  </si>
  <si>
    <t>2025-06-02T17:44:27Z</t>
  </si>
  <si>
    <t>2025-07-11T21:05:14Z</t>
  </si>
  <si>
    <t>2025-06-11T14:23:59Z</t>
  </si>
  <si>
    <t>https://github.com/cloudwarriors-ai/rapture-frontend/issues/189</t>
  </si>
  <si>
    <t>Add MACD Application to Zoom Marketplace</t>
  </si>
  <si>
    <t>2025-05-29T14:49:28Z</t>
  </si>
  <si>
    <t>2025-09-19T03:29:10Z</t>
  </si>
  <si>
    <t>PRIORITY: Medium, SKILL: High, STATUS: Update in v2.0</t>
  </si>
  <si>
    <t>https://github.com/cloudwarriors-ai/rapture-frontend/issues/188</t>
  </si>
  <si>
    <t>Auto Shut Off for MACD Subscription</t>
  </si>
  <si>
    <t>2025-05-29T14:48:40Z</t>
  </si>
  <si>
    <t>https://github.com/cloudwarriors-ai/rapture-frontend/issues/187</t>
  </si>
  <si>
    <t>Payment Integration into MACD</t>
  </si>
  <si>
    <t>2025-05-29T14:47:47Z</t>
  </si>
  <si>
    <t>2025-09-19T03:29:09Z</t>
  </si>
  <si>
    <t>https://github.com/cloudwarriors-ai/rapture-frontend/issues/186</t>
  </si>
  <si>
    <t>In Tutorial - It References a 'Account Info' which is actually labeled 'Account Tab'</t>
  </si>
  <si>
    <t>2025-05-26T18:55:03Z</t>
  </si>
  <si>
    <t>2025-06-11T14:22:47Z</t>
  </si>
  <si>
    <t>Chaddacus, rebecca-cichy, jvitato1</t>
  </si>
  <si>
    <t>https://github.com/cloudwarriors-ai/rapture-frontend/issues/183</t>
  </si>
  <si>
    <t>In Tutorial - It References a 'Conversation History' which is actually labeled 'Chat Tab'</t>
  </si>
  <si>
    <t>2025-05-26T18:41:34Z</t>
  </si>
  <si>
    <t>2025-06-11T14:22:32Z</t>
  </si>
  <si>
    <t>https://github.com/cloudwarriors-ai/rapture-frontend/issues/182</t>
  </si>
  <si>
    <t>In Tutorial - It References a 'Jobs Tab' which is actually labeled 'Job History Tab'</t>
  </si>
  <si>
    <t>2025-05-26T18:24:04Z</t>
  </si>
  <si>
    <t>2025-07-11T21:05:22Z</t>
  </si>
  <si>
    <t>2025-06-11T14:21:59Z</t>
  </si>
  <si>
    <t>https://github.com/cloudwarriors-ai/rapture-frontend/issues/181</t>
  </si>
  <si>
    <t>In Tutorial - It References a 'Forms Tab' which is actually labeled 'System'</t>
  </si>
  <si>
    <t>2025-05-23T20:44:54Z</t>
  </si>
  <si>
    <t>2025-06-11T14:22:15Z</t>
  </si>
  <si>
    <t>https://github.com/cloudwarriors-ai/rapture-frontend/issues/180</t>
  </si>
  <si>
    <t>Hide/Remove RLHF Button for Customers</t>
  </si>
  <si>
    <t>2025-05-23T18:27:25Z</t>
  </si>
  <si>
    <t>2025-07-11T21:05:24Z</t>
  </si>
  <si>
    <t>2025-05-23T18:27:58Z</t>
  </si>
  <si>
    <t>https://github.com/cloudwarriors-ai/rapture-frontend/issues/179</t>
  </si>
  <si>
    <t>For Users Less Experienced - Remove All Job Update Status' Besides First &amp; Last</t>
  </si>
  <si>
    <t>2025-05-22T18:34:54Z</t>
  </si>
  <si>
    <t>2025-07-31T19:46:36Z</t>
  </si>
  <si>
    <t>PRIORITY: Low, SKILL: Medium, STATUS: Needs Customer Feedback</t>
  </si>
  <si>
    <t>https://github.com/cloudwarriors-ai/rapture-frontend/issues/177</t>
  </si>
  <si>
    <t>Add Date/Time Stamp in the Job Update Box</t>
  </si>
  <si>
    <t>2025-05-22T18:26:51Z</t>
  </si>
  <si>
    <t>2025-07-31T19:46:14Z</t>
  </si>
  <si>
    <t>https://github.com/cloudwarriors-ai/rapture-frontend/issues/176</t>
  </si>
  <si>
    <t>Bot States 'Submit Form' Creating User Confusion - Post Success/Failure of Job Update</t>
  </si>
  <si>
    <t>2025-05-22T18:21:57Z</t>
  </si>
  <si>
    <t>2025-08-28T04:49:04Z</t>
  </si>
  <si>
    <t>PRIORITY: High, SKILL: Medium, STATUS: In Progress</t>
  </si>
  <si>
    <t>https://github.com/cloudwarriors-ai/rapture-frontend/issues/175</t>
  </si>
  <si>
    <t>Add Customer Support Button - Top Right Corner</t>
  </si>
  <si>
    <t>2025-05-16T20:54:32Z</t>
  </si>
  <si>
    <t>2025-05-29T13:03:54Z</t>
  </si>
  <si>
    <t>https://github.com/cloudwarriors-ai/rapture-frontend/issues/174</t>
  </si>
  <si>
    <t>Change Countdown Timer to Red (or Make Refresh MORE Visible)</t>
  </si>
  <si>
    <t>2025-05-13T20:50:02Z</t>
  </si>
  <si>
    <t>2025-07-11T21:05:31Z</t>
  </si>
  <si>
    <t>2025-06-11T14:24:21Z</t>
  </si>
  <si>
    <t>https://github.com/cloudwarriors-ai/rapture-frontend/issues/172</t>
  </si>
  <si>
    <t>Add / Change Additional 'Request' Options to Drop Down</t>
  </si>
  <si>
    <t>2025-05-13T20:48:16Z</t>
  </si>
  <si>
    <t>2025-09-19T03:29:06Z</t>
  </si>
  <si>
    <t>2025-06-11T17:54:21Z</t>
  </si>
  <si>
    <t>https://github.com/cloudwarriors-ai/rapture-frontend/issues/171</t>
  </si>
  <si>
    <t>Update User Role Dropdown in Workflow - Include Member Role</t>
  </si>
  <si>
    <t>2025-05-13T19:43:04Z</t>
  </si>
  <si>
    <t>2025-09-05T19:17:26Z</t>
  </si>
  <si>
    <t>https://github.com/cloudwarriors-ai/rapture-frontend/issues/170</t>
  </si>
  <si>
    <t>Replace User Workflow - Appearance of Duplicated Email*</t>
  </si>
  <si>
    <t>2025-05-13T19:31:43Z</t>
  </si>
  <si>
    <t>2025-07-31T19:45:44Z</t>
  </si>
  <si>
    <t>https://github.com/cloudwarriors-ai/rapture-frontend/issues/169</t>
  </si>
  <si>
    <t>Maintain Bot Audio Settings after Muting</t>
  </si>
  <si>
    <t>2025-05-13T18:40:59Z</t>
  </si>
  <si>
    <t>2025-06-11T14:23:09Z</t>
  </si>
  <si>
    <t>https://github.com/cloudwarriors-ai/rapture-frontend/issues/168</t>
  </si>
  <si>
    <t>Left Side Sorting List Data / Modal Displays White Space Gaps</t>
  </si>
  <si>
    <t>2025-05-13T15:50:22Z</t>
  </si>
  <si>
    <t>2025-07-11T21:05:36Z</t>
  </si>
  <si>
    <t>2025-06-11T14:24:34Z</t>
  </si>
  <si>
    <t>https://github.com/cloudwarriors-ai/rapture-frontend/issues/167</t>
  </si>
  <si>
    <t>UI Menu Jitter*</t>
  </si>
  <si>
    <t>2025-05-12T19:02:05Z</t>
  </si>
  <si>
    <t>2025-09-07T12:31:24Z</t>
  </si>
  <si>
    <t>https://github.com/cloudwarriors-ai/rapture-frontend/issues/166</t>
  </si>
  <si>
    <t>User Role - Drop Down Menu Only Displays Admin</t>
  </si>
  <si>
    <t>2025-04-25T14:53:24Z</t>
  </si>
  <si>
    <t>2025-07-11T21:05:45Z</t>
  </si>
  <si>
    <t>2025-04-28T15:10:37Z</t>
  </si>
  <si>
    <t>https://github.com/cloudwarriors-ai/rapture-frontend/issues/155</t>
  </si>
  <si>
    <t>All Modals - Boxes currently Type in White Font &amp; Difficult for User to see</t>
  </si>
  <si>
    <t>2025-04-24T18:18:42Z</t>
  </si>
  <si>
    <t>2025-04-28T15:16:30Z</t>
  </si>
  <si>
    <t>https://github.com/cloudwarriors-ai/rapture-frontend/issues/148</t>
  </si>
  <si>
    <t>Initial Log On To MACD - Inconsistent For User</t>
  </si>
  <si>
    <t>2025-04-11T19:27:25Z</t>
  </si>
  <si>
    <t>2025-07-11T21:05:59Z</t>
  </si>
  <si>
    <t>2025-05-05T15:15:30Z</t>
  </si>
  <si>
    <t>https://github.com/cloudwarriors-ai/rapture-frontend/issues/137</t>
  </si>
  <si>
    <t>Create Drop Down Menu for 'User Roles'</t>
  </si>
  <si>
    <t>2025-04-11T18:49:08Z</t>
  </si>
  <si>
    <t>2025-07-11T21:06:00Z</t>
  </si>
  <si>
    <t>2025-04-24T18:31:03Z</t>
  </si>
  <si>
    <t>https://github.com/cloudwarriors-ai/rapture-frontend/issues/136</t>
  </si>
  <si>
    <t>Workflow Drop Down Repeats Items Listed</t>
  </si>
  <si>
    <t>2025-04-10T18:38:21Z</t>
  </si>
  <si>
    <t>2025-07-11T21:06:04Z</t>
  </si>
  <si>
    <t>2025-04-11T19:45:30Z</t>
  </si>
  <si>
    <t>https://github.com/cloudwarriors-ai/rapture-frontend/issues/131</t>
  </si>
  <si>
    <t>Modal Errors Out in the Middle of the Create New User Workflow</t>
  </si>
  <si>
    <t>2025-04-10T02:05:57Z</t>
  </si>
  <si>
    <t>2025-07-11T21:06:08Z</t>
  </si>
  <si>
    <t>2025-04-24T02:41:17Z</t>
  </si>
  <si>
    <t>voipin, Chaddacus, rebecca-cichy</t>
  </si>
  <si>
    <t>https://github.com/cloudwarriors-ai/rapture-frontend/issues/126</t>
  </si>
  <si>
    <t>Consider Changing "Request Details" Color</t>
  </si>
  <si>
    <t>2025-04-08T16:49:35Z</t>
  </si>
  <si>
    <t>2025-04-24T02:40:44Z</t>
  </si>
  <si>
    <t>https://github.com/cloudwarriors-ai/rapture-frontend/issues/120</t>
  </si>
  <si>
    <t>Change "List of Members (Emails to Add to Site)" - Required vs Optional</t>
  </si>
  <si>
    <t>2025-04-08T15:15:05Z</t>
  </si>
  <si>
    <t>2025-07-11T21:06:14Z</t>
  </si>
  <si>
    <t>2025-04-11T19:50:36Z</t>
  </si>
  <si>
    <t>https://github.com/cloudwarriors-ai/rapture-frontend/issues/119</t>
  </si>
  <si>
    <t>Change the Desktop Phone Details - Required vs Optional</t>
  </si>
  <si>
    <t>2025-04-07T20:52:37Z</t>
  </si>
  <si>
    <t>2025-07-11T21:06:16Z</t>
  </si>
  <si>
    <t>2025-04-11T19:48:18Z</t>
  </si>
  <si>
    <t>https://github.com/cloudwarriors-ai/rapture-frontend/issues/117</t>
  </si>
  <si>
    <t>Drop Down Menus for User Data</t>
  </si>
  <si>
    <t>2025-04-07T20:40:05Z</t>
  </si>
  <si>
    <t>2025-07-11T21:06:17Z</t>
  </si>
  <si>
    <t>2025-04-11T17:57:00Z</t>
  </si>
  <si>
    <t>https://github.com/cloudwarriors-ai/rapture-frontend/issues/116</t>
  </si>
  <si>
    <t>Create Note Next to Extensions - If Left Blank....</t>
  </si>
  <si>
    <t>2025-04-07T20:36:01Z</t>
  </si>
  <si>
    <t>2025-07-11T21:06:18Z</t>
  </si>
  <si>
    <t>2025-04-23T10:17:56Z</t>
  </si>
  <si>
    <t>https://github.com/cloudwarriors-ai/rapture-frontend/issues/115</t>
  </si>
  <si>
    <t>Make BOT Aware of Workflows</t>
  </si>
  <si>
    <t>2025-04-07T20:17:21Z</t>
  </si>
  <si>
    <t>2025-07-11T21:06:20Z</t>
  </si>
  <si>
    <t>2025-04-23T10:39:01Z</t>
  </si>
  <si>
    <t>https://github.com/cloudwarriors-ai/rapture-frontend/issues/114</t>
  </si>
  <si>
    <t>Phone Number Format</t>
  </si>
  <si>
    <t>2025-04-07T19:48:22Z</t>
  </si>
  <si>
    <t>2025-07-11T21:06:21Z</t>
  </si>
  <si>
    <t>2025-04-11T19:38:02Z</t>
  </si>
  <si>
    <t>https://github.com/cloudwarriors-ai/rapture-frontend/issues/113</t>
  </si>
  <si>
    <t>BOT Confusion - Rabbit Hole Resolution</t>
  </si>
  <si>
    <t>2025-04-07T17:01:33Z</t>
  </si>
  <si>
    <t>2025-07-11T21:06:23Z</t>
  </si>
  <si>
    <t>2025-05-29T13:10:40Z</t>
  </si>
  <si>
    <t>https://github.com/cloudwarriors-ai/rapture-frontend/issues/111</t>
  </si>
  <si>
    <t>Replace User Request - Duplicates Email Request</t>
  </si>
  <si>
    <t>2025-04-04T20:53:11Z</t>
  </si>
  <si>
    <t>2025-07-11T21:06:24Z</t>
  </si>
  <si>
    <t>2025-05-06T23:24:18Z</t>
  </si>
  <si>
    <t>https://github.com/cloudwarriors-ai/rapture-frontend/issues/110</t>
  </si>
  <si>
    <t>Bot References the Wrong Name - Chad Simon vs Gregg Alba</t>
  </si>
  <si>
    <t>2025-04-04T20:50:08Z</t>
  </si>
  <si>
    <t>2025-07-11T21:06:25Z</t>
  </si>
  <si>
    <t>2025-05-29T13:13:45Z</t>
  </si>
  <si>
    <t>https://github.com/cloudwarriors-ai/rapture-frontend/issues/109</t>
  </si>
  <si>
    <t>Modify Modal to stage in the Top/Middle of the Page</t>
  </si>
  <si>
    <t>2025-04-04T19:14:06Z</t>
  </si>
  <si>
    <t>2025-04-11T19:52:15Z</t>
  </si>
  <si>
    <t>https://github.com/cloudwarriors-ai/rapture-frontend/issues/108</t>
  </si>
  <si>
    <t>Integration Credentials - Clicking Hidden Button Does Not Display 'Client Secret' in Proper Location</t>
  </si>
  <si>
    <t>2025-04-04T04:59:25Z</t>
  </si>
  <si>
    <t>2025-07-11T21:06:30Z</t>
  </si>
  <si>
    <t>2025-04-09T14:29:01Z</t>
  </si>
  <si>
    <t>https://github.com/cloudwarriors-ai/rapture-frontend/issues/102</t>
  </si>
  <si>
    <t>FAQ Update</t>
  </si>
  <si>
    <t>2025-04-03T15:22:03Z</t>
  </si>
  <si>
    <t>2025-09-19T03:28:56Z</t>
  </si>
  <si>
    <t>2025-04-24T02:37:07Z</t>
  </si>
  <si>
    <t>https://github.com/cloudwarriors-ai/rapture-frontend/issues/100</t>
  </si>
  <si>
    <t>Modal Positioning</t>
  </si>
  <si>
    <t>2025-04-02T15:26:42Z</t>
  </si>
  <si>
    <t>2025-07-11T21:06:34Z</t>
  </si>
  <si>
    <t>2025-04-09T13:56:59Z</t>
  </si>
  <si>
    <t>https://github.com/cloudwarriors-ai/rapture-frontend/issues/98</t>
  </si>
  <si>
    <t>Modal Component/module need to be set at Fixed height.</t>
  </si>
  <si>
    <t>2025-04-02T15:24:45Z</t>
  </si>
  <si>
    <t>2025-04-14T14:33:51Z</t>
  </si>
  <si>
    <t>https://github.com/cloudwarriors-ai/rapture-frontend/issues/97</t>
  </si>
  <si>
    <t>AutoFetch is Broken</t>
  </si>
  <si>
    <t>2025-04-02T15:19:51Z</t>
  </si>
  <si>
    <t>2025-07-11T21:06:35Z</t>
  </si>
  <si>
    <t>2025-04-10T18:45:58Z</t>
  </si>
  <si>
    <t>https://github.com/cloudwarriors-ai/rapture-frontend/issues/96</t>
  </si>
  <si>
    <t>Loading Skeletons and Spinners for Fetch Tabs</t>
  </si>
  <si>
    <t>2025-04-02T15:14:16Z</t>
  </si>
  <si>
    <t>2025-04-25T12:59:45Z</t>
  </si>
  <si>
    <t>https://github.com/cloudwarriors-ai/rapture-frontend/issues/95</t>
  </si>
  <si>
    <t>Tool Tip Needs Color to Match Theme on Toggle Mute and Input Message</t>
  </si>
  <si>
    <t>2025-04-02T15:12:04Z</t>
  </si>
  <si>
    <t>2025-09-19T03:28:55Z</t>
  </si>
  <si>
    <t>2025-04-28T15:01:29Z</t>
  </si>
  <si>
    <t>https://github.com/cloudwarriors-ai/rapture-frontend/issues/94</t>
  </si>
  <si>
    <t>Frontend ? - Job History needs to accurately reflect the workflow jobs.</t>
  </si>
  <si>
    <t>2025-04-02T14:25:00Z</t>
  </si>
  <si>
    <t>2025-07-11T21:06:38Z</t>
  </si>
  <si>
    <t>2025-04-24T02:40:11Z</t>
  </si>
  <si>
    <t>https://github.com/cloudwarriors-ai/rapture-frontend/issues/93</t>
  </si>
  <si>
    <t>Frontend - Update the Job Update bubbles in the chat window with correct workflow data.</t>
  </si>
  <si>
    <t>2025-04-02T14:22:41Z</t>
  </si>
  <si>
    <t>2025-07-11T21:06:39Z</t>
  </si>
  <si>
    <t>2025-05-02T20:01:16Z</t>
  </si>
  <si>
    <t>https://github.com/cloudwarriors-ai/rapture-frontend/issues/92</t>
  </si>
  <si>
    <t>Frontend - Need Dedicated Bubbles at the top for workflow prompts</t>
  </si>
  <si>
    <t>2025-04-02T14:19:53Z</t>
  </si>
  <si>
    <t>2025-04-14T19:15:05Z</t>
  </si>
  <si>
    <t>https://github.com/cloudwarriors-ai/rapture-frontend/issues/91</t>
  </si>
  <si>
    <t>Ai needs to be aware of the Workflows</t>
  </si>
  <si>
    <t>2025-04-02T14:18:41Z</t>
  </si>
  <si>
    <t>2025-07-11T21:06:41Z</t>
  </si>
  <si>
    <t>2025-04-25T13:02:09Z</t>
  </si>
  <si>
    <t>https://github.com/cloudwarriors-ai/rapture-frontend/issues/90</t>
  </si>
  <si>
    <t>response.cancel Sent Through Websocket when user sends message through text</t>
  </si>
  <si>
    <t>2025-03-29T21:26:51Z</t>
  </si>
  <si>
    <t>2025-07-11T21:06:42Z</t>
  </si>
  <si>
    <t>2025-04-15T15:36:59Z</t>
  </si>
  <si>
    <t>https://github.com/cloudwarriors-ai/rapture-frontend/issues/89</t>
  </si>
  <si>
    <t>form submit never goes out of processing</t>
  </si>
  <si>
    <t>2025-02-13T02:18:03Z</t>
  </si>
  <si>
    <t>2025-09-19T03:28:54Z</t>
  </si>
  <si>
    <t>2025-04-14T20:02:45Z</t>
  </si>
  <si>
    <t>https://github.com/cloudwarriors-ai/rapture-frontend/issues/83</t>
  </si>
  <si>
    <t>Invite Member Issue</t>
  </si>
  <si>
    <t>2025-02-10T21:00:10Z</t>
  </si>
  <si>
    <t>2025-07-11T21:06:50Z</t>
  </si>
  <si>
    <t>2025-04-14T19:10:27Z</t>
  </si>
  <si>
    <t>https://github.com/cloudwarriors-ai/rapture-frontend/issues/79</t>
  </si>
  <si>
    <t>2025-02-10T18:59:36Z</t>
  </si>
  <si>
    <t>2025-07-11T21:06:51Z</t>
  </si>
  <si>
    <t>2025-02-10T19:15:39Z</t>
  </si>
  <si>
    <t>https://github.com/cloudwarriors-ai/rapture-frontend/issues/78</t>
  </si>
  <si>
    <t>Request more tickets email issue</t>
  </si>
  <si>
    <t>2025-02-10T17:57:45Z</t>
  </si>
  <si>
    <t>2025-04-15T15:33:19Z</t>
  </si>
  <si>
    <t>https://github.com/cloudwarriors-ai/rapture-frontend/issues/77</t>
  </si>
  <si>
    <t>Button back off for start session</t>
  </si>
  <si>
    <t>2025-02-07T15:49:17Z</t>
  </si>
  <si>
    <t>2025-07-11T21:06:52Z</t>
  </si>
  <si>
    <t>2025-04-14T19:49:51Z</t>
  </si>
  <si>
    <t>https://github.com/cloudwarriors-ai/rapture-frontend/issues/76</t>
  </si>
  <si>
    <t>Button back off for form submit</t>
  </si>
  <si>
    <t>2025-02-07T15:46:50Z</t>
  </si>
  <si>
    <t>2025-04-24T02:38:03Z</t>
  </si>
  <si>
    <t>https://github.com/cloudwarriors-ai/rapture-frontend/issues/75</t>
  </si>
  <si>
    <t>tickets, jobs , oh my!</t>
  </si>
  <si>
    <t>2025-01-30T15:27:38Z</t>
  </si>
  <si>
    <t>2025-07-11T21:07:08Z</t>
  </si>
  <si>
    <t>2025-02-07T15:43:50Z</t>
  </si>
  <si>
    <t>voipin, Jeffrey-Searcy</t>
  </si>
  <si>
    <t>https://github.com/cloudwarriors-ai/rapture-frontend/issues/55</t>
  </si>
  <si>
    <t>Jobs.js websocket init on page refresh and connections.js websocket</t>
  </si>
  <si>
    <t>2025-01-29T16:05:45Z</t>
  </si>
  <si>
    <t>2025-07-11T21:07:10Z</t>
  </si>
  <si>
    <t>2025-02-06T13:44:33Z</t>
  </si>
  <si>
    <t>https://github.com/cloudwarriors-ai/rapture-frontend/issues/52</t>
  </si>
  <si>
    <t>Need Endpoint that handles response from AS</t>
  </si>
  <si>
    <t>2025-01-24T19:45:32Z</t>
  </si>
  <si>
    <t>2025-07-11T21:07:15Z</t>
  </si>
  <si>
    <t>2025-01-30T15:22:22Z</t>
  </si>
  <si>
    <t>https://github.com/cloudwarriors-ai/rapture-frontend/issues/45</t>
  </si>
  <si>
    <t>Update Functionality for Data Gathering</t>
  </si>
  <si>
    <t>2025-01-24T19:43:15Z</t>
  </si>
  <si>
    <t>2025-02-13T16:33:38Z</t>
  </si>
  <si>
    <t>https://github.com/cloudwarriors-ai/rapture-frontend/issues/44</t>
  </si>
  <si>
    <t>Profile pic setup on onboarding</t>
  </si>
  <si>
    <t>2025-01-23T10:47:24Z</t>
  </si>
  <si>
    <t>2025-07-11T21:07:19Z</t>
  </si>
  <si>
    <t>2025-02-06T13:45:08Z</t>
  </si>
  <si>
    <t>https://github.com/cloudwarriors-ai/rapture-frontend/issues/40</t>
  </si>
  <si>
    <t>Add/Remove Team Member Admin permission only</t>
  </si>
  <si>
    <t>2025-01-22T14:19:55Z</t>
  </si>
  <si>
    <t>2025-07-11T21:07:21Z</t>
  </si>
  <si>
    <t>2025-02-07T15:45:43Z</t>
  </si>
  <si>
    <t>https://github.com/cloudwarriors-ai/rapture-frontend/issues/37</t>
  </si>
  <si>
    <t>Implement Voices</t>
  </si>
  <si>
    <t>2025-01-22T01:36:29Z</t>
  </si>
  <si>
    <t>MicahBronfman-CW</t>
  </si>
  <si>
    <t>2025-01-28T15:01:11Z</t>
  </si>
  <si>
    <t>https://github.com/cloudwarriors-ai/rapture-frontend/issues/36</t>
  </si>
  <si>
    <t>Change the settings logo in the chat</t>
  </si>
  <si>
    <t>2025-01-22T01:36:10Z</t>
  </si>
  <si>
    <t>2025-07-11T21:07:22Z</t>
  </si>
  <si>
    <t>2025-02-06T13:45:24Z</t>
  </si>
  <si>
    <t>https://github.com/cloudwarriors-ai/rapture-frontend/issues/35</t>
  </si>
  <si>
    <t>Update Token Usage</t>
  </si>
  <si>
    <t>2025-01-22T01:32:36Z</t>
  </si>
  <si>
    <t>2025-07-11T21:07:23Z</t>
  </si>
  <si>
    <t>2025-02-06T13:45:37Z</t>
  </si>
  <si>
    <t>https://github.com/cloudwarriors-ai/rapture-frontend/issues/34</t>
  </si>
  <si>
    <t>Implement fully group ID table</t>
  </si>
  <si>
    <t>2025-01-22T01:29:44Z</t>
  </si>
  <si>
    <t>2025-02-07T15:45:14Z</t>
  </si>
  <si>
    <t>https://github.com/cloudwarriors-ai/rapture-frontend/issues/33</t>
  </si>
  <si>
    <t>Simplify Javascript</t>
  </si>
  <si>
    <t>2025-01-22T01:27:01Z</t>
  </si>
  <si>
    <t>2025-04-15T14:56:34Z</t>
  </si>
  <si>
    <t>https://github.com/cloudwarriors-ai/rapture-frontend/issues/32</t>
  </si>
  <si>
    <t>Login Page_Additions</t>
  </si>
  <si>
    <t>2025-01-21T22:01:49Z</t>
  </si>
  <si>
    <t>2025-09-19T03:28:53Z</t>
  </si>
  <si>
    <t>2025-05-02T19:59:06Z</t>
  </si>
  <si>
    <t>https://github.com/cloudwarriors-ai/rapture-frontend/issues/30</t>
  </si>
  <si>
    <t>Mobile Message Container</t>
  </si>
  <si>
    <t>2025-01-21T20:20:29Z</t>
  </si>
  <si>
    <t>2025-05-01T16:26:10Z</t>
  </si>
  <si>
    <t>https://github.com/cloudwarriors-ai/rapture-frontend/issues/28</t>
  </si>
  <si>
    <t>Update Conflicting CSS on Dashboard.html</t>
  </si>
  <si>
    <t>2025-01-21T19:59:00Z</t>
  </si>
  <si>
    <t>2025-07-11T21:07:28Z</t>
  </si>
  <si>
    <t>2025-02-07T19:16:03Z</t>
  </si>
  <si>
    <t>https://github.com/cloudwarriors-ai/rapture-frontend/issues/27</t>
  </si>
  <si>
    <t>Conversation refreshbutton</t>
  </si>
  <si>
    <t>2025-01-21T18:49:10Z</t>
  </si>
  <si>
    <t>2025-07-11T21:07:29Z</t>
  </si>
  <si>
    <t>2025-02-06T13:46:53Z</t>
  </si>
  <si>
    <t>https://github.com/cloudwarriors-ai/rapture-frontend/issues/26</t>
  </si>
  <si>
    <t>Onboarding/quiz page needs back button</t>
  </si>
  <si>
    <t>2025-01-21T17:17:29Z</t>
  </si>
  <si>
    <t>2025-07-11T21:07:30Z</t>
  </si>
  <si>
    <t>2025-01-28T15:02:24Z</t>
  </si>
  <si>
    <t>https://github.com/cloudwarriors-ai/rapture-frontend/issues/25</t>
  </si>
  <si>
    <t>test jobs need full support through AS</t>
  </si>
  <si>
    <t>2025-01-20T21:29:38Z</t>
  </si>
  <si>
    <t>2025-02-06T13:46:38Z</t>
  </si>
  <si>
    <t>https://github.com/cloudwarriors-ai/rapture-frontend/issues/24</t>
  </si>
  <si>
    <t>cwlogo not rendered in firefox dev</t>
  </si>
  <si>
    <t>2025-01-20T21:28:03Z</t>
  </si>
  <si>
    <t>2025-05-06T23:25:00Z</t>
  </si>
  <si>
    <t>https://github.com/cloudwarriors-ai/rapture-frontend/issues/23</t>
  </si>
  <si>
    <t>AS output to defined url</t>
  </si>
  <si>
    <t>2025-01-20T19:42:25Z</t>
  </si>
  <si>
    <t>2025-07-11T21:07:32Z</t>
  </si>
  <si>
    <t>2025-01-30T15:21:03Z</t>
  </si>
  <si>
    <t>https://github.com/cloudwarriors-ai/rapture-frontend/issues/22</t>
  </si>
  <si>
    <t>fix AS token authentication, CSRF is an abomination</t>
  </si>
  <si>
    <t>2025-01-20T19:39:15Z</t>
  </si>
  <si>
    <t>2025-07-11T21:07:33Z</t>
  </si>
  <si>
    <t>2025-05-02T19:57:12Z</t>
  </si>
  <si>
    <t>https://github.com/cloudwarriors-ai/rapture-frontend/issues/21</t>
  </si>
  <si>
    <t>front end needs model to for final destination of output,</t>
  </si>
  <si>
    <t>2025-01-20T19:38:42Z</t>
  </si>
  <si>
    <t>2025-07-11T21:07:34Z</t>
  </si>
  <si>
    <t>2025-01-30T15:20:23Z</t>
  </si>
  <si>
    <t>https://github.com/cloudwarriors-ai/rapture-frontend/issues/20</t>
  </si>
  <si>
    <t>platform not longer checks credentials</t>
  </si>
  <si>
    <t>2025-01-20T19:34:02Z</t>
  </si>
  <si>
    <t>2025-07-11T21:07:35Z</t>
  </si>
  <si>
    <t>2025-02-06T13:46:04Z</t>
  </si>
  <si>
    <t>https://github.com/cloudwarriors-ai/rapture-frontend/issues/19</t>
  </si>
  <si>
    <t>robot data in front end needs to be abstracted to a model for input</t>
  </si>
  <si>
    <t>2025-01-20T19:31:34Z</t>
  </si>
  <si>
    <t>2025-07-11T21:07:36Z</t>
  </si>
  <si>
    <t>2025-05-02T19:59:45Z</t>
  </si>
  <si>
    <t>https://github.com/cloudwarriors-ai/rapture-frontend/issues/18</t>
  </si>
  <si>
    <t>organizations need to be part of user creation, permissions for users set, either admin or team member for now</t>
  </si>
  <si>
    <t>2025-01-20T19:30:28Z</t>
  </si>
  <si>
    <t>2025-07-11T21:07:37Z</t>
  </si>
  <si>
    <t>2025-02-07T15:44:54Z</t>
  </si>
  <si>
    <t>https://github.com/cloudwarriors-ai/rapture-frontend/issues/17</t>
  </si>
  <si>
    <t>On boarding</t>
  </si>
  <si>
    <t>2025-01-20T19:28:19Z</t>
  </si>
  <si>
    <t>2025-07-11T21:07:38Z</t>
  </si>
  <si>
    <t>2025-01-28T15:05:57Z</t>
  </si>
  <si>
    <t>https://github.com/cloudwarriors-ai/rapture-frontend/issues/16</t>
  </si>
  <si>
    <t>robot needs to talk when the initial start session is created</t>
  </si>
  <si>
    <t>2025-01-20T19:26:51Z</t>
  </si>
  <si>
    <t>2025-01-30T15:21:20Z</t>
  </si>
  <si>
    <t>https://github.com/cloudwarriors-ai/rapture-frontend/issues/15</t>
  </si>
  <si>
    <t>push to talk doesn't produce response</t>
  </si>
  <si>
    <t>2025-01-20T19:25:49Z</t>
  </si>
  <si>
    <t>2025-07-11T21:07:40Z</t>
  </si>
  <si>
    <t>2025-01-22T15:35:29Z</t>
  </si>
  <si>
    <t>https://github.com/cloudwarriors-ai/rapture-frontend/issues/14</t>
  </si>
  <si>
    <t>Rapture Test</t>
  </si>
  <si>
    <t>No Rapture Response when Missing Info</t>
  </si>
  <si>
    <t>2025-02-18T22:58:39Z</t>
  </si>
  <si>
    <t>2025-02-26T06:46:05Z</t>
  </si>
  <si>
    <t>2025-02-26T06:46:03Z</t>
  </si>
  <si>
    <t>https://github.com/cloudwarriors-ai/rapture_test/issues/3</t>
  </si>
  <si>
    <t>cloudwarriors-ai/tesseract</t>
  </si>
  <si>
    <t>AR Patching - NIU Naming</t>
  </si>
  <si>
    <t>2025-10-21T18:15:16Z</t>
  </si>
  <si>
    <t>2025-11-18T18:39:50Z</t>
  </si>
  <si>
    <t>https://github.com/cloudwarriors-ai/tesseract/issues/266</t>
  </si>
  <si>
    <t>#174 Sub Issue to 'IVR' - Actions: Repeat menu greeting &amp; other non-numeric keys</t>
  </si>
  <si>
    <t>2025-09-25T17:18:06Z</t>
  </si>
  <si>
    <t>2025-11-22T02:28:25Z</t>
  </si>
  <si>
    <t>STATUS: Dev Complete - Awtg QA</t>
  </si>
  <si>
    <t>trentcharlton, Jeffrey-Searcy</t>
  </si>
  <si>
    <t>https://github.com/cloudwarriors-ai/tesseract/issues/224</t>
  </si>
  <si>
    <t>#174 Sub Issue to 'IVR' - Actions: Send to other extension voicemail</t>
  </si>
  <si>
    <t>2025-09-25T17:17:17Z</t>
  </si>
  <si>
    <t>2025-11-22T00:06:20Z</t>
  </si>
  <si>
    <t>https://github.com/cloudwarriors-ai/tesseract/issues/223</t>
  </si>
  <si>
    <t>#174 Sub Issue to 'IVR' - Actions: Send to own extension voicemail</t>
  </si>
  <si>
    <t>2025-09-25T17:16:28Z</t>
  </si>
  <si>
    <t>2025-11-22T02:37:06Z</t>
  </si>
  <si>
    <t>PRIORITY: Medium, SKILL: Medium, STATUS: Dev Complete - Awtg QA, STATUS: Follow-Up Required</t>
  </si>
  <si>
    <t>https://github.com/cloudwarriors-ai/tesseract/issues/222</t>
  </si>
  <si>
    <t>#174 Sub Issue to 'IVR' - Actions: Add auto receptionist (other) to IVR</t>
  </si>
  <si>
    <t>2025-09-25T17:15:13Z</t>
  </si>
  <si>
    <t>2025-11-22T02:34:03Z</t>
  </si>
  <si>
    <t>https://github.com/cloudwarriors-ai/tesseract/issues/221</t>
  </si>
  <si>
    <t>#174 Sub Issue to 'IVR' - Actions: Add call queue to IVR</t>
  </si>
  <si>
    <t>2025-09-25T17:14:26Z</t>
  </si>
  <si>
    <t>2025-11-18T21:44:27Z</t>
  </si>
  <si>
    <t>https://github.com/cloudwarriors-ai/tesseract/issues/220</t>
  </si>
  <si>
    <t>#174 Sub Issue to 'IVR' - Actions: Add User to IVR</t>
  </si>
  <si>
    <t>2025-09-25T17:13:49Z</t>
  </si>
  <si>
    <t>2025-10-20T13:34:38Z</t>
  </si>
  <si>
    <t>https://github.com/cloudwarriors-ai/tesseract/issues/219</t>
  </si>
  <si>
    <t>CAB Request: Production Deployment of User, Call Queue &amp; Auto Receptionist ETL Enhancements</t>
  </si>
  <si>
    <t>2025-09-22T21:32:12Z</t>
  </si>
  <si>
    <t>2025-10-20T13:33:52Z</t>
  </si>
  <si>
    <t>Jeffrey-Searcy, Matt-Keuning</t>
  </si>
  <si>
    <t>https://github.com/cloudwarriors-ai/tesseract/issues/216</t>
  </si>
  <si>
    <t>#82 Sub Issue to 'CQ' - Add Ad-hoc Recording</t>
  </si>
  <si>
    <t>2025-09-12T14:54:10Z</t>
  </si>
  <si>
    <t>2025-09-24T19:30:24Z</t>
  </si>
  <si>
    <t>STATUS: In Progress</t>
  </si>
  <si>
    <t>https://github.com/cloudwarriors-ai/tesseract/issues/201</t>
  </si>
  <si>
    <t>#82 Sub Issue to 'CQ' - Add Auto Recording</t>
  </si>
  <si>
    <t>2025-09-12T14:53:38Z</t>
  </si>
  <si>
    <t>2025-09-24T19:29:44Z</t>
  </si>
  <si>
    <t>https://github.com/cloudwarriors-ai/tesseract/issues/200</t>
  </si>
  <si>
    <t>#82 Sub Issue to 'CQ' - Add Voicemail Access List</t>
  </si>
  <si>
    <t>2025-09-12T14:53:04Z</t>
  </si>
  <si>
    <t>2025-12-02T17:12:19Z</t>
  </si>
  <si>
    <t>PRIORITY: Medium, SKILL: Medium, STATUS: Follow-Up Required, STATUS: In Progress</t>
  </si>
  <si>
    <t>https://github.com/cloudwarriors-ai/tesseract/issues/199</t>
  </si>
  <si>
    <t>#82 Sub Issue to 'CQ' - Add Voicemail Enabled</t>
  </si>
  <si>
    <t>2025-09-12T14:52:24Z</t>
  </si>
  <si>
    <t>2025-09-24T19:28:49Z</t>
  </si>
  <si>
    <t>https://github.com/cloudwarriors-ai/tesseract/issues/198</t>
  </si>
  <si>
    <t>#82 Sub Issue to 'CQ' - Add Business Hours</t>
  </si>
  <si>
    <t>2025-09-12T14:51:55Z</t>
  </si>
  <si>
    <t>2025-09-29T16:47:17Z</t>
  </si>
  <si>
    <t>STATUS: QA Passed - Awtg Release</t>
  </si>
  <si>
    <t>https://github.com/cloudwarriors-ai/tesseract/issues/197</t>
  </si>
  <si>
    <t>#82 Sub Issue to 'CQ' - Add Overflow</t>
  </si>
  <si>
    <t>2025-09-12T14:51:26Z</t>
  </si>
  <si>
    <t>2025-11-18T18:00:06Z</t>
  </si>
  <si>
    <t>STATUS: Follow-Up Required, STATUS: In Progress</t>
  </si>
  <si>
    <t>https://github.com/cloudwarriors-ai/tesseract/issues/196</t>
  </si>
  <si>
    <t>#82 Sub Issue to 'CQ' - Add Max Call In Queue</t>
  </si>
  <si>
    <t>2025-09-12T14:51:03Z</t>
  </si>
  <si>
    <t>2025-09-29T16:44:18Z</t>
  </si>
  <si>
    <t>https://github.com/cloudwarriors-ai/tesseract/issues/195</t>
  </si>
  <si>
    <t>#82 Sub Issue to 'CQ' - Add Wrap-up Time</t>
  </si>
  <si>
    <t>2025-09-12T14:50:35Z</t>
  </si>
  <si>
    <t>2025-09-29T16:40:22Z</t>
  </si>
  <si>
    <t>2025-09-29T16:40:21Z</t>
  </si>
  <si>
    <t>https://github.com/cloudwarriors-ai/tesseract/issues/194</t>
  </si>
  <si>
    <t>#82 Sub Issue to 'CQ' - Add Max Wait Time</t>
  </si>
  <si>
    <t>2025-09-12T14:50:03Z</t>
  </si>
  <si>
    <t>2025-09-29T16:42:33Z</t>
  </si>
  <si>
    <t>https://github.com/cloudwarriors-ai/tesseract/issues/193</t>
  </si>
  <si>
    <t>#82 Sub Issue to 'CQ' - Add Ring Duration</t>
  </si>
  <si>
    <t>2025-09-12T14:49:30Z</t>
  </si>
  <si>
    <t>2025-09-29T16:49:15Z</t>
  </si>
  <si>
    <t>2025-09-29T16:49:14Z</t>
  </si>
  <si>
    <t>https://github.com/cloudwarriors-ai/tesseract/issues/192</t>
  </si>
  <si>
    <t>#82 Sub Issue to 'CQ' - Add Call Distribution</t>
  </si>
  <si>
    <t>2025-09-12T14:48:59Z</t>
  </si>
  <si>
    <t>2025-11-18T17:59:35Z</t>
  </si>
  <si>
    <t>https://github.com/cloudwarriors-ai/tesseract/issues/191</t>
  </si>
  <si>
    <t>#82 Sub Issue to 'CQ' - Add Language</t>
  </si>
  <si>
    <t>2025-09-12T14:48:22Z</t>
  </si>
  <si>
    <t>2025-10-03T14:54:39Z</t>
  </si>
  <si>
    <t>2025-10-03T14:54:38Z</t>
  </si>
  <si>
    <t>https://github.com/cloudwarriors-ai/tesseract/issues/190</t>
  </si>
  <si>
    <t>#82 Sub Issue to 'CQ' - Add Time Zone</t>
  </si>
  <si>
    <t>2025-09-12T14:47:38Z</t>
  </si>
  <si>
    <t>2025-10-03T14:35:49Z</t>
  </si>
  <si>
    <t>https://github.com/cloudwarriors-ai/tesseract/issues/189</t>
  </si>
  <si>
    <t>#82 Sub Issue to 'CQ' - Add Site</t>
  </si>
  <si>
    <t>2025-09-12T14:46:50Z</t>
  </si>
  <si>
    <t>2025-09-29T14:30:07Z</t>
  </si>
  <si>
    <t>https://github.com/cloudwarriors-ai/tesseract/issues/188</t>
  </si>
  <si>
    <t>#82 Sub Issue to 'CQ' - Add Common Area Members</t>
  </si>
  <si>
    <t>2025-09-12T14:46:21Z</t>
  </si>
  <si>
    <t>2025-09-24T14:26:32Z</t>
  </si>
  <si>
    <t>https://github.com/cloudwarriors-ai/tesseract/issues/187</t>
  </si>
  <si>
    <t>#82 Sub Issue to 'CQ' - Add Users Members</t>
  </si>
  <si>
    <t>2025-09-12T14:45:15Z</t>
  </si>
  <si>
    <t>2025-11-18T17:59:12Z</t>
  </si>
  <si>
    <t>https://github.com/cloudwarriors-ai/tesseract/issues/186</t>
  </si>
  <si>
    <t>#82 Sub Issue to 'CQ' - Add Extension</t>
  </si>
  <si>
    <t>2025-09-11T20:11:42Z</t>
  </si>
  <si>
    <t>2025-09-29T14:30:25Z</t>
  </si>
  <si>
    <t>https://github.com/cloudwarriors-ai/tesseract/issues/185</t>
  </si>
  <si>
    <t>#82 Sub Issue to 'CQ' - Add Name</t>
  </si>
  <si>
    <t>2025-09-11T20:11:04Z</t>
  </si>
  <si>
    <t>2025-09-29T14:29:47Z</t>
  </si>
  <si>
    <t>https://github.com/cloudwarriors-ai/tesseract/issues/184</t>
  </si>
  <si>
    <t>#81 Sub Issue to 'AR' - Add Time Zone</t>
  </si>
  <si>
    <t>2025-09-11T20:08:36Z</t>
  </si>
  <si>
    <t>2025-09-29T18:10:22Z</t>
  </si>
  <si>
    <t>https://github.com/cloudwarriors-ai/tesseract/issues/183</t>
  </si>
  <si>
    <t>#81 Sub Issue to 'AR' - Add Business Hours</t>
  </si>
  <si>
    <t>2025-09-11T20:08:07Z</t>
  </si>
  <si>
    <t>2025-09-29T17:33:33Z</t>
  </si>
  <si>
    <t>https://github.com/cloudwarriors-ai/tesseract/issues/182</t>
  </si>
  <si>
    <t>#81 Sub Issue to 'AR' - Add Number</t>
  </si>
  <si>
    <t>2025-09-11T20:07:08Z</t>
  </si>
  <si>
    <t>2025-11-21T17:46:04Z</t>
  </si>
  <si>
    <t>https://github.com/cloudwarriors-ai/tesseract/issues/181</t>
  </si>
  <si>
    <t>#81 Sub Issue to 'AR' - Add Sites</t>
  </si>
  <si>
    <t>2025-09-11T20:06:31Z</t>
  </si>
  <si>
    <t>2025-09-29T16:58:27Z</t>
  </si>
  <si>
    <t>2025-09-29T16:52:48Z</t>
  </si>
  <si>
    <t>https://github.com/cloudwarriors-ai/tesseract/issues/180</t>
  </si>
  <si>
    <t>#81 Sub Issue to 'AR' - Add Extension</t>
  </si>
  <si>
    <t>2025-09-11T20:05:43Z</t>
  </si>
  <si>
    <t>2025-09-29T16:57:33Z</t>
  </si>
  <si>
    <t>2025-09-29T16:54:11Z</t>
  </si>
  <si>
    <t>https://github.com/cloudwarriors-ai/tesseract/issues/179</t>
  </si>
  <si>
    <t>#81 Sub Issue to 'AR' - Add Name</t>
  </si>
  <si>
    <t>2025-09-11T20:04:40Z</t>
  </si>
  <si>
    <t>2025-09-29T16:59:11Z</t>
  </si>
  <si>
    <t>https://github.com/cloudwarriors-ai/tesseract/issues/178</t>
  </si>
  <si>
    <t>#174 Sub Issue to 'IVR' - Add Closed Hours</t>
  </si>
  <si>
    <t>2025-09-11T20:01:11Z</t>
  </si>
  <si>
    <t>2025-11-18T18:10:01Z</t>
  </si>
  <si>
    <t>https://github.com/cloudwarriors-ai/tesseract/issues/177</t>
  </si>
  <si>
    <t>#174 Sub Issue to 'IVR' - Add Actions</t>
  </si>
  <si>
    <t>2025-09-11T20:00:13Z</t>
  </si>
  <si>
    <t>2025-09-25T17:18:43Z</t>
  </si>
  <si>
    <t>https://github.com/cloudwarriors-ai/tesseract/issues/176</t>
  </si>
  <si>
    <t>#174 Sub Issue to 'IVR' - Add IVR Greeting Audio</t>
  </si>
  <si>
    <t>2025-09-11T19:58:46Z</t>
  </si>
  <si>
    <t>2025-09-25T16:40:39Z</t>
  </si>
  <si>
    <t>https://github.com/cloudwarriors-ai/tesseract/issues/175</t>
  </si>
  <si>
    <t>RC&gt;ZP: Add IVR Entities</t>
  </si>
  <si>
    <t>2025-09-11T19:54:48Z</t>
  </si>
  <si>
    <t>2025-10-20T13:40:09Z</t>
  </si>
  <si>
    <t>PRIORITY: High, PRIORITY: Medium, STATUS: In Progress</t>
  </si>
  <si>
    <t>https://github.com/cloudwarriors-ai/tesseract/issues/174</t>
  </si>
  <si>
    <t>#80 Sub Issue to 'Users' - Add Auto Call Recording</t>
  </si>
  <si>
    <t>2025-09-11T19:04:41Z</t>
  </si>
  <si>
    <t>2025-11-22T04:21:10Z</t>
  </si>
  <si>
    <t>https://github.com/cloudwarriors-ai/tesseract/issues/173</t>
  </si>
  <si>
    <t>#80 Sub Issue to 'Users' - Add International SMS</t>
  </si>
  <si>
    <t>2025-09-11T19:04:01Z</t>
  </si>
  <si>
    <t>2025-11-18T21:41:01Z</t>
  </si>
  <si>
    <t>https://github.com/cloudwarriors-ai/tesseract/issues/172</t>
  </si>
  <si>
    <t>#80 Sub Issue to 'Users' - Add Ad Hoc Call Recording</t>
  </si>
  <si>
    <t>2025-09-11T19:03:27Z</t>
  </si>
  <si>
    <t>2025-11-18T21:36:23Z</t>
  </si>
  <si>
    <t>PRIORITY: Low, PRIORITY: Medium, STATUS: In Progress</t>
  </si>
  <si>
    <t>https://github.com/cloudwarriors-ai/tesseract/issues/171</t>
  </si>
  <si>
    <t>#80 Sub Issue to 'Users' - Add SMS</t>
  </si>
  <si>
    <t>2025-09-11T19:02:36Z</t>
  </si>
  <si>
    <t>2025-11-18T21:41:29Z</t>
  </si>
  <si>
    <t>https://github.com/cloudwarriors-ai/tesseract/issues/170</t>
  </si>
  <si>
    <t>#80 Sub Issue to 'Users' - Add International Calling</t>
  </si>
  <si>
    <t>2025-09-11T19:02:06Z</t>
  </si>
  <si>
    <t>2025-11-24T13:04:49Z</t>
  </si>
  <si>
    <t>PRIORITY: Low, SKILL: Medium, STATUS: Follow-Up Required, STATUS: In Progress</t>
  </si>
  <si>
    <t>https://github.com/cloudwarriors-ai/tesseract/issues/169</t>
  </si>
  <si>
    <t>#80 Sub Issue to 'Users' - Add Call Handling Settings</t>
  </si>
  <si>
    <t>2025-09-11T19:00:39Z</t>
  </si>
  <si>
    <t>2025-11-22T03:57:40Z</t>
  </si>
  <si>
    <t>https://github.com/cloudwarriors-ai/tesseract/issues/168</t>
  </si>
  <si>
    <t>#80 Sub Issue to 'Users' - Add Role</t>
  </si>
  <si>
    <t>2025-09-11T18:57:59Z</t>
  </si>
  <si>
    <t>2025-09-29T14:18:15Z</t>
  </si>
  <si>
    <t>rebecca-cichy, Matt-Keuning</t>
  </si>
  <si>
    <t>https://github.com/cloudwarriors-ai/tesseract/issues/167</t>
  </si>
  <si>
    <t>#80 Sub Issue to 'Users' - Add eFax</t>
  </si>
  <si>
    <t>2025-09-11T18:57:23Z</t>
  </si>
  <si>
    <t>2025-11-22T03:16:15Z</t>
  </si>
  <si>
    <t>https://github.com/cloudwarriors-ai/tesseract/issues/166</t>
  </si>
  <si>
    <t>#80 Sub Issue to 'Users' - Add Outbound Caller ID</t>
  </si>
  <si>
    <t>2025-09-11T18:56:32Z</t>
  </si>
  <si>
    <t>2025-11-18T16:57:27Z</t>
  </si>
  <si>
    <t>https://github.com/cloudwarriors-ai/tesseract/issues/165</t>
  </si>
  <si>
    <t>#80 Sub Issue to 'Users' - Add  VM Pin</t>
  </si>
  <si>
    <t>2025-09-11T18:55:04Z</t>
  </si>
  <si>
    <t>2025-09-11T19:05:14Z</t>
  </si>
  <si>
    <t>2025-09-11T18:55:46Z</t>
  </si>
  <si>
    <t>https://github.com/cloudwarriors-ai/tesseract/issues/164</t>
  </si>
  <si>
    <t>#80 Sub Issue to 'Users' - Add Business Hours</t>
  </si>
  <si>
    <t>2025-09-11T18:54:16Z</t>
  </si>
  <si>
    <t>2025-09-29T14:23:48Z</t>
  </si>
  <si>
    <t>https://github.com/cloudwarriors-ai/tesseract/issues/163</t>
  </si>
  <si>
    <t>#80 Sub Issue to 'Users' - Add Time Zone</t>
  </si>
  <si>
    <t>2025-09-11T18:53:38Z</t>
  </si>
  <si>
    <t>2025-09-29T18:34:19Z</t>
  </si>
  <si>
    <t>https://github.com/cloudwarriors-ai/tesseract/issues/162</t>
  </si>
  <si>
    <t>#80 Sub Issue to 'Users' - Add Call Queues</t>
  </si>
  <si>
    <t>2025-09-11T18:52:53Z</t>
  </si>
  <si>
    <t>2025-09-25T13:22:13Z</t>
  </si>
  <si>
    <t>https://github.com/cloudwarriors-ai/tesseract/issues/161</t>
  </si>
  <si>
    <t>#80 Sub Issue to 'Users' - Add Phone Number</t>
  </si>
  <si>
    <t>2025-09-11T18:52:12Z</t>
  </si>
  <si>
    <t>2025-09-29T19:01:51Z</t>
  </si>
  <si>
    <t>https://github.com/cloudwarriors-ai/tesseract/issues/160</t>
  </si>
  <si>
    <t>#80 Sub Issue to 'Users' - Add  Extension</t>
  </si>
  <si>
    <t>2025-09-11T18:51:31Z</t>
  </si>
  <si>
    <t>2025-09-29T14:26:17Z</t>
  </si>
  <si>
    <t>https://github.com/cloudwarriors-ai/tesseract/issues/159</t>
  </si>
  <si>
    <t>#80 Sub Issue to 'Users' - Add  Site</t>
  </si>
  <si>
    <t>2025-09-11T18:50:58Z</t>
  </si>
  <si>
    <t>2025-09-29T18:28:41Z</t>
  </si>
  <si>
    <t>https://github.com/cloudwarriors-ai/tesseract/issues/158</t>
  </si>
  <si>
    <t>#80 Sub Issue to 'Users' - Add Last Name</t>
  </si>
  <si>
    <t>2025-09-11T18:50:06Z</t>
  </si>
  <si>
    <t>2025-09-29T14:13:46Z</t>
  </si>
  <si>
    <t>https://github.com/cloudwarriors-ai/tesseract/issues/157</t>
  </si>
  <si>
    <t>#80 Sub Issue to 'Users' - Add First Name</t>
  </si>
  <si>
    <t>2025-09-11T18:49:25Z</t>
  </si>
  <si>
    <t>2025-09-29T14:14:53Z</t>
  </si>
  <si>
    <t>https://github.com/cloudwarriors-ai/tesseract/issues/156</t>
  </si>
  <si>
    <t>#80 Sub Issue to 'Users' - Add Email</t>
  </si>
  <si>
    <t>2025-09-11T18:48:30Z</t>
  </si>
  <si>
    <t>2025-09-29T14:12:19Z</t>
  </si>
  <si>
    <t>https://github.com/cloudwarriors-ai/tesseract/issues/155</t>
  </si>
  <si>
    <t>[CAB] ETL Core Loader – Timezone Conversion and Auto-Receptionist Enhancement</t>
  </si>
  <si>
    <t>2025-09-04T16:10:07Z</t>
  </si>
  <si>
    <t>2025-11-18T17:06:29Z</t>
  </si>
  <si>
    <t>https://github.com/cloudwarriors-ai/tesseract/issues/149</t>
  </si>
  <si>
    <t>Transformer Overhaul from LLM to Small Model + MCP</t>
  </si>
  <si>
    <t>2025-08-28T15:23:31Z</t>
  </si>
  <si>
    <t>2025-10-20T13:33:06Z</t>
  </si>
  <si>
    <t>PRIORITY: High, SKILL: High, STATUS: In Progress</t>
  </si>
  <si>
    <t>https://github.com/cloudwarriors-ai/tesseract/issues/138</t>
  </si>
  <si>
    <t>[BUG] &lt;short summary&gt; Cancel button is not functional on the frontend</t>
  </si>
  <si>
    <t>2025-08-22T01:12:52Z</t>
  </si>
  <si>
    <t>2025-08-28T20:49:40Z</t>
  </si>
  <si>
    <t>https://github.com/cloudwarriors-ai/tesseract/issues/132</t>
  </si>
  <si>
    <t>Password reset redirect and successful change</t>
  </si>
  <si>
    <t>2025-08-21T13:37:14Z</t>
  </si>
  <si>
    <t>2025-09-18T15:07:04Z</t>
  </si>
  <si>
    <t>PRIORITY: Medium, SKILL: Low, STATUS: Follow-Up Required</t>
  </si>
  <si>
    <t>https://github.com/cloudwarriors-ai/tesseract/issues/127</t>
  </si>
  <si>
    <t>Password reset config</t>
  </si>
  <si>
    <t>2025-08-19T14:58:52Z</t>
  </si>
  <si>
    <t>2025-08-21T13:35:37Z</t>
  </si>
  <si>
    <t>https://github.com/cloudwarriors-ai/tesseract/issues/123</t>
  </si>
  <si>
    <t>[CAB] Tesseract Caching and AR Duplication Fix (v1.0.1)</t>
  </si>
  <si>
    <t>2025-08-18T18:37:15Z</t>
  </si>
  <si>
    <t>2025-09-03T19:57:25Z</t>
  </si>
  <si>
    <t>STATUS: Released to Prod</t>
  </si>
  <si>
    <t>https://github.com/cloudwarriors-ai/tesseract/issues/122</t>
  </si>
  <si>
    <t>Browser automation research + integration plan</t>
  </si>
  <si>
    <t>2025-08-17T20:36:48Z</t>
  </si>
  <si>
    <t>2025-10-20T13:42:35Z</t>
  </si>
  <si>
    <t>https://github.com/cloudwarriors-ai/tesseract/issues/115</t>
  </si>
  <si>
    <t>Tesseract repository actions (basic→advanced)</t>
  </si>
  <si>
    <t>2025-08-17T20:36:46Z</t>
  </si>
  <si>
    <t>2025-10-20T13:40:21Z</t>
  </si>
  <si>
    <t>https://github.com/cloudwarriors-ai/tesseract/issues/114</t>
  </si>
  <si>
    <t>Lab reset for Zoom &amp; RingCentral + Dialpad path</t>
  </si>
  <si>
    <t>2025-08-17T20:36:44Z</t>
  </si>
  <si>
    <t>2025-08-28T15:31:48Z</t>
  </si>
  <si>
    <t>https://github.com/cloudwarriors-ai/tesseract/issues/113</t>
  </si>
  <si>
    <t>Test suite expansion and hardening</t>
  </si>
  <si>
    <t>2025-08-17T20:36:41Z</t>
  </si>
  <si>
    <t>2025-11-18T18:38:28Z</t>
  </si>
  <si>
    <t>https://github.com/cloudwarriors-ai/tesseract/issues/112</t>
  </si>
  <si>
    <t>Dependency handling revamp (design + examples)</t>
  </si>
  <si>
    <t>2025-08-17T20:36:40Z</t>
  </si>
  <si>
    <t>2025-11-18T17:56:03Z</t>
  </si>
  <si>
    <t>PRIORITY: High, SKILL: High, STATUS: Dev Complete - Awtg QA</t>
  </si>
  <si>
    <t>https://github.com/cloudwarriors-ai/tesseract/issues/111</t>
  </si>
  <si>
    <t>RingCentral → Zoom mapping list completion (users &amp; ARs)</t>
  </si>
  <si>
    <t>2025-08-17T20:36:38Z</t>
  </si>
  <si>
    <t>2025-11-18T18:17:03Z</t>
  </si>
  <si>
    <t>https://github.com/cloudwarriors-ai/tesseract/issues/110</t>
  </si>
  <si>
    <t>Architect the new SSOT transformer (initial design)</t>
  </si>
  <si>
    <t>2025-08-17T20:36:36Z</t>
  </si>
  <si>
    <t>2025-08-25T15:37:24Z</t>
  </si>
  <si>
    <t>https://github.com/cloudwarriors-ai/tesseract/issues/109</t>
  </si>
  <si>
    <t>Closed-loop agent for platform extractors/loaders (prototype)</t>
  </si>
  <si>
    <t>2025-08-17T20:36:34Z</t>
  </si>
  <si>
    <t>2025-11-18T18:37:48Z</t>
  </si>
  <si>
    <t>https://github.com/cloudwarriors-ai/tesseract/issues/108</t>
  </si>
  <si>
    <t>Research rate limiting workarounds</t>
  </si>
  <si>
    <t>2025-08-17T20:36:33Z</t>
  </si>
  <si>
    <t>2025-11-18T16:59:48Z</t>
  </si>
  <si>
    <t>https://github.com/cloudwarriors-ai/tesseract/issues/107</t>
  </si>
  <si>
    <t>2025-08-17T20:35:40Z</t>
  </si>
  <si>
    <t>2025-08-17T20:46:42Z</t>
  </si>
  <si>
    <t>https://github.com/cloudwarriors-ai/tesseract/issues/106</t>
  </si>
  <si>
    <t>Test Issue</t>
  </si>
  <si>
    <t>2025-08-17T20:34:23Z</t>
  </si>
  <si>
    <t>2025-08-17T20:34:44Z</t>
  </si>
  <si>
    <t>PRIORITY: High</t>
  </si>
  <si>
    <t>https://github.com/cloudwarriors-ai/tesseract/issues/105</t>
  </si>
  <si>
    <t>ADD - Caller ID Name</t>
  </si>
  <si>
    <t>2025-08-11T15:37:22Z</t>
  </si>
  <si>
    <t>2025-09-05T18:27:48Z</t>
  </si>
  <si>
    <t>https://github.com/cloudwarriors-ai/tesseract/issues/90</t>
  </si>
  <si>
    <t>RC&gt;ZP: Add Call Queue (CQ) Entities</t>
  </si>
  <si>
    <t>2025-08-01T22:34:10Z</t>
  </si>
  <si>
    <t>2025-09-22T13:17:09Z</t>
  </si>
  <si>
    <t>https://github.com/cloudwarriors-ai/tesseract/issues/82</t>
  </si>
  <si>
    <t>RC&gt;ZP: Add Auto Receptionist (AR) Entities</t>
  </si>
  <si>
    <t>2025-08-01T22:29:59Z</t>
  </si>
  <si>
    <t>2025-09-22T13:09:47Z</t>
  </si>
  <si>
    <t>https://github.com/cloudwarriors-ai/tesseract/issues/81</t>
  </si>
  <si>
    <t>RC&gt;ZP: Add Users Entities</t>
  </si>
  <si>
    <t>2025-08-01T22:18:16Z</t>
  </si>
  <si>
    <t>2025-10-20T14:18:12Z</t>
  </si>
  <si>
    <t>https://github.com/cloudwarriors-ai/tesseract/issues/80</t>
  </si>
  <si>
    <t>RC&gt;ZP: Add Sites Entities</t>
  </si>
  <si>
    <t>2025-08-01T21:05:16Z</t>
  </si>
  <si>
    <t>2025-09-05T13:20:44Z</t>
  </si>
  <si>
    <t>https://github.com/cloudwarriors-ai/tesseract/issues/79</t>
  </si>
  <si>
    <t>Tie Variables to the Job Type</t>
  </si>
  <si>
    <t>2025-06-10T14:20:10Z</t>
  </si>
  <si>
    <t>2025-08-11T18:45:29Z</t>
  </si>
  <si>
    <t>https://github.com/cloudwarriors-ai/tesseract/issues/7</t>
  </si>
  <si>
    <t>Implement Authentication "module" and tie it to the platforms</t>
  </si>
  <si>
    <t>2025-06-10T14:17:08Z</t>
  </si>
  <si>
    <t>2025-08-11T18:46:03Z</t>
  </si>
  <si>
    <t>https://github.com/cloudwarriors-ai/tesseract/issues/6</t>
  </si>
  <si>
    <t>Reformat and Update the Readme with the current state of the application</t>
  </si>
  <si>
    <t>2025-06-10T14:12:57Z</t>
  </si>
  <si>
    <t>2025-08-11T18:45:48Z</t>
  </si>
  <si>
    <t>https://github.com/cloudwarriors-ai/tesseract/issues/5</t>
  </si>
  <si>
    <t>Login - Email Sensitivity Consideration (Pending)</t>
  </si>
  <si>
    <t>2025-09-11T15:07:20Z</t>
  </si>
  <si>
    <t>2025-11-26T14:23:28Z</t>
  </si>
  <si>
    <t>https://github.com/cloudwarriors-ai/QA_Selenium_Tester/issues/19</t>
  </si>
  <si>
    <t>Remove Main Page Buttons - Dashboard/New Test Run/Prompter</t>
  </si>
  <si>
    <t>2025-06-27T18:39:09Z</t>
  </si>
  <si>
    <t>2025-11-26T14:24:33Z</t>
  </si>
  <si>
    <t>PRIORITY: Medium, STATUS: In Progress</t>
  </si>
  <si>
    <t>https://github.com/cloudwarriors-ai/QA_Selenium_Tester/issues/17</t>
  </si>
  <si>
    <t>Add Admin Control Button</t>
  </si>
  <si>
    <t>2025-06-25T17:28:38Z</t>
  </si>
  <si>
    <t>2025-11-26T14:24:41Z</t>
  </si>
  <si>
    <t>PRIORITY: High, STATUS: In Progress</t>
  </si>
  <si>
    <t>https://github.com/cloudwarriors-ai/QA_Selenium_Tester/issues/14</t>
  </si>
  <si>
    <t>Provide CSV File Templates for Frontend NLT 26Jun25</t>
  </si>
  <si>
    <t>2025-06-25T17:09:11Z</t>
  </si>
  <si>
    <t>2025-11-26T14:24:50Z</t>
  </si>
  <si>
    <t>https://github.com/cloudwarriors-ai/QA_Selenium_Tester/issues/13</t>
  </si>
  <si>
    <t>Provide "Why Did it Fail?" In testing</t>
  </si>
  <si>
    <t>2025-06-25T03:21:42Z</t>
  </si>
  <si>
    <t>2025-11-26T14:25:00Z</t>
  </si>
  <si>
    <t>https://github.com/cloudwarriors-ai/QA_Selenium_Tester/issues/12</t>
  </si>
  <si>
    <t>Add Example Prompts to the Prompter</t>
  </si>
  <si>
    <t>2025-06-15T12:59:09Z</t>
  </si>
  <si>
    <t>2025-11-26T14:25:20Z</t>
  </si>
  <si>
    <t>https://github.com/cloudwarriors-ai/QA_Selenium_Tester/issues/11</t>
  </si>
  <si>
    <t>Prompter - Not Generating Accurate Sample Prompts for ADD &amp; UPDATE User</t>
  </si>
  <si>
    <t>2025-06-15T12:42:48Z</t>
  </si>
  <si>
    <t>2025-11-26T14:25:34Z</t>
  </si>
  <si>
    <t>https://github.com/cloudwarriors-ai/QA_Selenium_Tester/issues/10</t>
  </si>
  <si>
    <t>Add Sample CSV File for User</t>
  </si>
  <si>
    <t>2025-06-13T02:18:57Z</t>
  </si>
  <si>
    <t>2025-11-26T14:25:49Z</t>
  </si>
  <si>
    <t>https://github.com/cloudwarriors-ai/QA_Selenium_Tester/issues/8</t>
  </si>
  <si>
    <t>Add ZoomWarriors QA Test Capability to QA Selenium Tester</t>
  </si>
  <si>
    <t>2025-06-12T15:42:29Z</t>
  </si>
  <si>
    <t>2025-11-26T14:25:58Z</t>
  </si>
  <si>
    <t>Chaddacus, jvitato1</t>
  </si>
  <si>
    <t>https://github.com/cloudwarriors-ai/QA_Selenium_Tester/issues/7</t>
  </si>
  <si>
    <t>Update Application to Work with New Dev Page (https://dev.macd.pscx.ai/)</t>
  </si>
  <si>
    <t>2025-06-06T18:02:26Z</t>
  </si>
  <si>
    <t>2025-11-26T14:26:09Z</t>
  </si>
  <si>
    <t>https://github.com/cloudwarriors-ai/QA_Selenium_Tester/issues/4</t>
  </si>
  <si>
    <t>Fix Logout Button to be Operational</t>
  </si>
  <si>
    <t>2025-06-06T17:59:50Z</t>
  </si>
  <si>
    <t>2025-06-06T19:49:21Z</t>
  </si>
  <si>
    <t>https://github.com/cloudwarriors-ai/QA_Selenium_Tester/issues/3</t>
  </si>
  <si>
    <t>Page Tab Naming Update</t>
  </si>
  <si>
    <t>2025-10-21T18:01:34Z</t>
  </si>
  <si>
    <t>2025-11-18T04:18:10Z</t>
  </si>
  <si>
    <t>SKILL: Low, STATUS: Follow-Up Required, STATUS: In Progress, PRIORITY: Low</t>
  </si>
  <si>
    <t>https://github.com/cloudwarriors-ai/tesseract-frontend/issues/181</t>
  </si>
  <si>
    <t>Security Settings - Audit Log Not Operational</t>
  </si>
  <si>
    <t>2025-09-09T17:36:05Z</t>
  </si>
  <si>
    <t>2025-11-18T04:23:29Z</t>
  </si>
  <si>
    <t>SKILL: Medium, STATUS: Follow-Up Required, PRIORITY: Low</t>
  </si>
  <si>
    <t>https://github.com/cloudwarriors-ai/tesseract-frontend/issues/162</t>
  </si>
  <si>
    <t>[CAB] Feature Bundle Deployment - Email Display, Password Reset &amp; Records Filter Enhancements</t>
  </si>
  <si>
    <t>2025-08-29T22:01:18Z</t>
  </si>
  <si>
    <t>2025-09-09T17:16:01Z</t>
  </si>
  <si>
    <t>STATUS: Follow-Up Required</t>
  </si>
  <si>
    <t>voipin, Chaddacus, trentcharlton, rebecca-cichy</t>
  </si>
  <si>
    <t>https://github.com/cloudwarriors-ai/tesseract-frontend/issues/152</t>
  </si>
  <si>
    <t>Record Selection- User Email for User Selection</t>
  </si>
  <si>
    <t>2025-08-29T20:57:30Z</t>
  </si>
  <si>
    <t>2025-09-05T20:54:03Z</t>
  </si>
  <si>
    <t>PRIORITY: Medium, SKILL: Medium, STATUS: QA Passed - Awtg Release</t>
  </si>
  <si>
    <t>https://github.com/cloudwarriors-ai/tesseract-frontend/issues/146</t>
  </si>
  <si>
    <t>Add "Show Available Records"</t>
  </si>
  <si>
    <t>2025-08-26T19:42:52Z</t>
  </si>
  <si>
    <t>2025-09-05T20:05:59Z</t>
  </si>
  <si>
    <t>SKILL: Low, STATUS: Released to Prod, PRIORITY: Medium</t>
  </si>
  <si>
    <t>https://github.com/cloudwarriors-ai/tesseract-frontend/issues/132</t>
  </si>
  <si>
    <t>[CAB] UI/UX Bundle Deployment - Dashboard Improvements, Versioning System &amp; Layout Enhancements</t>
  </si>
  <si>
    <t>2025-08-22T20:13:15Z</t>
  </si>
  <si>
    <t>2025-09-03T21:30:21Z</t>
  </si>
  <si>
    <t>https://github.com/cloudwarriors-ai/tesseract-frontend/issues/130</t>
  </si>
  <si>
    <t>Record Selection- Show All Button Position</t>
  </si>
  <si>
    <t>2025-08-19T13:15:24Z</t>
  </si>
  <si>
    <t>2025-09-05T20:06:41Z</t>
  </si>
  <si>
    <t>SKILL: Low, STATUS: Released to Prod, PRIORITY: Low</t>
  </si>
  <si>
    <t>https://github.com/cloudwarriors-ai/tesseract-frontend/issues/123</t>
  </si>
  <si>
    <t>Profile - Cache Settings: Remove Visibility to Standard Users</t>
  </si>
  <si>
    <t>2025-08-15T15:16:14Z</t>
  </si>
  <si>
    <t>2025-09-05T20:32:44Z</t>
  </si>
  <si>
    <t>2025-09-05T20:32:43Z</t>
  </si>
  <si>
    <t>https://github.com/cloudwarriors-ai/tesseract-frontend/issues/122</t>
  </si>
  <si>
    <t>Profile - Platform Credentials: Remove/Hide Caching Options</t>
  </si>
  <si>
    <t>2025-08-15T15:13:11Z</t>
  </si>
  <si>
    <t>2025-09-05T20:26:18Z</t>
  </si>
  <si>
    <t>https://github.com/cloudwarriors-ai/tesseract-frontend/issues/121</t>
  </si>
  <si>
    <t>Profile - Security: Combine Overview, 2FA &amp; Password</t>
  </si>
  <si>
    <t>2025-08-15T15:06:56Z</t>
  </si>
  <si>
    <t>2025-09-03T18:45:08Z</t>
  </si>
  <si>
    <t>https://github.com/cloudwarriors-ai/tesseract-frontend/issues/120</t>
  </si>
  <si>
    <t>Profile - Security Settings: Remove Rate Limiting Section</t>
  </si>
  <si>
    <t>2025-08-15T15:04:04Z</t>
  </si>
  <si>
    <t>2025-09-05T20:24:11Z</t>
  </si>
  <si>
    <t>https://github.com/cloudwarriors-ai/tesseract-frontend/issues/119</t>
  </si>
  <si>
    <t>Profile: Combine Personal Information &amp; Account Information</t>
  </si>
  <si>
    <t>2025-08-15T14:45:40Z</t>
  </si>
  <si>
    <t>2025-09-05T20:21:58Z</t>
  </si>
  <si>
    <t>https://github.com/cloudwarriors-ai/tesseract-frontend/issues/118</t>
  </si>
  <si>
    <t>Profile - Account Information: Remove Account ID &amp; Account Status</t>
  </si>
  <si>
    <t>2025-08-15T14:43:12Z</t>
  </si>
  <si>
    <t>2025-09-05T20:18:36Z</t>
  </si>
  <si>
    <t>https://github.com/cloudwarriors-ai/tesseract-frontend/issues/117</t>
  </si>
  <si>
    <t>Profile - Personal Information: Remove the Organization / Change to Company Name</t>
  </si>
  <si>
    <t>2025-08-15T14:31:14Z</t>
  </si>
  <si>
    <t>2025-09-05T20:17:05Z</t>
  </si>
  <si>
    <t>STATUS: Released to Prod, SKILL: Medium, PRIORITY: Low</t>
  </si>
  <si>
    <t>https://github.com/cloudwarriors-ai/tesseract-frontend/issues/116</t>
  </si>
  <si>
    <t>Main Page - Remove 'Recent Job Groups' Display</t>
  </si>
  <si>
    <t>2025-08-15T14:08:20Z</t>
  </si>
  <si>
    <t>2025-09-05T20:09:52Z</t>
  </si>
  <si>
    <t>https://github.com/cloudwarriors-ai/tesseract-frontend/issues/115</t>
  </si>
  <si>
    <t>Deselect jobtype in record selection</t>
  </si>
  <si>
    <t>2025-08-06T20:05:47Z</t>
  </si>
  <si>
    <t>2025-09-05T20:07:58Z</t>
  </si>
  <si>
    <t>https://github.com/cloudwarriors-ai/tesseract-frontend/issues/106</t>
  </si>
  <si>
    <t>Sites Without Locations Autoselected</t>
  </si>
  <si>
    <t>2025-08-01T19:59:59Z</t>
  </si>
  <si>
    <t>2025-08-06T19:54:17Z</t>
  </si>
  <si>
    <t>2025-08-06T19:04:00Z</t>
  </si>
  <si>
    <t>SKILL: Low, STATUS: Dev Complete - Awtg QA, PRIORITY: Medium</t>
  </si>
  <si>
    <t>https://github.com/cloudwarriors-ai/tesseract-frontend/issues/101</t>
  </si>
  <si>
    <t>More Accurate Error Handling On Login</t>
  </si>
  <si>
    <t>2025-08-01T12:22:37Z</t>
  </si>
  <si>
    <t>2025-08-06T19:54:29Z</t>
  </si>
  <si>
    <t>2025-08-06T19:04:16Z</t>
  </si>
  <si>
    <t>SKILL: Low, STATUS: Dev Complete - Awtg QA, PRIORITY: Low</t>
  </si>
  <si>
    <t>https://github.com/cloudwarriors-ai/tesseract-frontend/issues/96</t>
  </si>
  <si>
    <t>Enable Two-Factor Authentication - Scan Code</t>
  </si>
  <si>
    <t>2025-08-01T11:58:05Z</t>
  </si>
  <si>
    <t>2025-08-06T19:54:39Z</t>
  </si>
  <si>
    <t>2025-08-06T19:32:32Z</t>
  </si>
  <si>
    <t>https://github.com/cloudwarriors-ai/tesseract-frontend/issues/94</t>
  </si>
  <si>
    <t>Selected Job Types Need Priority</t>
  </si>
  <si>
    <t>2025-07-30T13:29:35Z</t>
  </si>
  <si>
    <t>2025-08-06T19:54:53Z</t>
  </si>
  <si>
    <t>2025-08-06T19:32:01Z</t>
  </si>
  <si>
    <t>https://github.com/cloudwarriors-ai/tesseract-frontend/issues/90</t>
  </si>
  <si>
    <t>Security Settings - Change Password Functionality</t>
  </si>
  <si>
    <t>2025-07-30T12:08:44Z</t>
  </si>
  <si>
    <t>2025-11-18T04:32:24Z</t>
  </si>
  <si>
    <t>STATUS: Dev Complete - Awtg QA, PRIORITY: Medium, SKILL: Medium, STATUS: Follow-Up Required</t>
  </si>
  <si>
    <t>https://github.com/cloudwarriors-ai/tesseract-frontend/issues/89</t>
  </si>
  <si>
    <t>Security Settings - Logout All Devices</t>
  </si>
  <si>
    <t>2025-07-30T12:04:38Z</t>
  </si>
  <si>
    <t>2025-08-06T19:55:37Z</t>
  </si>
  <si>
    <t>2025-08-06T19:33:21Z</t>
  </si>
  <si>
    <t>https://github.com/cloudwarriors-ai/tesseract-frontend/issues/88</t>
  </si>
  <si>
    <t>Login Page - Reset Password - Functionality of Email Prompt</t>
  </si>
  <si>
    <t>2025-07-30T11:54:54Z</t>
  </si>
  <si>
    <t>2025-09-18T15:05:48Z</t>
  </si>
  <si>
    <t>2025-09-18T15:05:47Z</t>
  </si>
  <si>
    <t>PRIORITY: High, SKILL: Medium, STATUS: Follow-Up Required</t>
  </si>
  <si>
    <t>trentcharlton, jvitato1, Matt-Keuning</t>
  </si>
  <si>
    <t>https://github.com/cloudwarriors-ai/tesseract-frontend/issues/87</t>
  </si>
  <si>
    <t>Background Easter Egg Message Persistent</t>
  </si>
  <si>
    <t>2025-07-28T12:51:52Z</t>
  </si>
  <si>
    <t>2025-08-06T19:33:43Z</t>
  </si>
  <si>
    <t>SKILL: Low, PRIORITY: Low</t>
  </si>
  <si>
    <t>https://github.com/cloudwarriors-ai/tesseract-frontend/issues/85</t>
  </si>
  <si>
    <t>Selection Modal Throttling Issues</t>
  </si>
  <si>
    <t>2025-07-25T17:48:34Z</t>
  </si>
  <si>
    <t>2025-07-25T21:01:32Z</t>
  </si>
  <si>
    <t>PRIORITY: Medium, SKILL: Medium</t>
  </si>
  <si>
    <t>https://github.com/cloudwarriors-ai/tesseract-frontend/issues/82</t>
  </si>
  <si>
    <t>Edit User Info --Remove Edit Button</t>
  </si>
  <si>
    <t>2025-07-23T22:48:33Z</t>
  </si>
  <si>
    <t>2025-07-24T23:40:26Z</t>
  </si>
  <si>
    <t>https://github.com/cloudwarriors-ai/tesseract-frontend/issues/72</t>
  </si>
  <si>
    <t>Check the Refresh Token and Make Sure It Sends</t>
  </si>
  <si>
    <t>2025-07-23T22:46:18Z</t>
  </si>
  <si>
    <t>2025-07-25T00:43:14Z</t>
  </si>
  <si>
    <t>https://github.com/cloudwarriors-ai/tesseract-frontend/issues/71</t>
  </si>
  <si>
    <t>Clean up Unecessary Console.logs</t>
  </si>
  <si>
    <t>2025-07-23T22:41:53Z</t>
  </si>
  <si>
    <t>2025-07-24T23:39:37Z</t>
  </si>
  <si>
    <t>https://github.com/cloudwarriors-ai/tesseract-frontend/issues/70</t>
  </si>
  <si>
    <t>Sanitize Names for Mobile.</t>
  </si>
  <si>
    <t>2025-07-23T22:38:21Z</t>
  </si>
  <si>
    <t>2025-07-24T23:40:11Z</t>
  </si>
  <si>
    <t>https://github.com/cloudwarriors-ai/tesseract-frontend/issues/69</t>
  </si>
  <si>
    <t>Status Bar Mobile Layout</t>
  </si>
  <si>
    <t>2025-07-23T18:08:44Z</t>
  </si>
  <si>
    <t>2025-07-23T22:16:36Z</t>
  </si>
  <si>
    <t>https://github.com/cloudwarriors-ai/tesseract-frontend/issues/63</t>
  </si>
  <si>
    <t>Update login error info to be more descriptive.</t>
  </si>
  <si>
    <t>2025-07-23T18:00:50Z</t>
  </si>
  <si>
    <t>2025-07-23T22:17:43Z</t>
  </si>
  <si>
    <t>https://github.com/cloudwarriors-ai/tesseract-frontend/issues/62</t>
  </si>
  <si>
    <t>Job Group in status bar falling out of container</t>
  </si>
  <si>
    <t>2025-07-22T18:52:30Z</t>
  </si>
  <si>
    <t>2025-07-24T18:46:19Z</t>
  </si>
  <si>
    <t>https://github.com/cloudwarriors-ai/tesseract-frontend/issues/55</t>
  </si>
  <si>
    <t>Platform Credentials Modal - Add check for api key "auth_client_secret"</t>
  </si>
  <si>
    <t>2025-07-22T16:29:08Z</t>
  </si>
  <si>
    <t>2025-07-24T18:46:45Z</t>
  </si>
  <si>
    <t>2025-07-23T17:50:31Z</t>
  </si>
  <si>
    <t>SKILL: Low, STATUS: Dev Complete - Awtg QA</t>
  </si>
  <si>
    <t>https://github.com/cloudwarriors-ai/tesseract-frontend/issues/54</t>
  </si>
  <si>
    <t>Update Preload Store - Only make API Calls Necessary for Autopilot mode</t>
  </si>
  <si>
    <t>2025-07-22T14:59:26Z</t>
  </si>
  <si>
    <t>2025-07-23T22:15:46Z</t>
  </si>
  <si>
    <t>SKILL: Medium, STATUS: Follow-Up Required, STATUS: In Progress</t>
  </si>
  <si>
    <t>https://github.com/cloudwarriors-ai/tesseract-frontend/issues/52</t>
  </si>
  <si>
    <t>User Creation - Remove Group Input box</t>
  </si>
  <si>
    <t>2025-07-22T14:50:31Z</t>
  </si>
  <si>
    <t>2025-07-23T18:12:05Z</t>
  </si>
  <si>
    <t>SKILL: Low, STATUS: In Progress</t>
  </si>
  <si>
    <t>https://github.com/cloudwarriors-ai/tesseract-frontend/issues/51</t>
  </si>
  <si>
    <t>Enable 2FA Modal - Modify</t>
  </si>
  <si>
    <t>2025-07-18T20:14:34Z</t>
  </si>
  <si>
    <t>2025-07-22T15:44:24Z</t>
  </si>
  <si>
    <t>2025-07-22T13:34:34Z</t>
  </si>
  <si>
    <t>STATUS: Dev Complete - Awtg QA, PRIORITY: Low</t>
  </si>
  <si>
    <t>https://github.com/cloudwarriors-ai/tesseract-frontend/issues/36</t>
  </si>
  <si>
    <t>Error - Password Requirements</t>
  </si>
  <si>
    <t>2025-07-18T19:57:35Z</t>
  </si>
  <si>
    <t>2025-07-22T13:33:07Z</t>
  </si>
  <si>
    <t>PRIORITY: Medium</t>
  </si>
  <si>
    <t>https://github.com/cloudwarriors-ai/tesseract-frontend/issues/34</t>
  </si>
  <si>
    <t>Execution Summary - Increase Display panel</t>
  </si>
  <si>
    <t>2025-07-18T19:38:41Z</t>
  </si>
  <si>
    <t>2025-07-23T13:12:22Z</t>
  </si>
  <si>
    <t>2025-07-22T13:36:49Z</t>
  </si>
  <si>
    <t>https://github.com/cloudwarriors-ai/tesseract-frontend/issues/33</t>
  </si>
  <si>
    <t>Add Spaces Between Words (Business Address, Site Access)</t>
  </si>
  <si>
    <t>2025-07-18T19:14:44Z</t>
  </si>
  <si>
    <t>2025-07-23T13:14:29Z</t>
  </si>
  <si>
    <t>2025-07-22T13:34:23Z</t>
  </si>
  <si>
    <t>https://github.com/cloudwarriors-ai/tesseract-frontend/issues/32</t>
  </si>
  <si>
    <t>Profile - Account Info - Organization Details (Remove)</t>
  </si>
  <si>
    <t>2025-07-18T19:13:29Z</t>
  </si>
  <si>
    <t>2025-07-23T13:15:08Z</t>
  </si>
  <si>
    <t>2025-07-22T13:34:09Z</t>
  </si>
  <si>
    <t>https://github.com/cloudwarriors-ai/tesseract-frontend/issues/31</t>
  </si>
  <si>
    <t>Create 'How To Operating Guide' or Training Support</t>
  </si>
  <si>
    <t>2025-07-18T19:05:47Z</t>
  </si>
  <si>
    <t>2025-09-03T21:24:27Z</t>
  </si>
  <si>
    <t>STATUS: Needs Customer Feedback, SKILL: Medium, PRIORITY: Low</t>
  </si>
  <si>
    <t>https://github.com/cloudwarriors-ai/tesseract-frontend/issues/30</t>
  </si>
  <si>
    <t>Back Button When Running a Job Needs to be Changed to Cancel</t>
  </si>
  <si>
    <t>2025-07-18T19:04:36Z</t>
  </si>
  <si>
    <t>2025-07-23T13:16:18Z</t>
  </si>
  <si>
    <t>2025-07-22T13:34:47Z</t>
  </si>
  <si>
    <t>STATUS: Dev Complete - Awtg QA, SKILL: Medium, PRIORITY: Low</t>
  </si>
  <si>
    <t>https://github.com/cloudwarriors-ai/tesseract-frontend/issues/29</t>
  </si>
  <si>
    <t>Allow User to "See" Password Change</t>
  </si>
  <si>
    <t>2025-07-18T19:01:42Z</t>
  </si>
  <si>
    <t>2025-09-19T03:29:16Z</t>
  </si>
  <si>
    <t>https://github.com/cloudwarriors-ai/tesseract-frontend/issues/28</t>
  </si>
  <si>
    <t>Add Customer Support Button &amp; Functionality</t>
  </si>
  <si>
    <t>2025-07-18T19:01:00Z</t>
  </si>
  <si>
    <t>2025-09-24T14:13:06Z</t>
  </si>
  <si>
    <t>https://github.com/cloudwarriors-ai/tesseract-frontend/issues/27</t>
  </si>
  <si>
    <t>Profile Settings / Security Settings / Platform Credentials - Color Enhancements</t>
  </si>
  <si>
    <t>2025-07-18T18:58:53Z</t>
  </si>
  <si>
    <t>2025-09-03T21:27:17Z</t>
  </si>
  <si>
    <t>SKILL: Low, STATUS: Needs Customer Feedback, PRIORITY: Low</t>
  </si>
  <si>
    <t>https://github.com/cloudwarriors-ai/tesseract-frontend/issues/26</t>
  </si>
  <si>
    <t>Security Settings Saying "Setup" Even After 2FA Enabled</t>
  </si>
  <si>
    <t>2025-07-18T18:55:30Z</t>
  </si>
  <si>
    <t>2025-07-23T13:17:35Z</t>
  </si>
  <si>
    <t>2025-07-22T13:33:46Z</t>
  </si>
  <si>
    <t>https://github.com/cloudwarriors-ai/tesseract-frontend/issues/25</t>
  </si>
  <si>
    <t>Changing - Authentication App Modal Wording</t>
  </si>
  <si>
    <t>2025-07-18T18:54:55Z</t>
  </si>
  <si>
    <t>2025-07-23T13:17:56Z</t>
  </si>
  <si>
    <t>2025-07-22T13:33:29Z</t>
  </si>
  <si>
    <t>https://github.com/cloudwarriors-ai/tesseract-frontend/issues/24</t>
  </si>
  <si>
    <t>Status Bar Taking Up Too Much Space on Screen</t>
  </si>
  <si>
    <t>2025-07-18T18:52:54Z</t>
  </si>
  <si>
    <t>SKILL: Low, STATUS: In Progress, PRIORITY: Low</t>
  </si>
  <si>
    <t>https://github.com/cloudwarriors-ai/tesseract-frontend/issues/23</t>
  </si>
  <si>
    <t>Profile - Security Settings - Change Password</t>
  </si>
  <si>
    <t>2025-07-18T18:51:07Z</t>
  </si>
  <si>
    <t>2025-07-22T13:33:08Z</t>
  </si>
  <si>
    <t>https://github.com/cloudwarriors-ai/tesseract-frontend/issues/22</t>
  </si>
  <si>
    <t>Login Page - Remove Password Placeholders</t>
  </si>
  <si>
    <t>2025-07-18T18:45:24Z</t>
  </si>
  <si>
    <t>2025-07-23T13:18:31Z</t>
  </si>
  <si>
    <t>https://github.com/cloudwarriors-ai/tesseract-frontend/issues/21</t>
  </si>
  <si>
    <t>Button Style Consistency</t>
  </si>
  <si>
    <t>2025-07-18T18:45:18Z</t>
  </si>
  <si>
    <t>2025-07-23T18:13:19Z</t>
  </si>
  <si>
    <t>https://github.com/cloudwarriors-ai/tesseract-frontend/issues/20</t>
  </si>
  <si>
    <t>Don't Show Again Not Working 2FA</t>
  </si>
  <si>
    <t>2025-07-18T13:18:36Z</t>
  </si>
  <si>
    <t>2025-09-19T03:29:15Z</t>
  </si>
  <si>
    <t>SKILL: Low, STATUS: Follow-Up Required, PRIORITY: Low</t>
  </si>
  <si>
    <t>https://github.com/cloudwarriors-ai/tesseract-frontend/issues/17</t>
  </si>
  <si>
    <t>Remove Light Mode Selection and Keep Darkmode as Default Mode.</t>
  </si>
  <si>
    <t>2025-07-17T17:12:21Z</t>
  </si>
  <si>
    <t>2025-07-22T13:39:24Z</t>
  </si>
  <si>
    <t>https://github.com/cloudwarriors-ai/tesseract-frontend/issues/13</t>
  </si>
  <si>
    <t>Progress Bar Mobile Clean up</t>
  </si>
  <si>
    <t>2025-07-17T17:09:26Z</t>
  </si>
  <si>
    <t>2025-09-15T18:27:30Z</t>
  </si>
  <si>
    <t>2025-07-22T13:37:01Z</t>
  </si>
  <si>
    <t>https://github.com/cloudwarriors-ai/tesseract-frontend/issues/12</t>
  </si>
  <si>
    <t>Login Platform Credentials Select</t>
  </si>
  <si>
    <t>2025-07-17T17:05:32Z</t>
  </si>
  <si>
    <t>2025-09-03T21:17:51Z</t>
  </si>
  <si>
    <t>https://github.com/cloudwarriors-ai/tesseract-frontend/issues/11</t>
  </si>
  <si>
    <t>Platforms API Key Integration for Credentials</t>
  </si>
  <si>
    <t>2025-07-17T17:02:46Z</t>
  </si>
  <si>
    <t>PRIORITY: High, SKILL: High</t>
  </si>
  <si>
    <t>https://github.com/cloudwarriors-ai/tesseract-frontend/issues/10</t>
  </si>
  <si>
    <t>Add Place Holders for these Platforms</t>
  </si>
  <si>
    <t>2025-07-17T13:51:37Z</t>
  </si>
  <si>
    <t>https://github.com/cloudwarriors-ai/tesseract-frontend/issues/9</t>
  </si>
  <si>
    <t>Recent Job Group Endpoint</t>
  </si>
  <si>
    <t>2025-07-16T18:32:21Z</t>
  </si>
  <si>
    <t>2025-09-03T21:26:40Z</t>
  </si>
  <si>
    <t>https://github.com/cloudwarriors-ai/tesseract-frontend/issues/7</t>
  </si>
  <si>
    <t>Record selection Step Dependency Management</t>
  </si>
  <si>
    <t>2025-07-16T14:42:19Z</t>
  </si>
  <si>
    <t>2025-07-22T13:33:05Z</t>
  </si>
  <si>
    <t>SKILL: High</t>
  </si>
  <si>
    <t>https://github.com/cloudwarriors-ai/tesseract-frontend/issues/6</t>
  </si>
  <si>
    <t>Platform Selection Step Optomization for Mobile</t>
  </si>
  <si>
    <t>2025-07-16T14:22:07Z</t>
  </si>
  <si>
    <t>2025-07-22T13:49:35Z</t>
  </si>
  <si>
    <t>https://github.com/cloudwarriors-ai/tesseract-frontend/issues/5</t>
  </si>
  <si>
    <t>Create check for Credentials at Login</t>
  </si>
  <si>
    <t>2025-07-16T13:37:32Z</t>
  </si>
  <si>
    <t>2025-10-20T13:44:13Z</t>
  </si>
  <si>
    <t>STATUS: Needs Customer Feedback, PRIORITY: Medium, SKILL: Medium</t>
  </si>
  <si>
    <t>https://github.com/cloudwarriors-ai/tesseract-frontend/issues/4</t>
  </si>
  <si>
    <t>Create Testing Suite for AutoPilot</t>
  </si>
  <si>
    <t>2025-07-16T13:17:34Z</t>
  </si>
  <si>
    <t>2025-10-20T13:43:14Z</t>
  </si>
  <si>
    <t>https://github.com/cloudwarriors-ai/tesseract-frontend/issues/3</t>
  </si>
  <si>
    <t>Upon Export Completion - Add a Button to Return to Dashboard / Repo List</t>
  </si>
  <si>
    <t>2025-11-26T12:16:10Z</t>
  </si>
  <si>
    <t>2025-12-16T19:09:18Z</t>
  </si>
  <si>
    <t>jvitato1, campbellayers</t>
  </si>
  <si>
    <t>https://github.com/cloudwarriors-ai/github_issues_tracker/issues/3</t>
  </si>
  <si>
    <t>Reorganize Columns on Export Files</t>
  </si>
  <si>
    <t>2025-11-26T12:13:15Z</t>
  </si>
  <si>
    <t>2025-12-16T19:09:35Z</t>
  </si>
  <si>
    <t>https://github.com/cloudwarriors-ai/github_issues_tracker/issues/2</t>
  </si>
  <si>
    <t>Export All Issues Button - Not Functioning</t>
  </si>
  <si>
    <t>2025-11-20T03:42:29Z</t>
  </si>
  <si>
    <t>2025-11-26T12:09:03Z</t>
  </si>
  <si>
    <t>https://github.com/cloudwarriors-ai/github_issues_tracker/issues/1</t>
  </si>
  <si>
    <t>Channels - Auto Populate 1</t>
  </si>
  <si>
    <t>2025-12-16T19:16:17Z</t>
  </si>
  <si>
    <t>SKILL: Medium, PRIORITY: Low, STATUS: In Progress</t>
  </si>
  <si>
    <t>https://github.com/cloudwarriors-ai/PSO-Quoting-Tool/issues/35</t>
  </si>
  <si>
    <t>Run ZP&amp;ZCC#1 Large Scenario to Confirm Accuracy</t>
  </si>
  <si>
    <t>2025-09-16T10:54:57Z</t>
  </si>
  <si>
    <t>2025-11-26T12:39:27Z</t>
  </si>
  <si>
    <t>STATUS: Dev Complete - Awtg QA, PRIORITY: Medium, SKILL: Low</t>
  </si>
  <si>
    <t>https://github.com/cloudwarriors-ai/PSO-Quoting-Tool/issues/19</t>
  </si>
  <si>
    <t>Run ZP&amp;ZCC#1 Small Scenario to Confirm Accuracy</t>
  </si>
  <si>
    <t>2025-09-16T10:54:18Z</t>
  </si>
  <si>
    <t>2025-11-26T12:39:17Z</t>
  </si>
  <si>
    <t>https://github.com/cloudwarriors-ai/PSO-Quoting-Tool/issues/18</t>
  </si>
  <si>
    <t>Confirm Naming Conventions in PSO Calculator</t>
  </si>
  <si>
    <t>2025-08-29T20:26:03Z</t>
  </si>
  <si>
    <t>2025-11-26T12:39:05Z</t>
  </si>
  <si>
    <t>STATUS: Dev Complete - Awtg QA, PRIORITY: Low, SKILL: Low</t>
  </si>
  <si>
    <t>https://github.com/cloudwarriors-ai/PSO-Quoting-Tool/issues/17</t>
  </si>
  <si>
    <t>Connect with PSO to Determine Scoping Integration</t>
  </si>
  <si>
    <t>2025-08-29T20:23:57Z</t>
  </si>
  <si>
    <t>2025-11-20T22:02:37Z</t>
  </si>
  <si>
    <t>STATUS: Follow-Up Required, PRIORITY: Low, SKILL: Low</t>
  </si>
  <si>
    <t>https://github.com/cloudwarriors-ai/PSO-Quoting-Tool/issues/16</t>
  </si>
  <si>
    <t>Database Integration with ZW 2.0</t>
  </si>
  <si>
    <t>2025-08-29T20:23:10Z</t>
  </si>
  <si>
    <t>2025-09-16T11:05:47Z</t>
  </si>
  <si>
    <t>https://github.com/cloudwarriors-ai/PSO-Quoting-Tool/issues/15</t>
  </si>
  <si>
    <t>SOW Update Most Current Version Generated 25Aug</t>
  </si>
  <si>
    <t>2025-08-29T20:21:02Z</t>
  </si>
  <si>
    <t>2025-11-26T12:38:47Z</t>
  </si>
  <si>
    <t>https://github.com/cloudwarriors-ai/PSO-Quoting-Tool/issues/14</t>
  </si>
  <si>
    <t>Switch API from V1 Pricing to V2</t>
  </si>
  <si>
    <t>2025-08-18T03:05:39Z</t>
  </si>
  <si>
    <t>2025-09-16T11:06:41Z</t>
  </si>
  <si>
    <t>PRIORITY: High, STATUS: Dev Complete - Awtg QA, SKILL: Medium</t>
  </si>
  <si>
    <t>https://github.com/cloudwarriors-ai/PSO-Quoting-Tool/issues/12</t>
  </si>
  <si>
    <t>Remove Bulk Phone Reprovisioning item from Calculator</t>
  </si>
  <si>
    <t>2025-08-11T20:59:34Z</t>
  </si>
  <si>
    <t>2025-09-16T11:17:23Z</t>
  </si>
  <si>
    <t>https://github.com/cloudwarriors-ai/PSO-Quoting-Tool/issues/11</t>
  </si>
  <si>
    <t>Add caveat for Speed Dial</t>
  </si>
  <si>
    <t>2025-08-11T20:58:23Z</t>
  </si>
  <si>
    <t>2025-09-16T11:08:50Z</t>
  </si>
  <si>
    <t>https://github.com/cloudwarriors-ai/PSO-Quoting-Tool/issues/10</t>
  </si>
  <si>
    <t>Review Delegations Pricing Point</t>
  </si>
  <si>
    <t>2025-08-11T20:55:01Z</t>
  </si>
  <si>
    <t>2025-11-26T12:38:29Z</t>
  </si>
  <si>
    <t>https://github.com/cloudwarriors-ai/PSO-Quoting-Tool/issues/9</t>
  </si>
  <si>
    <t>PSO Calculator - Foreign Port Request Cost Incorrect</t>
  </si>
  <si>
    <t>2025-08-11T19:54:50Z</t>
  </si>
  <si>
    <t>2025-09-16T11:14:42Z</t>
  </si>
  <si>
    <t>https://github.com/cloudwarriors-ai/PSO-Quoting-Tool/issues/8</t>
  </si>
  <si>
    <t>Pricing Calculator - Power Pack Pricing</t>
  </si>
  <si>
    <t>2025-08-11T19:52:19Z</t>
  </si>
  <si>
    <t>2025-09-16T11:13:34Z</t>
  </si>
  <si>
    <t>https://github.com/cloudwarriors-ai/PSO-Quoting-Tool/issues/7</t>
  </si>
  <si>
    <t>Messed Up Features and Pricing in Calculator</t>
  </si>
  <si>
    <t>2025-08-11T19:33:26Z</t>
  </si>
  <si>
    <t>2025-09-16T11:12:13Z</t>
  </si>
  <si>
    <t>https://github.com/cloudwarriors-ai/PSO-Quoting-Tool/issues/6</t>
  </si>
  <si>
    <t>Add a Search Feature in Quote History</t>
  </si>
  <si>
    <t>2025-08-05T22:54:17Z</t>
  </si>
  <si>
    <t>2025-11-20T22:04:10Z</t>
  </si>
  <si>
    <t>https://github.com/cloudwarriors-ai/PSO-Quoting-Tool/issues/5</t>
  </si>
  <si>
    <t>Generated Quotes Not Saving</t>
  </si>
  <si>
    <t>2025-08-05T22:52:23Z</t>
  </si>
  <si>
    <t>2025-11-20T22:04:29Z</t>
  </si>
  <si>
    <t>Chaddacus, campbellayers</t>
  </si>
  <si>
    <t>https://github.com/cloudwarriors-ai/PSO-Quoting-Tool/issues/4</t>
  </si>
  <si>
    <t>SOW Editor Changes not Saving or Updating SOW/ Quote Breakdown</t>
  </si>
  <si>
    <t>2025-08-05T22:50:15Z</t>
  </si>
  <si>
    <t>2025-11-20T22:04:43Z</t>
  </si>
  <si>
    <t>https://github.com/cloudwarriors-ai/PSO-Quoting-Tool/issues/3</t>
  </si>
  <si>
    <t>Live Pricing Update not in SOW Editor</t>
  </si>
  <si>
    <t>2025-08-05T22:46:30Z</t>
  </si>
  <si>
    <t>2025-11-20T22:04:53Z</t>
  </si>
  <si>
    <t>https://github.com/cloudwarriors-ai/PSO-Quoting-Tool/issues/2</t>
  </si>
  <si>
    <t>SOW Editor Missing ZP, ZCC, and WPO Line Items</t>
  </si>
  <si>
    <t>2025-08-05T22:37:32Z</t>
  </si>
  <si>
    <t>2025-11-20T22:05:06Z</t>
  </si>
  <si>
    <t>https://github.com/cloudwarriors-ai/PSO-Quoting-Tool/issues/1</t>
  </si>
  <si>
    <t>Zoom Phone - Add ability to backspace 0</t>
  </si>
  <si>
    <t>2025-12-09T19:36:23Z</t>
  </si>
  <si>
    <t>STATUS: In Progress, PRIORITY: Low, SKILL: Low</t>
  </si>
  <si>
    <t>Matt-Keuning, DsuarezCW</t>
  </si>
  <si>
    <t>https://github.com/cloudwarriors-ai/zoomwarriors_2/issues/215</t>
  </si>
  <si>
    <t>CAB Request: UI Consistency Improvements and Project Pulse Integration</t>
  </si>
  <si>
    <t>2025-12-01T14:56:41Z</t>
  </si>
  <si>
    <t>2025-12-09T15:40:27Z</t>
  </si>
  <si>
    <t>rebecca-cichy, Matt-Keuning, DsuarezCW</t>
  </si>
  <si>
    <t>https://github.com/cloudwarriors-ai/zoomwarriors_2/issues/202</t>
  </si>
  <si>
    <t>Additions Page - SSO Enabled - SSO Type: Auto-Select 'Basic'</t>
  </si>
  <si>
    <t>2025-11-25T18:57:46Z</t>
  </si>
  <si>
    <t>https://github.com/cloudwarriors-ai/zoomwarriors_2/issues/200</t>
  </si>
  <si>
    <t>ZW Dashboard - Add ability to increase number of orders to display</t>
  </si>
  <si>
    <t>2025-11-25T18:51:05Z</t>
  </si>
  <si>
    <t>2025-11-25T19:01:55Z</t>
  </si>
  <si>
    <t>https://github.com/cloudwarriors-ai/zoomwarriors_2/issues/199</t>
  </si>
  <si>
    <t>Zoom Phone - License Configuration: Validation Requirement</t>
  </si>
  <si>
    <t>2025-11-19T19:09:41Z</t>
  </si>
  <si>
    <t>2025-12-08T04:04:53Z</t>
  </si>
  <si>
    <t>SKILL: Medium, PRIORITY: Low, STATUS: Released to Prod</t>
  </si>
  <si>
    <t>https://github.com/cloudwarriors-ai/zoomwarriors_2/issues/194</t>
  </si>
  <si>
    <t>Implement Backend Capabilities To Frontend Studio</t>
  </si>
  <si>
    <t>2025-11-18T20:04:29Z</t>
  </si>
  <si>
    <t>2025-11-19T18:53:31Z</t>
  </si>
  <si>
    <t>PRIORITY: Medium, STATUS: In Progress, SKILL: High</t>
  </si>
  <si>
    <t>https://github.com/cloudwarriors-ai/zoomwarriors_2/issues/193</t>
  </si>
  <si>
    <t>Add Webhook: ZW -&gt; Project Pulse</t>
  </si>
  <si>
    <t>2025-11-18T19:57:27Z</t>
  </si>
  <si>
    <t>2025-12-09T15:39:56Z</t>
  </si>
  <si>
    <t>https://github.com/cloudwarriors-ai/zoomwarriors_2/issues/192</t>
  </si>
  <si>
    <t>CAB Request: Combined Release - Session Management, Authentication, SOW Fixes &amp; Country Input</t>
  </si>
  <si>
    <t>2025-11-17T15:11:50Z</t>
  </si>
  <si>
    <t>2025-11-25T18:09:26Z</t>
  </si>
  <si>
    <t>https://github.com/cloudwarriors-ai/zoomwarriors_2/issues/187</t>
  </si>
  <si>
    <t>Create Ability to Clone a Quote</t>
  </si>
  <si>
    <t>2025-11-14T16:32:28Z</t>
  </si>
  <si>
    <t>2025-12-08T04:07:42Z</t>
  </si>
  <si>
    <t>https://github.com/cloudwarriors-ai/zoomwarriors_2/issues/183</t>
  </si>
  <si>
    <t>CAB Request: Combined Release - Validation, Site Migration, Performance &amp; Security Fixes</t>
  </si>
  <si>
    <t>2025-11-10T13:23:52Z</t>
  </si>
  <si>
    <t>2025-11-14T12:21:47Z</t>
  </si>
  <si>
    <t>https://github.com/cloudwarriors-ai/zoomwarriors_2/issues/176</t>
  </si>
  <si>
    <t>SOW Insecure</t>
  </si>
  <si>
    <t>2025-11-06T18:18:32Z</t>
  </si>
  <si>
    <t>2025-11-17T17:15:10Z</t>
  </si>
  <si>
    <t>PRIORITY: Medium, STATUS: In QA, STATUS: Released to Prod, SKILL: Low</t>
  </si>
  <si>
    <t>https://github.com/cloudwarriors-ai/zoomwarriors_2/issues/173</t>
  </si>
  <si>
    <t>Change Development to use Gunicorn</t>
  </si>
  <si>
    <t>2025-11-06T17:59:20Z</t>
  </si>
  <si>
    <t>2025-11-10T16:20:04Z</t>
  </si>
  <si>
    <t>PRIORITY: Medium, STATUS: Dev Complete - Awtg QA, SKILL: Low</t>
  </si>
  <si>
    <t>https://github.com/cloudwarriors-ai/zoomwarriors_2/issues/171</t>
  </si>
  <si>
    <t>Excessive Customer Info Endpoint Calls</t>
  </si>
  <si>
    <t>2025-11-06T17:54:23Z</t>
  </si>
  <si>
    <t>2025-11-14T17:58:52Z</t>
  </si>
  <si>
    <t>PRIORITY: Medium, STATUS: In QA, SKILL: Medium, STATUS: Released to Prod</t>
  </si>
  <si>
    <t>https://github.com/cloudwarriors-ai/zoomwarriors_2/issues/170</t>
  </si>
  <si>
    <t>CAB Request: Two-Layered Validation for Order Forms (PR #166)</t>
  </si>
  <si>
    <t>2025-11-03T14:40:41Z</t>
  </si>
  <si>
    <t>2025-11-13T14:59:05Z</t>
  </si>
  <si>
    <t>https://github.com/cloudwarriors-ai/zoomwarriors_2/issues/167</t>
  </si>
  <si>
    <t>Add Django Number Validation</t>
  </si>
  <si>
    <t>2025-10-30T17:54:05Z</t>
  </si>
  <si>
    <t>2025-11-17T17:15:26Z</t>
  </si>
  <si>
    <t>PRIORITY: High, STATUS: In QA, SKILL: Medium, STATUS: Released to Prod</t>
  </si>
  <si>
    <t>https://github.com/cloudwarriors-ai/zoomwarriors_2/issues/161</t>
  </si>
  <si>
    <t>Zoom Phone - Location &amp; Feature Configuration: Important Notes</t>
  </si>
  <si>
    <t>2025-10-24T02:35:59Z</t>
  </si>
  <si>
    <t>2025-11-17T17:15:44Z</t>
  </si>
  <si>
    <t>PRIORITY: High, STATUS: In QA, STATUS: Released to Prod, SKILL: Low</t>
  </si>
  <si>
    <t>https://github.com/cloudwarriors-ai/zoomwarriors_2/issues/157</t>
  </si>
  <si>
    <t>Price Changes - Change Site Pricing to $100 (regardless of size)</t>
  </si>
  <si>
    <t>2025-10-24T01:57:11Z</t>
  </si>
  <si>
    <t>2025-11-14T17:57:24Z</t>
  </si>
  <si>
    <t>https://github.com/cloudwarriors-ai/zoomwarriors_2/issues/156</t>
  </si>
  <si>
    <t>SOW Update - Change ZP Reference from ARs Call Queues -&gt; Total # of AR’s &amp; Call Queues</t>
  </si>
  <si>
    <t>2025-10-24T01:44:45Z</t>
  </si>
  <si>
    <t>2025-11-17T17:16:18Z</t>
  </si>
  <si>
    <t>https://github.com/cloudwarriors-ai/zoomwarriors_2/issues/155</t>
  </si>
  <si>
    <t>[CAB] Contact Center &amp; QM Pricing – Digital Channel Validation + Base Scorecard Fix</t>
  </si>
  <si>
    <t>2025-10-23T23:02:33Z</t>
  </si>
  <si>
    <t>2025-12-09T19:57:39Z</t>
  </si>
  <si>
    <t>2025-11-03T18:23:04Z</t>
  </si>
  <si>
    <t>voipin, rebecca-cichy, Matt-Keuning</t>
  </si>
  <si>
    <t>https://github.com/cloudwarriors-ai/zoomwarriors_2/issues/154</t>
  </si>
  <si>
    <t>Zoom Phone - Features Configuration: Add Total CQ &amp; ARs and Additional</t>
  </si>
  <si>
    <t>2025-10-02T18:47:34Z</t>
  </si>
  <si>
    <t>2025-10-24T02:42:20Z</t>
  </si>
  <si>
    <t>https://github.com/cloudwarriors-ai/zoomwarriors_2/issues/149</t>
  </si>
  <si>
    <t>SOW Update - Formatting of CTI Integration</t>
  </si>
  <si>
    <t>2025-09-26T12:47:31Z</t>
  </si>
  <si>
    <t>2025-11-26T12:45:17Z</t>
  </si>
  <si>
    <t>https://github.com/cloudwarriors-ai/zoomwarriors_2/issues/148</t>
  </si>
  <si>
    <t>Pricing Logic - Included Scorecard Instances</t>
  </si>
  <si>
    <t>2025-09-23T23:09:13Z</t>
  </si>
  <si>
    <t>2025-11-03T18:21:51Z</t>
  </si>
  <si>
    <t>2025-11-03T18:21:22Z</t>
  </si>
  <si>
    <t>PRIORITY: High, STATUS: Released to Prod, SKILL: Low</t>
  </si>
  <si>
    <t>https://github.com/cloudwarriors-ai/zoomwarriors_2/issues/143</t>
  </si>
  <si>
    <t>[CAB] ZoomWarriors2 – Fix Customer Support, Pricing Calculation, E911 Logic &amp; SOW CTI Issue</t>
  </si>
  <si>
    <t>2025-09-22T20:28:23Z</t>
  </si>
  <si>
    <t>2025-12-09T19:57:34Z</t>
  </si>
  <si>
    <t>2025-09-26T13:35:38Z</t>
  </si>
  <si>
    <t>PRIORITY: High, STATUS: Released to Prod</t>
  </si>
  <si>
    <t>https://github.com/cloudwarriors-ai/zoomwarriors_2/issues/138</t>
  </si>
  <si>
    <t>Login Page - Case Sensitivity</t>
  </si>
  <si>
    <t>2025-09-19T16:48:19Z</t>
  </si>
  <si>
    <t>2025-11-25T17:17:53Z</t>
  </si>
  <si>
    <t>https://github.com/cloudwarriors-ai/zoomwarriors_2/issues/137</t>
  </si>
  <si>
    <t>ZCC - Digital Channels: Validation Required</t>
  </si>
  <si>
    <t>2025-09-10T18:17:42Z</t>
  </si>
  <si>
    <t>2025-11-03T18:15:59Z</t>
  </si>
  <si>
    <t>https://github.com/cloudwarriors-ai/zoomwarriors_2/issues/133</t>
  </si>
  <si>
    <t>[BUG] Django Admin - Search Feature Unavailable for Orders</t>
  </si>
  <si>
    <t>2025-09-10T00:41:04Z</t>
  </si>
  <si>
    <t>2025-11-25T17:33:34Z</t>
  </si>
  <si>
    <t>2025-11-25T17:33:33Z</t>
  </si>
  <si>
    <t>STATUS: In QA, PRIORITY: Low, STATUS: Released to Prod, SKILL: Low</t>
  </si>
  <si>
    <t>https://github.com/cloudwarriors-ai/zoomwarriors_2/issues/132</t>
  </si>
  <si>
    <t>Dashboard - Time Zone Correction: Time Display</t>
  </si>
  <si>
    <t>2025-09-09T19:29:12Z</t>
  </si>
  <si>
    <t>2025-11-25T18:09:58Z</t>
  </si>
  <si>
    <t>https://github.com/cloudwarriors-ai/zoomwarriors_2/issues/131</t>
  </si>
  <si>
    <t>[CAB] Hotfix - Admin Order Pricing Access &amp; Release Configuration Cleanup</t>
  </si>
  <si>
    <t>2025-09-08T16:14:59Z</t>
  </si>
  <si>
    <t>2025-09-12T10:06:25Z</t>
  </si>
  <si>
    <t>https://github.com/cloudwarriors-ai/zoomwarriors_2/issues/130</t>
  </si>
  <si>
    <t>Pricing - SOW Edits for CTI Integrations and Marketplace Apps</t>
  </si>
  <si>
    <t>2025-09-05T21:11:28Z</t>
  </si>
  <si>
    <t>2025-12-09T19:57:32Z</t>
  </si>
  <si>
    <t>2025-09-26T12:23:31Z</t>
  </si>
  <si>
    <t>PRIORITY: Medium, STATUS: Released to Prod, SKILL: Low</t>
  </si>
  <si>
    <t>https://github.com/cloudwarriors-ai/zoomwarriors_2/issues/129</t>
  </si>
  <si>
    <t>Pricing Logic - a base e911 zones</t>
  </si>
  <si>
    <t>2025-09-05T21:08:23Z</t>
  </si>
  <si>
    <t>2025-09-26T12:31:20Z</t>
  </si>
  <si>
    <t>https://github.com/cloudwarriors-ai/zoomwarriors_2/issues/128</t>
  </si>
  <si>
    <t>Pricing - "Failed to load pricing data'</t>
  </si>
  <si>
    <t>2025-09-05T17:37:25Z</t>
  </si>
  <si>
    <t>2025-09-26T14:48:25Z</t>
  </si>
  <si>
    <t>2025-09-12T16:28:16Z</t>
  </si>
  <si>
    <t>https://github.com/cloudwarriors-ai/zoomwarriors_2/issues/124</t>
  </si>
  <si>
    <t>Django Admin - SOW Visibility: Page Not Found</t>
  </si>
  <si>
    <t>2025-09-05T17:30:17Z</t>
  </si>
  <si>
    <t>2025-09-26T14:48:24Z</t>
  </si>
  <si>
    <t>2025-09-12T16:28:37Z</t>
  </si>
  <si>
    <t>https://github.com/cloudwarriors-ai/zoomwarriors_2/issues/123</t>
  </si>
  <si>
    <t>[CAB] Feature Bundle Deployment - Order Search Enhancement, UI Improvements &amp; Workflow Fixes</t>
  </si>
  <si>
    <t>2025-09-03T17:53:51Z</t>
  </si>
  <si>
    <t>2025-09-05T18:17:03Z</t>
  </si>
  <si>
    <t>https://github.com/cloudwarriors-ai/zoomwarriors_2/issues/117</t>
  </si>
  <si>
    <t>2025-09-03T17:34:34Z</t>
  </si>
  <si>
    <t>2025-09-03T17:55:03Z</t>
  </si>
  <si>
    <t>https://github.com/cloudwarriors-ai/zoomwarriors_2/issues/116</t>
  </si>
  <si>
    <t>Password Reset - Email Validation</t>
  </si>
  <si>
    <t>2025-09-02T16:11:14Z</t>
  </si>
  <si>
    <t>2025-09-02T17:10:18Z</t>
  </si>
  <si>
    <t>https://github.com/cloudwarriors-ai/zoomwarriors_2/issues/112</t>
  </si>
  <si>
    <t>Password Reset - Reset My Password Capitalization</t>
  </si>
  <si>
    <t>2025-09-02T16:06:35Z</t>
  </si>
  <si>
    <t>2025-12-08T04:09:44Z</t>
  </si>
  <si>
    <t>PRIORITY: Low, STATUS: Released to Prod, SKILL: Low</t>
  </si>
  <si>
    <t>https://github.com/cloudwarriors-ai/zoomwarriors_2/issues/111</t>
  </si>
  <si>
    <t>Password Reset - Email Address Capitalization</t>
  </si>
  <si>
    <t>2025-09-02T16:04:54Z</t>
  </si>
  <si>
    <t>2025-12-08T04:10:02Z</t>
  </si>
  <si>
    <t>https://github.com/cloudwarriors-ai/zoomwarriors_2/issues/110</t>
  </si>
  <si>
    <t>SOW Update - Order File: Naming Inconsistency</t>
  </si>
  <si>
    <t>2025-08-30T23:39:41Z</t>
  </si>
  <si>
    <t>2025-11-25T18:13:46Z</t>
  </si>
  <si>
    <t>2025-11-25T18:13:45Z</t>
  </si>
  <si>
    <t>https://github.com/cloudwarriors-ai/zoomwarriors_2/issues/107</t>
  </si>
  <si>
    <t>Implement Exposure of All Orders to Admin</t>
  </si>
  <si>
    <t>2025-08-29T20:17:02Z</t>
  </si>
  <si>
    <t>2025-09-26T14:48:23Z</t>
  </si>
  <si>
    <t>2025-09-05T17:46:21Z</t>
  </si>
  <si>
    <t>https://github.com/cloudwarriors-ai/zoomwarriors_2/issues/106</t>
  </si>
  <si>
    <t>Login Page - Terms and Conditions Repeated Accepting</t>
  </si>
  <si>
    <t>2025-08-29T19:10:31Z</t>
  </si>
  <si>
    <t>2025-11-13T16:08:47Z</t>
  </si>
  <si>
    <t>https://github.com/cloudwarriors-ai/zoomwarriors_2/issues/105</t>
  </si>
  <si>
    <t>Main Page Dashboard - All Orders: Add Search Feature</t>
  </si>
  <si>
    <t>2025-08-28T20:47:45Z</t>
  </si>
  <si>
    <t>2025-09-05T16:28:35Z</t>
  </si>
  <si>
    <t>https://github.com/cloudwarriors-ai/zoomwarriors_2/issues/102</t>
  </si>
  <si>
    <t>Admin Django Page - Add Filter / Sort Option</t>
  </si>
  <si>
    <t>2025-08-28T20:43:38Z</t>
  </si>
  <si>
    <t>2025-11-18T18:58:45Z</t>
  </si>
  <si>
    <t>https://github.com/cloudwarriors-ai/zoomwarriors_2/issues/101</t>
  </si>
  <si>
    <t>Admin Django Page - Add Generate SOW Button</t>
  </si>
  <si>
    <t>2025-08-28T20:42:52Z</t>
  </si>
  <si>
    <t>2025-09-18T17:29:28Z</t>
  </si>
  <si>
    <t>https://github.com/cloudwarriors-ai/zoomwarriors_2/issues/100</t>
  </si>
  <si>
    <t>Admin Django Page - Make the Search Feature to be functional on the Orders Page</t>
  </si>
  <si>
    <t>2025-08-28T20:42:09Z</t>
  </si>
  <si>
    <t>2025-11-13T18:52:52Z</t>
  </si>
  <si>
    <t>https://github.com/cloudwarriors-ai/zoomwarriors_2/issues/99</t>
  </si>
  <si>
    <t>Pricing Review Page - Inaccurate Total Summary</t>
  </si>
  <si>
    <t>2025-08-28T20:33:45Z</t>
  </si>
  <si>
    <t>2025-09-26T13:40:45Z</t>
  </si>
  <si>
    <t>https://github.com/cloudwarriors-ai/zoomwarriors_2/issues/98</t>
  </si>
  <si>
    <t>Pricing Review Page - Change Pricing for Foreign Post to $1500</t>
  </si>
  <si>
    <t>2025-08-28T20:31:27Z</t>
  </si>
  <si>
    <t>2025-09-26T14:48:22Z</t>
  </si>
  <si>
    <t>2025-08-29T01:41:55Z</t>
  </si>
  <si>
    <t>https://github.com/cloudwarriors-ai/zoomwarriors_2/issues/97</t>
  </si>
  <si>
    <t>Wrap-Up Page - Calendar Missing February</t>
  </si>
  <si>
    <t>2025-08-28T20:28:01Z</t>
  </si>
  <si>
    <t>2025-09-21T15:29:10Z</t>
  </si>
  <si>
    <t>https://github.com/cloudwarriors-ai/zoomwarriors_2/issues/96</t>
  </si>
  <si>
    <t>SOW Update - Consider ZP, ZCC, Additions Visibility Options</t>
  </si>
  <si>
    <t>2025-08-28T20:13:31Z</t>
  </si>
  <si>
    <t>2025-11-17T21:40:01Z</t>
  </si>
  <si>
    <t>STATUS: Follow-Up Required, SKILL: Medium, PRIORITY: Low</t>
  </si>
  <si>
    <t>https://github.com/cloudwarriors-ai/zoomwarriors_2/issues/95</t>
  </si>
  <si>
    <t>SOW Update - Add Company Rep in Place of CW PSO Rep</t>
  </si>
  <si>
    <t>2025-08-28T19:41:01Z</t>
  </si>
  <si>
    <t>2025-11-13T14:51:17Z</t>
  </si>
  <si>
    <t>https://github.com/cloudwarriors-ai/zoomwarriors_2/issues/94</t>
  </si>
  <si>
    <t>Admin Access - Link to Django Admin Functions</t>
  </si>
  <si>
    <t>2025-08-28T14:55:04Z</t>
  </si>
  <si>
    <t>2025-09-18T14:45:15Z</t>
  </si>
  <si>
    <t>https://github.com/cloudwarriors-ai/zoomwarriors_2/issues/91</t>
  </si>
  <si>
    <t>Wrap Up Page - Event Calendar Not Exposed Fully</t>
  </si>
  <si>
    <t>2025-08-27T17:36:52Z</t>
  </si>
  <si>
    <t>2025-09-08T03:42:31Z</t>
  </si>
  <si>
    <t>STATUS: In QA, PRIORITY: Low, SKILL: Low</t>
  </si>
  <si>
    <t>https://github.com/cloudwarriors-ai/zoomwarriors_2/issues/87</t>
  </si>
  <si>
    <t>Zoom Phone - Features Configuration: AR &amp; CQ Minimums</t>
  </si>
  <si>
    <t>2025-08-27T13:59:00Z</t>
  </si>
  <si>
    <t>2025-11-17T17:16:02Z</t>
  </si>
  <si>
    <t>https://github.com/cloudwarriors-ai/zoomwarriors_2/issues/85</t>
  </si>
  <si>
    <t>Zoom Phone - Location Configuration: Update Site Details</t>
  </si>
  <si>
    <t>2025-08-27T13:51:27Z</t>
  </si>
  <si>
    <t>2025-10-24T01:49:02Z</t>
  </si>
  <si>
    <t>PRIORITY: Medium, STATUS: In Progress, SKILL: Low</t>
  </si>
  <si>
    <t>https://github.com/cloudwarriors-ai/zoomwarriors_2/issues/84</t>
  </si>
  <si>
    <t>SOW Channel - SOW Link InOp</t>
  </si>
  <si>
    <t>2025-08-27T13:10:51Z</t>
  </si>
  <si>
    <t>2025-08-29T01:45:27Z</t>
  </si>
  <si>
    <t>https://github.com/cloudwarriors-ai/zoomwarriors_2/issues/83</t>
  </si>
  <si>
    <t>Login Page - Email Case Sensitive</t>
  </si>
  <si>
    <t>2025-08-27T11:36:05Z</t>
  </si>
  <si>
    <t>2025-09-08T03:42:05Z</t>
  </si>
  <si>
    <t>https://github.com/cloudwarriors-ai/zoomwarriors_2/issues/82</t>
  </si>
  <si>
    <t>Login Page - Login Expiration Settings</t>
  </si>
  <si>
    <t>2025-08-27T11:30:21Z</t>
  </si>
  <si>
    <t>2025-11-25T18:41:09Z</t>
  </si>
  <si>
    <t>rebecca-cichy, campbellayers, Matt-Keuning</t>
  </si>
  <si>
    <t>https://github.com/cloudwarriors-ai/zoomwarriors_2/issues/81</t>
  </si>
  <si>
    <t>Main Page - 'User' Role Display</t>
  </si>
  <si>
    <t>2025-08-27T10:45:21Z</t>
  </si>
  <si>
    <t>2025-09-06T01:20:15Z</t>
  </si>
  <si>
    <t>https://github.com/cloudwarriors-ai/zoomwarriors_2/issues/80</t>
  </si>
  <si>
    <t>Main Page - Profile Email Display</t>
  </si>
  <si>
    <t>2025-08-27T10:31:25Z</t>
  </si>
  <si>
    <t>2025-09-26T14:48:21Z</t>
  </si>
  <si>
    <t>2025-09-05T17:44:49Z</t>
  </si>
  <si>
    <t>https://github.com/cloudwarriors-ai/zoomwarriors_2/issues/79</t>
  </si>
  <si>
    <t>Unable To Backspace In Fields</t>
  </si>
  <si>
    <t>2025-08-26T13:37:10Z</t>
  </si>
  <si>
    <t>2025-09-18T17:15:17Z</t>
  </si>
  <si>
    <t>2025-09-18T17:15:16Z</t>
  </si>
  <si>
    <t>https://github.com/cloudwarriors-ai/zoomwarriors_2/issues/77</t>
  </si>
  <si>
    <t>Mobile Screen Width Button Issue Pricing Review</t>
  </si>
  <si>
    <t>2025-08-26T13:28:02Z</t>
  </si>
  <si>
    <t>2025-09-08T03:41:38Z</t>
  </si>
  <si>
    <t>https://github.com/cloudwarriors-ai/zoomwarriors_2/issues/76</t>
  </si>
  <si>
    <t>Login Page - Reset Password Issues (Test)</t>
  </si>
  <si>
    <t>2025-08-25T18:34:51Z</t>
  </si>
  <si>
    <t>2025-08-25T18:41:12Z</t>
  </si>
  <si>
    <t>PRIORITY: Medium, STATUS: In Progress, SKILL: Medium</t>
  </si>
  <si>
    <t>https://github.com/cloudwarriors-ai/zoomwarriors_2/issues/72</t>
  </si>
  <si>
    <t>Configure Mobile Layout</t>
  </si>
  <si>
    <t>2025-08-25T12:00:08Z</t>
  </si>
  <si>
    <t>2025-08-29T10:24:15Z</t>
  </si>
  <si>
    <t>https://github.com/cloudwarriors-ai/zoomwarriors_2/issues/71</t>
  </si>
  <si>
    <t>Pricing Review - Discount / Price Modifications</t>
  </si>
  <si>
    <t>2025-08-22T11:00:35Z</t>
  </si>
  <si>
    <t>2025-08-29T17:32:04Z</t>
  </si>
  <si>
    <t>https://github.com/cloudwarriors-ai/zoomwarriors_2/issues/67</t>
  </si>
  <si>
    <t>Go Lives Two Types</t>
  </si>
  <si>
    <t>2025-08-20T12:45:19Z</t>
  </si>
  <si>
    <t>2025-08-29T01:50:58Z</t>
  </si>
  <si>
    <t>https://github.com/cloudwarriors-ai/zoomwarriors_2/issues/63</t>
  </si>
  <si>
    <t>Wrap-Up - On Site Support: Remove Toggle Switch</t>
  </si>
  <si>
    <t>2025-08-15T19:43:22Z</t>
  </si>
  <si>
    <t>2025-08-29T01:52:40Z</t>
  </si>
  <si>
    <t>https://github.com/cloudwarriors-ai/zoomwarriors_2/issues/59</t>
  </si>
  <si>
    <t>Additions Page - Marketplace Applications Note</t>
  </si>
  <si>
    <t>2025-08-15T19:01:32Z</t>
  </si>
  <si>
    <t>2025-08-29T01:54:16Z</t>
  </si>
  <si>
    <t>2025-08-29T01:54:15Z</t>
  </si>
  <si>
    <t>PRIORITY: Medium, STATUS: QA Passed - Awtg Release, SKILL: Low</t>
  </si>
  <si>
    <t>https://github.com/cloudwarriors-ai/zoomwarriors_2/issues/57</t>
  </si>
  <si>
    <t>Workplace Optimization - ZVA:  Confirm Standard CRM Integration &amp; Naming</t>
  </si>
  <si>
    <t>2025-08-15T18:58:44Z</t>
  </si>
  <si>
    <t>2025-09-26T14:48:20Z</t>
  </si>
  <si>
    <t>2025-08-29T02:21:33Z</t>
  </si>
  <si>
    <t>https://github.com/cloudwarriors-ai/zoomwarriors_2/issues/56</t>
  </si>
  <si>
    <t>Contact Center - Digital Channel: DB Integrations Updates</t>
  </si>
  <si>
    <t>2025-08-15T18:54:58Z</t>
  </si>
  <si>
    <t>2025-08-29T11:09:23Z</t>
  </si>
  <si>
    <t>https://github.com/cloudwarriors-ai/zoomwarriors_2/issues/55</t>
  </si>
  <si>
    <t>Zoom Phone - Location Configuration: Site Requirement/Validation</t>
  </si>
  <si>
    <t>2025-08-15T18:43:07Z</t>
  </si>
  <si>
    <t>2025-11-17T17:19:39Z</t>
  </si>
  <si>
    <t>https://github.com/cloudwarriors-ai/zoomwarriors_2/issues/54</t>
  </si>
  <si>
    <t>ZP Configuration - Features Configuration: Spell out ATA</t>
  </si>
  <si>
    <t>2025-08-15T18:40:34Z</t>
  </si>
  <si>
    <t>2025-08-29T10:47:42Z</t>
  </si>
  <si>
    <t>https://github.com/cloudwarriors-ai/zoomwarriors_2/issues/53</t>
  </si>
  <si>
    <t>Login Access - Make Invite Similar to ZWv1/MACD/ETL</t>
  </si>
  <si>
    <t>2025-08-15T18:29:49Z</t>
  </si>
  <si>
    <t>2025-09-26T14:48:19Z</t>
  </si>
  <si>
    <t>2025-08-29T11:01:51Z</t>
  </si>
  <si>
    <t>https://github.com/cloudwarriors-ai/zoomwarriors_2/issues/52</t>
  </si>
  <si>
    <t>Customer Info: Page Validation Error Messages</t>
  </si>
  <si>
    <t>2025-08-14T20:53:50Z</t>
  </si>
  <si>
    <t>2025-08-29T02:07:04Z</t>
  </si>
  <si>
    <t>https://github.com/cloudwarriors-ai/zoomwarriors_2/issues/48</t>
  </si>
  <si>
    <t>Customer Info - Address Validation</t>
  </si>
  <si>
    <t>2025-08-14T20:42:53Z</t>
  </si>
  <si>
    <t>2025-11-06T04:25:00Z</t>
  </si>
  <si>
    <t>STATUS: Follow-Up Required, STATUS: In Progress, PRIORITY: Low, SKILL: Low</t>
  </si>
  <si>
    <t>https://github.com/cloudwarriors-ai/zoomwarriors_2/issues/47</t>
  </si>
  <si>
    <t>Pricing Review - Staff Member Restrictions</t>
  </si>
  <si>
    <t>2025-08-14T19:19:45Z</t>
  </si>
  <si>
    <t>2025-08-25T18:55:26Z</t>
  </si>
  <si>
    <t>PRIORITY: Low, STATUS: QA Passed - Awtg Release, SKILL: Low</t>
  </si>
  <si>
    <t>https://github.com/cloudwarriors-ai/zoomwarriors_2/issues/41</t>
  </si>
  <si>
    <t>Dashboard - Failed to Load Orders</t>
  </si>
  <si>
    <t>2025-08-14T19:00:03Z</t>
  </si>
  <si>
    <t>2025-08-29T02:12:50Z</t>
  </si>
  <si>
    <t>https://github.com/cloudwarriors-ai/zoomwarriors_2/issues/39</t>
  </si>
  <si>
    <t>Dashboard - General Verbiage Capitalization</t>
  </si>
  <si>
    <t>2025-08-14T18:57:36Z</t>
  </si>
  <si>
    <t>2025-08-29T02:11:47Z</t>
  </si>
  <si>
    <t>https://github.com/cloudwarriors-ai/zoomwarriors_2/issues/38</t>
  </si>
  <si>
    <t>Wrap-Up - Go Live Planning / Add Event</t>
  </si>
  <si>
    <t>2025-08-14T18:54:43Z</t>
  </si>
  <si>
    <t>2025-08-29T02:17:54Z</t>
  </si>
  <si>
    <t>https://github.com/cloudwarriors-ai/zoomwarriors_2/issues/36</t>
  </si>
  <si>
    <t>Wrap-Up - Go Live Planning Date Selection</t>
  </si>
  <si>
    <t>2025-08-14T18:51:58Z</t>
  </si>
  <si>
    <t>2025-08-29T02:22:44Z</t>
  </si>
  <si>
    <t>https://github.com/cloudwarriors-ai/zoomwarriors_2/issues/35</t>
  </si>
  <si>
    <t>Wrap-Up - On-Site Support Note</t>
  </si>
  <si>
    <t>2025-08-14T18:36:10Z</t>
  </si>
  <si>
    <t>2025-09-26T14:48:18Z</t>
  </si>
  <si>
    <t>2025-08-29T10:56:07Z</t>
  </si>
  <si>
    <t>https://github.com/cloudwarriors-ai/zoomwarriors_2/issues/34</t>
  </si>
  <si>
    <t>Additions - Additional Integrations: Add Note under CTI Integrations</t>
  </si>
  <si>
    <t>2025-08-14T18:31:44Z</t>
  </si>
  <si>
    <t>2025-08-29T10:25:24Z</t>
  </si>
  <si>
    <t>https://github.com/cloudwarriors-ai/zoomwarriors_2/issues/32</t>
  </si>
  <si>
    <t>Additions - Additional Integrations - Modify SSO Configurations to ONLY allow for SAML as an option</t>
  </si>
  <si>
    <t>2025-08-14T18:27:11Z</t>
  </si>
  <si>
    <t>2025-08-29T02:13:37Z</t>
  </si>
  <si>
    <t>https://github.com/cloudwarriors-ai/zoomwarriors_2/issues/31</t>
  </si>
  <si>
    <t>Customer Information: Phone Number Validation</t>
  </si>
  <si>
    <t>2025-08-14T18:22:49Z</t>
  </si>
  <si>
    <t>2025-09-26T15:54:21Z</t>
  </si>
  <si>
    <t>https://github.com/cloudwarriors-ai/zoomwarriors_2/issues/29</t>
  </si>
  <si>
    <t>Zoom Contact Center - BACK button does not seem to work</t>
  </si>
  <si>
    <t>2025-08-14T18:17:30Z</t>
  </si>
  <si>
    <t>2025-08-29T10:21:11Z</t>
  </si>
  <si>
    <t>https://github.com/cloudwarriors-ai/zoomwarriors_2/issues/28</t>
  </si>
  <si>
    <t>Change Password - Page Automatically Returns to Profile Settings Page</t>
  </si>
  <si>
    <t>2025-08-14T18:09:23Z</t>
  </si>
  <si>
    <t>2025-08-29T10:21:57Z</t>
  </si>
  <si>
    <t>https://github.com/cloudwarriors-ai/zoomwarriors_2/issues/27</t>
  </si>
  <si>
    <t>Admin Panel - Hide Dropdown Option If Member is NOT and Admin</t>
  </si>
  <si>
    <t>2025-08-14T18:04:57Z</t>
  </si>
  <si>
    <t>2025-08-25T18:49:31Z</t>
  </si>
  <si>
    <t>https://github.com/cloudwarriors-ai/zoomwarriors_2/issues/26</t>
  </si>
  <si>
    <t>Profile Settings - First/Last Name Changes NOT Saving</t>
  </si>
  <si>
    <t>2025-08-14T18:02:02Z</t>
  </si>
  <si>
    <t>2025-08-29T10:22:30Z</t>
  </si>
  <si>
    <t>https://github.com/cloudwarriors-ai/zoomwarriors_2/issues/25</t>
  </si>
  <si>
    <t>Profile Settings - Cancel Changes Button Functionality</t>
  </si>
  <si>
    <t>2025-08-13T20:08:26Z</t>
  </si>
  <si>
    <t>2025-08-29T10:26:04Z</t>
  </si>
  <si>
    <t>https://github.com/cloudwarriors-ai/zoomwarriors_2/issues/23</t>
  </si>
  <si>
    <t>Profile Setting - Make Email Address Unable To Edit</t>
  </si>
  <si>
    <t>2025-08-13T19:57:25Z</t>
  </si>
  <si>
    <t>2025-08-29T10:46:00Z</t>
  </si>
  <si>
    <t>https://github.com/cloudwarriors-ai/zoomwarriors_2/issues/22</t>
  </si>
  <si>
    <t>Apply Minimums To Pricing Review</t>
  </si>
  <si>
    <t>2025-08-13T19:25:27Z</t>
  </si>
  <si>
    <t>2025-08-29T10:23:17Z</t>
  </si>
  <si>
    <t>https://github.com/cloudwarriors-ai/zoomwarriors_2/issues/20</t>
  </si>
  <si>
    <t>Login Page - Add 'Forgot Password' Link</t>
  </si>
  <si>
    <t>2025-08-13T19:21:37Z</t>
  </si>
  <si>
    <t>2025-08-29T10:54:04Z</t>
  </si>
  <si>
    <t>https://github.com/cloudwarriors-ai/zoomwarriors_2/issues/19</t>
  </si>
  <si>
    <t>Login Page - Add 'See Password' Functionality</t>
  </si>
  <si>
    <t>2025-08-13T19:20:25Z</t>
  </si>
  <si>
    <t>2025-08-21T15:37:06Z</t>
  </si>
  <si>
    <t>2025-08-21T14:18:04Z</t>
  </si>
  <si>
    <t>https://github.com/cloudwarriors-ai/zoomwarriors_2/issues/18</t>
  </si>
  <si>
    <t>Accept Invitation - Remove Template "newuser' Username</t>
  </si>
  <si>
    <t>2025-08-13T19:06:29Z</t>
  </si>
  <si>
    <t>2025-08-29T10:38:10Z</t>
  </si>
  <si>
    <t>https://github.com/cloudwarriors-ai/zoomwarriors_2/issues/17</t>
  </si>
  <si>
    <t>Login Page - Sign In</t>
  </si>
  <si>
    <t>2025-08-13T18:47:50Z</t>
  </si>
  <si>
    <t>2025-08-29T10:49:04Z</t>
  </si>
  <si>
    <t>https://github.com/cloudwarriors-ai/zoomwarriors_2/issues/15</t>
  </si>
  <si>
    <t>Login Page - Sign In To Your Account</t>
  </si>
  <si>
    <t>2025-08-13T18:46:33Z</t>
  </si>
  <si>
    <t>2025-08-29T10:48:35Z</t>
  </si>
  <si>
    <t>https://github.com/cloudwarriors-ai/zoomwarriors_2/issues/14</t>
  </si>
  <si>
    <t>Accept Invitation - Back To Login</t>
  </si>
  <si>
    <t>2025-08-13T18:41:26Z</t>
  </si>
  <si>
    <t>2025-08-29T10:54:59Z</t>
  </si>
  <si>
    <t>https://github.com/cloudwarriors-ai/zoomwarriors_2/issues/13</t>
  </si>
  <si>
    <t>Login Page - Privacy Policy</t>
  </si>
  <si>
    <t>2025-08-13T18:35:06Z</t>
  </si>
  <si>
    <t>2025-08-21T15:37:03Z</t>
  </si>
  <si>
    <t>https://github.com/cloudwarriors-ai/zoomwarriors_2/issues/12</t>
  </si>
  <si>
    <t>Login Page - Terms &amp; Conditions</t>
  </si>
  <si>
    <t>2025-08-13T18:34:05Z</t>
  </si>
  <si>
    <t>2025-08-29T10:40:06Z</t>
  </si>
  <si>
    <t>https://github.com/cloudwarriors-ai/zoomwarriors_2/issues/11</t>
  </si>
  <si>
    <t>Login Page - Add Link: "I Agree To Terms &amp; Conditions"</t>
  </si>
  <si>
    <t>2025-08-13T18:32:49Z</t>
  </si>
  <si>
    <t>2025-09-26T14:48:17Z</t>
  </si>
  <si>
    <t>2025-08-29T10:40:28Z</t>
  </si>
  <si>
    <t>https://github.com/cloudwarriors-ai/zoomwarriors_2/issues/10</t>
  </si>
  <si>
    <t>Login Page - Newly Invited Users Click Here</t>
  </si>
  <si>
    <t>2025-08-13T18:31:02Z</t>
  </si>
  <si>
    <t>2025-08-29T02:23:31Z</t>
  </si>
  <si>
    <t>https://github.com/cloudwarriors-ai/zoomwarriors_2/issues/9</t>
  </si>
  <si>
    <t>Customer Info: "This field is required" Still Present After Populating Fields</t>
  </si>
  <si>
    <t>2025-08-13T17:44:51Z</t>
  </si>
  <si>
    <t>2025-08-29T10:41:12Z</t>
  </si>
  <si>
    <t>https://github.com/cloudwarriors-ai/zoomwarriors_2/issues/7</t>
  </si>
  <si>
    <t>Pages Not Saving When Using Nav Bar</t>
  </si>
  <si>
    <t>2025-08-13T17:39:51Z</t>
  </si>
  <si>
    <t>2025-08-29T10:41:41Z</t>
  </si>
  <si>
    <t>https://github.com/cloudwarriors-ai/zoomwarriors_2/issues/6</t>
  </si>
  <si>
    <t>Location Configuration &amp; SOW Update - Add Space to List Country or Countries</t>
  </si>
  <si>
    <t>2025-08-11T19:00:40Z</t>
  </si>
  <si>
    <t>2025-11-25T17:12:01Z</t>
  </si>
  <si>
    <t>2025-11-25T17:12:00Z</t>
  </si>
  <si>
    <t>https://github.com/cloudwarriors-ai/zoomwarriors_2/issues/5</t>
  </si>
  <si>
    <t>Update ZW v2.0 SOW</t>
  </si>
  <si>
    <t>2025-08-06T18:53:08Z</t>
  </si>
  <si>
    <t>2025-08-29T10:42:30Z</t>
  </si>
  <si>
    <t>https://github.com/cloudwarriors-ai/zoomwarriors_2/issues/4</t>
  </si>
  <si>
    <t>Consider Adding Tool Tips</t>
  </si>
  <si>
    <t>2025-08-06T18:52:10Z</t>
  </si>
  <si>
    <t>2025-08-29T10:42:05Z</t>
  </si>
  <si>
    <t>https://github.com/cloudwarriors-ai/zoomwarriors_2/issues/3</t>
  </si>
  <si>
    <t>Consider Adding a Bot or Assistant</t>
  </si>
  <si>
    <t>2025-08-06T18:51:06Z</t>
  </si>
  <si>
    <t>2025-09-07T12:26:25Z</t>
  </si>
  <si>
    <t>https://github.com/cloudwarriors-ai/zoomwarriors_2/issues/2</t>
  </si>
  <si>
    <t>Create Customer Support Function and Plan</t>
  </si>
  <si>
    <t>2025-08-06T18:50:15Z</t>
  </si>
  <si>
    <t>2025-09-26T13:33:08Z</t>
  </si>
  <si>
    <t>https://github.com/cloudwarriors-ai/zoomwarriors_2/issues/1</t>
  </si>
  <si>
    <t>[AGENTIC-PLAN] Create calculator utility</t>
  </si>
  <si>
    <t>2025-08-13T23:05:43Z</t>
  </si>
  <si>
    <t>2025-08-13T23:06:17Z</t>
  </si>
  <si>
    <t>agentic-plan, auto-build</t>
  </si>
  <si>
    <t>https://github.com/cloudwarriors-ai/github_review_build_test/issues/22</t>
  </si>
  <si>
    <t>[AGENTIC-PLAN] Test PR Creation Fix Implementation</t>
  </si>
  <si>
    <t>2025-08-13T23:00:50Z</t>
  </si>
  <si>
    <t>2025-08-13T23:01:27Z</t>
  </si>
  <si>
    <t>https://github.com/cloudwarriors-ai/github_review_build_test/issues/21</t>
  </si>
  <si>
    <t>[AGENTIC-PLAN] Simple test function</t>
  </si>
  <si>
    <t>2025-08-13T22:56:58Z</t>
  </si>
  <si>
    <t>2025-08-13T22:57:29Z</t>
  </si>
  <si>
    <t>https://github.com/cloudwarriors-ai/github_review_build_test/issues/20</t>
  </si>
  <si>
    <t>[AGENTIC-PLAN] Add basic math utility</t>
  </si>
  <si>
    <t>2025-08-13T22:53:47Z</t>
  </si>
  <si>
    <t>2025-08-13T22:54:22Z</t>
  </si>
  <si>
    <t>https://github.com/cloudwarriors-ai/github_review_build_test/issues/19</t>
  </si>
  <si>
    <t>2025-08-13T22:48:19Z</t>
  </si>
  <si>
    <t>2025-08-13T22:48:53Z</t>
  </si>
  <si>
    <t>https://github.com/cloudwarriors-ai/github_review_build_test/issues/18</t>
  </si>
  <si>
    <t>2025-08-13T22:48:18Z</t>
  </si>
  <si>
    <t>2025-08-13T22:48:52Z</t>
  </si>
  <si>
    <t>https://github.com/cloudwarriors-ai/github_review_build_test/issues/17</t>
  </si>
  <si>
    <t>[AGENTIC-PLAN] Add hello world function</t>
  </si>
  <si>
    <t>2025-08-13T22:10:10Z</t>
  </si>
  <si>
    <t>2025-08-13T22:10:47Z</t>
  </si>
  <si>
    <t>https://github.com/cloudwarriors-ai/github_review_build_test/issues/15</t>
  </si>
  <si>
    <t>[AGENTIC-PLAN] Implement Simple Hello World Function for Local Build Testing</t>
  </si>
  <si>
    <t>2025-08-13T22:03:29Z</t>
  </si>
  <si>
    <t>2025-08-13T22:04:05Z</t>
  </si>
  <si>
    <t>https://github.com/cloudwarriors-ai/github_review_build_test/issues/14</t>
  </si>
  <si>
    <t>[AGENTIC-PLAN] Implementation Plan</t>
  </si>
  <si>
    <t>2025-08-13T21:02:32Z</t>
  </si>
  <si>
    <t>2025-08-13T21:03:15Z</t>
  </si>
  <si>
    <t>https://github.com/cloudwarriors-ai/github_review_build_test/issues/13</t>
  </si>
  <si>
    <t>2025-08-13T21:03:09Z</t>
  </si>
  <si>
    <t>https://github.com/cloudwarriors-ai/github_review_build_test/issues/12</t>
  </si>
  <si>
    <t>2025-08-13T21:02:31Z</t>
  </si>
  <si>
    <t>2025-08-13T21:03:02Z</t>
  </si>
  <si>
    <t>https://github.com/cloudwarriors-ai/github_review_build_test/issues/11</t>
  </si>
  <si>
    <t>[AGENTIC-PLAN] Add a simple greeting component</t>
  </si>
  <si>
    <t>2025-08-13T20:58:55Z</t>
  </si>
  <si>
    <t>2025-08-13T20:59:28Z</t>
  </si>
  <si>
    <t>https://github.com/cloudwarriors-ai/github_review_build_test/issues/10</t>
  </si>
  <si>
    <t>2025-08-13T20:59:30Z</t>
  </si>
  <si>
    <t>https://github.com/cloudwarriors-ai/github_review_build_test/issues/9</t>
  </si>
  <si>
    <t>Add greeting component and implement a sytem the asks user to fillout required enviroment variables by putting them in the terminal</t>
  </si>
  <si>
    <t>2025-08-13T18:57:29Z</t>
  </si>
  <si>
    <t>2025-08-13T19:12:16Z</t>
  </si>
  <si>
    <t>enhancement</t>
  </si>
  <si>
    <t>https://github.com/cloudwarriors-ai/github_review_build_test/issues/4</t>
  </si>
  <si>
    <t>Update the current directory structure to make it as streamline as possible to integrate with other repositories</t>
  </si>
  <si>
    <t>2025-08-13T18:19:36Z</t>
  </si>
  <si>
    <t>https://github.com/cloudwarriors-ai/github_review_build_test/issues/3</t>
  </si>
  <si>
    <t>Must be created to be implemented in any repository or code base.</t>
  </si>
  <si>
    <t>2025-08-13T18:01:26Z</t>
  </si>
  <si>
    <t>2025-08-13T18:08:28Z</t>
  </si>
  <si>
    <t>https://github.com/cloudwarriors-ai/github_review_build_test/issues/2</t>
  </si>
  <si>
    <t>TUI - enter crashes window</t>
  </si>
  <si>
    <t>2025-08-19T13:06:01Z</t>
  </si>
  <si>
    <t>bug</t>
  </si>
  <si>
    <t>https://github.com/cloudwarriors-ai/chadwick/issues/1</t>
  </si>
  <si>
    <t>Traefik configuration drift between Prod and Noob</t>
  </si>
  <si>
    <t>2025-08-29T22:20:05Z</t>
  </si>
  <si>
    <t>https://github.com/cloudwarriors-ai/support/issues/1</t>
  </si>
  <si>
    <t>Create DevOps QA Dashboard</t>
  </si>
  <si>
    <t>2025-12-12T11:08:22Z</t>
  </si>
  <si>
    <t>https://github.com/cloudwarriors-ai/Project-Pulse/issues/13</t>
  </si>
  <si>
    <t>Sales Pipeline - Update Projects Card Coloring</t>
  </si>
  <si>
    <t>2025-12-11T17:45:03Z</t>
  </si>
  <si>
    <t>https://github.com/cloudwarriors-ai/Project-Pulse/issues/12</t>
  </si>
  <si>
    <t>[CAB]  Tesseract - Browserbase integration, MFA</t>
  </si>
  <si>
    <t>2025-12-15T15:30:33Z</t>
  </si>
  <si>
    <t>2025-12-15T15:55:44Z</t>
  </si>
  <si>
    <t>trentcharlton, jvitato1, rebecca-cichy</t>
  </si>
  <si>
    <t>https://github.com/cloudwarriors-ai/tesseract-platform/issues/11</t>
  </si>
  <si>
    <t>[CAB] Tesseract Platform – Teams to Zoom Migration Feature Deployment</t>
  </si>
  <si>
    <t>2025-12-08T15:50:02Z</t>
  </si>
  <si>
    <t>2025-12-16T19:33:35Z</t>
  </si>
  <si>
    <t>trentcharlton, Jeffrey-Searcy, rebecca-cichy</t>
  </si>
  <si>
    <t>https://github.com/cloudwarriors-ai/tesseract-platform/issues/8</t>
  </si>
  <si>
    <t>API Gateway: Intermittent provider routing failures (404/502 errors)</t>
  </si>
  <si>
    <t>2025-10-13T13:37:08Z</t>
  </si>
  <si>
    <t>2025-12-12T11:02:13Z</t>
  </si>
  <si>
    <t>https://github.com/cloudwarriors-ai/tesseract-platform/issues/1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</si>
</sst>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20">
    <font>
      <sz val="11.0"/>
      <color theme="1"/>
      <name val="Calibri"/>
      <scheme val="minor"/>
    </font>
    <font>
      <b/>
      <sz val="15.0"/>
      <color theme="1"/>
      <name val="Calibri"/>
    </font>
    <font/>
    <font>
      <color theme="1"/>
      <name val="Calibri"/>
    </font>
    <font>
      <color rgb="FFFF0000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b/>
      <sz val="11.0"/>
      <color rgb="FF000000"/>
      <name val="Calibri"/>
    </font>
    <font>
      <sz val="11.0"/>
      <color theme="1"/>
      <name val="Calibri"/>
    </font>
    <font>
      <b/>
      <color rgb="FF000000"/>
      <name val="Calibri"/>
    </font>
    <font>
      <b/>
      <color theme="1"/>
      <name val="Calibri"/>
    </font>
    <font>
      <b/>
      <color rgb="FFFF0000"/>
      <name val="Calibri"/>
    </font>
    <font>
      <color theme="1"/>
      <name val="Calibri"/>
      <scheme val="minor"/>
    </font>
    <font>
      <sz val="11.0"/>
      <color rgb="FFFF0000"/>
      <name val="Calibri"/>
    </font>
    <font>
      <color rgb="FF000000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59D1E5"/>
        <bgColor rgb="FF59D1E5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ABF8F"/>
        <bgColor rgb="FFFABF8F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/>
    </xf>
    <xf borderId="1" fillId="3" fontId="4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wrapText="1"/>
    </xf>
    <xf borderId="4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/>
    </xf>
    <xf borderId="4" fillId="0" fontId="3" numFmtId="10" xfId="0" applyAlignment="1" applyBorder="1" applyFont="1" applyNumberFormat="1">
      <alignment horizontal="center"/>
    </xf>
    <xf borderId="4" fillId="5" fontId="3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6" fontId="3" numFmtId="0" xfId="0" applyAlignment="1" applyBorder="1" applyFill="1" applyFont="1">
      <alignment horizontal="center"/>
    </xf>
    <xf borderId="4" fillId="0" fontId="9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0" fontId="5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readingOrder="0" shrinkToFit="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11" numFmtId="0" xfId="0" applyFont="1"/>
    <xf borderId="0" fillId="7" fontId="3" numFmtId="0" xfId="0" applyFill="1" applyFont="1"/>
    <xf borderId="1" fillId="3" fontId="4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4" fillId="0" fontId="12" numFmtId="0" xfId="0" applyAlignment="1" applyBorder="1" applyFont="1">
      <alignment horizontal="center"/>
    </xf>
    <xf borderId="4" fillId="0" fontId="12" numFmtId="10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0" fontId="3" numFmtId="10" xfId="0" applyBorder="1" applyFont="1" applyNumberFormat="1"/>
    <xf borderId="1" fillId="3" fontId="13" numFmtId="0" xfId="0" applyAlignment="1" applyBorder="1" applyFont="1">
      <alignment horizontal="center" vertical="bottom"/>
    </xf>
    <xf borderId="4" fillId="6" fontId="8" numFmtId="0" xfId="0" applyAlignment="1" applyBorder="1" applyFont="1">
      <alignment horizontal="center" vertical="bottom"/>
    </xf>
    <xf borderId="4" fillId="5" fontId="8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/>
    </xf>
    <xf borderId="1" fillId="3" fontId="14" numFmtId="0" xfId="0" applyAlignment="1" applyBorder="1" applyFont="1">
      <alignment horizontal="center"/>
    </xf>
    <xf borderId="0" fillId="0" fontId="14" numFmtId="0" xfId="0" applyFont="1"/>
    <xf borderId="4" fillId="8" fontId="3" numFmtId="0" xfId="0" applyAlignment="1" applyBorder="1" applyFill="1" applyFont="1">
      <alignment horizontal="center"/>
    </xf>
    <xf borderId="4" fillId="0" fontId="14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4" fillId="9" fontId="5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ont="1">
      <alignment horizontal="left" shrinkToFit="0" vertical="center" wrapText="1"/>
    </xf>
    <xf borderId="4" fillId="9" fontId="5" numFmtId="0" xfId="0" applyAlignment="1" applyBorder="1" applyFont="1">
      <alignment horizontal="center" vertical="center"/>
    </xf>
    <xf borderId="4" fillId="10" fontId="5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4" fillId="0" fontId="8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readingOrder="0" shrinkToFit="0" vertical="bottom" wrapText="1"/>
    </xf>
    <xf borderId="4" fillId="0" fontId="8" numFmtId="0" xfId="0" applyAlignment="1" applyBorder="1" applyFont="1">
      <alignment horizontal="center" readingOrder="0" vertical="center"/>
    </xf>
    <xf borderId="4" fillId="0" fontId="8" numFmtId="164" xfId="0" applyAlignment="1" applyBorder="1" applyFont="1" applyNumberFormat="1">
      <alignment horizontal="center" shrinkToFit="0" vertical="center" wrapText="1"/>
    </xf>
    <xf borderId="4" fillId="0" fontId="15" numFmtId="0" xfId="0" applyAlignment="1" applyBorder="1" applyFont="1">
      <alignment readingOrder="0" shrinkToFit="0" vertical="bottom" wrapText="1"/>
    </xf>
    <xf borderId="4" fillId="0" fontId="8" numFmtId="0" xfId="0" applyAlignment="1" applyBorder="1" applyFont="1">
      <alignment horizontal="center" shrinkToFit="0" vertical="bottom" wrapText="0"/>
    </xf>
    <xf borderId="4" fillId="11" fontId="16" numFmtId="0" xfId="0" applyAlignment="1" applyBorder="1" applyFill="1" applyFont="1">
      <alignment horizontal="center" readingOrder="0" shrinkToFit="0" vertical="bottom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shrinkToFit="0" wrapText="1"/>
    </xf>
    <xf borderId="4" fillId="0" fontId="17" numFmtId="0" xfId="0" applyAlignment="1" applyBorder="1" applyFont="1">
      <alignment horizontal="center" readingOrder="0" shrinkToFit="0" vertical="center" wrapText="1"/>
    </xf>
    <xf borderId="4" fillId="11" fontId="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4" fillId="11" fontId="8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0" fontId="8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cloudwarriors-ai/zoom_presales_django/issues/163" TargetMode="External"/><Relationship Id="rId194" Type="http://schemas.openxmlformats.org/officeDocument/2006/relationships/hyperlink" Target="https://github.com/cloudwarriors-ai/zoom_presales_django/issues/159" TargetMode="External"/><Relationship Id="rId193" Type="http://schemas.openxmlformats.org/officeDocument/2006/relationships/hyperlink" Target="https://github.com/cloudwarriors-ai/zoom_presales_django/issues/160" TargetMode="External"/><Relationship Id="rId192" Type="http://schemas.openxmlformats.org/officeDocument/2006/relationships/hyperlink" Target="https://github.com/cloudwarriors-ai/zoom_presales_django/issues/161" TargetMode="External"/><Relationship Id="rId191" Type="http://schemas.openxmlformats.org/officeDocument/2006/relationships/hyperlink" Target="https://github.com/cloudwarriors-ai/zoom_presales_django/issues/162" TargetMode="External"/><Relationship Id="rId187" Type="http://schemas.openxmlformats.org/officeDocument/2006/relationships/hyperlink" Target="https://github.com/cloudwarriors-ai/zoom_presales_django/issues/169" TargetMode="External"/><Relationship Id="rId186" Type="http://schemas.openxmlformats.org/officeDocument/2006/relationships/hyperlink" Target="https://github.com/cloudwarriors-ai/zoom_presales_django/issues/170" TargetMode="External"/><Relationship Id="rId185" Type="http://schemas.openxmlformats.org/officeDocument/2006/relationships/hyperlink" Target="https://github.com/cloudwarriors-ai/zoom_presales_django/issues/171" TargetMode="External"/><Relationship Id="rId184" Type="http://schemas.openxmlformats.org/officeDocument/2006/relationships/hyperlink" Target="https://github.com/cloudwarriors-ai/zoom_presales_django/issues/172" TargetMode="External"/><Relationship Id="rId189" Type="http://schemas.openxmlformats.org/officeDocument/2006/relationships/hyperlink" Target="https://github.com/cloudwarriors-ai/zoom_presales_django/issues/164" TargetMode="External"/><Relationship Id="rId188" Type="http://schemas.openxmlformats.org/officeDocument/2006/relationships/hyperlink" Target="https://github.com/cloudwarriors-ai/zoom_presales_django/issues/165" TargetMode="External"/><Relationship Id="rId183" Type="http://schemas.openxmlformats.org/officeDocument/2006/relationships/hyperlink" Target="https://github.com/cloudwarriors-ai/zoom_presales_django/issues/173" TargetMode="External"/><Relationship Id="rId182" Type="http://schemas.openxmlformats.org/officeDocument/2006/relationships/hyperlink" Target="https://github.com/cloudwarriors-ai/zoom_presales_django/issues/174" TargetMode="External"/><Relationship Id="rId181" Type="http://schemas.openxmlformats.org/officeDocument/2006/relationships/hyperlink" Target="https://github.com/cloudwarriors-ai/zoom_presales_django/issues/175" TargetMode="External"/><Relationship Id="rId180" Type="http://schemas.openxmlformats.org/officeDocument/2006/relationships/hyperlink" Target="https://github.com/cloudwarriors-ai/zoom_presales_django/issues/176" TargetMode="External"/><Relationship Id="rId176" Type="http://schemas.openxmlformats.org/officeDocument/2006/relationships/hyperlink" Target="https://github.com/cloudwarriors-ai/zoom_presales_django/issues/180" TargetMode="External"/><Relationship Id="rId175" Type="http://schemas.openxmlformats.org/officeDocument/2006/relationships/hyperlink" Target="https://github.com/cloudwarriors-ai/zoom_presales_django/issues/181" TargetMode="External"/><Relationship Id="rId174" Type="http://schemas.openxmlformats.org/officeDocument/2006/relationships/hyperlink" Target="https://github.com/cloudwarriors-ai/zoom_presales_django/issues/186" TargetMode="External"/><Relationship Id="rId173" Type="http://schemas.openxmlformats.org/officeDocument/2006/relationships/hyperlink" Target="https://github.com/cloudwarriors-ai/zoom_presales_django/issues/187" TargetMode="External"/><Relationship Id="rId179" Type="http://schemas.openxmlformats.org/officeDocument/2006/relationships/hyperlink" Target="https://github.com/cloudwarriors-ai/zoom_presales_django/issues/177" TargetMode="External"/><Relationship Id="rId178" Type="http://schemas.openxmlformats.org/officeDocument/2006/relationships/hyperlink" Target="https://github.com/cloudwarriors-ai/zoom_presales_django/issues/178" TargetMode="External"/><Relationship Id="rId177" Type="http://schemas.openxmlformats.org/officeDocument/2006/relationships/hyperlink" Target="https://github.com/cloudwarriors-ai/zoom_presales_django/issues/179" TargetMode="External"/><Relationship Id="rId198" Type="http://schemas.openxmlformats.org/officeDocument/2006/relationships/hyperlink" Target="https://github.com/cloudwarriors-ai/zoom_presales_django/issues/150" TargetMode="External"/><Relationship Id="rId197" Type="http://schemas.openxmlformats.org/officeDocument/2006/relationships/hyperlink" Target="https://github.com/cloudwarriors-ai/zoom_presales_django/issues/154" TargetMode="External"/><Relationship Id="rId196" Type="http://schemas.openxmlformats.org/officeDocument/2006/relationships/hyperlink" Target="https://github.com/cloudwarriors-ai/zoom_presales_django/issues/157" TargetMode="External"/><Relationship Id="rId195" Type="http://schemas.openxmlformats.org/officeDocument/2006/relationships/hyperlink" Target="https://github.com/cloudwarriors-ai/zoom_presales_django/issues/158" TargetMode="External"/><Relationship Id="rId199" Type="http://schemas.openxmlformats.org/officeDocument/2006/relationships/hyperlink" Target="https://github.com/cloudwarriors-ai/zoom_presales_django/issues/149" TargetMode="External"/><Relationship Id="rId150" Type="http://schemas.openxmlformats.org/officeDocument/2006/relationships/hyperlink" Target="https://github.com/cloudwarriors-ai/zoom_presales_django/issues/234" TargetMode="External"/><Relationship Id="rId392" Type="http://schemas.openxmlformats.org/officeDocument/2006/relationships/hyperlink" Target="https://github.com/cloudwarriors-ai/rapture/issues/57" TargetMode="External"/><Relationship Id="rId391" Type="http://schemas.openxmlformats.org/officeDocument/2006/relationships/hyperlink" Target="https://github.com/cloudwarriors-ai/rapture/issues/58" TargetMode="External"/><Relationship Id="rId390" Type="http://schemas.openxmlformats.org/officeDocument/2006/relationships/hyperlink" Target="https://github.com/cloudwarriors-ai/rapture/issues/59" TargetMode="External"/><Relationship Id="rId1" Type="http://schemas.openxmlformats.org/officeDocument/2006/relationships/hyperlink" Target="https://github.com/cloudwarriors-ai/cw-automation-station/issues/26" TargetMode="External"/><Relationship Id="rId2" Type="http://schemas.openxmlformats.org/officeDocument/2006/relationships/hyperlink" Target="https://github.com/cloudwarriors-ai/cw-automation-station/issues/25" TargetMode="External"/><Relationship Id="rId3" Type="http://schemas.openxmlformats.org/officeDocument/2006/relationships/hyperlink" Target="https://github.com/cloudwarriors-ai/cw-automation-station/issues/24" TargetMode="External"/><Relationship Id="rId149" Type="http://schemas.openxmlformats.org/officeDocument/2006/relationships/hyperlink" Target="https://github.com/cloudwarriors-ai/zoom_presales_django/issues/243" TargetMode="External"/><Relationship Id="rId4" Type="http://schemas.openxmlformats.org/officeDocument/2006/relationships/hyperlink" Target="https://github.com/cloudwarriors-ai/cw-automation-station/issues/15" TargetMode="External"/><Relationship Id="rId148" Type="http://schemas.openxmlformats.org/officeDocument/2006/relationships/hyperlink" Target="https://github.com/cloudwarriors-ai/zoom_presales_django/issues/245" TargetMode="External"/><Relationship Id="rId9" Type="http://schemas.openxmlformats.org/officeDocument/2006/relationships/hyperlink" Target="https://github.com/cloudwarriors-ai/cw-automation-station/issues/4" TargetMode="External"/><Relationship Id="rId143" Type="http://schemas.openxmlformats.org/officeDocument/2006/relationships/hyperlink" Target="https://github.com/cloudwarriors-ai/zoom_presales_django/issues/253" TargetMode="External"/><Relationship Id="rId385" Type="http://schemas.openxmlformats.org/officeDocument/2006/relationships/hyperlink" Target="https://github.com/cloudwarriors-ai/rapture/issues/66" TargetMode="External"/><Relationship Id="rId142" Type="http://schemas.openxmlformats.org/officeDocument/2006/relationships/hyperlink" Target="https://github.com/cloudwarriors-ai/zoom_presales_django/issues/264" TargetMode="External"/><Relationship Id="rId384" Type="http://schemas.openxmlformats.org/officeDocument/2006/relationships/hyperlink" Target="https://github.com/cloudwarriors-ai/rapture/issues/67" TargetMode="External"/><Relationship Id="rId141" Type="http://schemas.openxmlformats.org/officeDocument/2006/relationships/hyperlink" Target="https://github.com/cloudwarriors-ai/zoom_presales_django/issues/265" TargetMode="External"/><Relationship Id="rId383" Type="http://schemas.openxmlformats.org/officeDocument/2006/relationships/hyperlink" Target="https://github.com/cloudwarriors-ai/rapture/issues/68" TargetMode="External"/><Relationship Id="rId140" Type="http://schemas.openxmlformats.org/officeDocument/2006/relationships/hyperlink" Target="https://github.com/cloudwarriors-ai/zoom_presales_django/issues/280" TargetMode="External"/><Relationship Id="rId382" Type="http://schemas.openxmlformats.org/officeDocument/2006/relationships/hyperlink" Target="https://github.com/cloudwarriors-ai/rapture/issues/69" TargetMode="External"/><Relationship Id="rId5" Type="http://schemas.openxmlformats.org/officeDocument/2006/relationships/hyperlink" Target="https://github.com/cloudwarriors-ai/cw-automation-station/issues/11" TargetMode="External"/><Relationship Id="rId147" Type="http://schemas.openxmlformats.org/officeDocument/2006/relationships/hyperlink" Target="https://github.com/cloudwarriors-ai/zoom_presales_django/issues/249" TargetMode="External"/><Relationship Id="rId389" Type="http://schemas.openxmlformats.org/officeDocument/2006/relationships/hyperlink" Target="https://github.com/cloudwarriors-ai/rapture/issues/60" TargetMode="External"/><Relationship Id="rId6" Type="http://schemas.openxmlformats.org/officeDocument/2006/relationships/hyperlink" Target="https://github.com/cloudwarriors-ai/cw-automation-station/issues/8" TargetMode="External"/><Relationship Id="rId146" Type="http://schemas.openxmlformats.org/officeDocument/2006/relationships/hyperlink" Target="https://github.com/cloudwarriors-ai/zoom_presales_django/issues/250" TargetMode="External"/><Relationship Id="rId388" Type="http://schemas.openxmlformats.org/officeDocument/2006/relationships/hyperlink" Target="https://github.com/cloudwarriors-ai/rapture/issues/61" TargetMode="External"/><Relationship Id="rId7" Type="http://schemas.openxmlformats.org/officeDocument/2006/relationships/hyperlink" Target="https://github.com/cloudwarriors-ai/cw-automation-station/issues/7" TargetMode="External"/><Relationship Id="rId145" Type="http://schemas.openxmlformats.org/officeDocument/2006/relationships/hyperlink" Target="https://github.com/cloudwarriors-ai/zoom_presales_django/issues/251" TargetMode="External"/><Relationship Id="rId387" Type="http://schemas.openxmlformats.org/officeDocument/2006/relationships/hyperlink" Target="https://github.com/cloudwarriors-ai/rapture/issues/63" TargetMode="External"/><Relationship Id="rId8" Type="http://schemas.openxmlformats.org/officeDocument/2006/relationships/hyperlink" Target="https://github.com/cloudwarriors-ai/cw-automation-station/issues/5" TargetMode="External"/><Relationship Id="rId144" Type="http://schemas.openxmlformats.org/officeDocument/2006/relationships/hyperlink" Target="https://github.com/cloudwarriors-ai/zoom_presales_django/issues/252" TargetMode="External"/><Relationship Id="rId386" Type="http://schemas.openxmlformats.org/officeDocument/2006/relationships/hyperlink" Target="https://github.com/cloudwarriors-ai/rapture/issues/64" TargetMode="External"/><Relationship Id="rId381" Type="http://schemas.openxmlformats.org/officeDocument/2006/relationships/hyperlink" Target="https://github.com/cloudwarriors-ai/rapture/issues/70" TargetMode="External"/><Relationship Id="rId380" Type="http://schemas.openxmlformats.org/officeDocument/2006/relationships/hyperlink" Target="https://github.com/cloudwarriors-ai/rapture/issues/71" TargetMode="External"/><Relationship Id="rId139" Type="http://schemas.openxmlformats.org/officeDocument/2006/relationships/hyperlink" Target="https://github.com/cloudwarriors-ai/zoom_presales_django/issues/281" TargetMode="External"/><Relationship Id="rId138" Type="http://schemas.openxmlformats.org/officeDocument/2006/relationships/hyperlink" Target="https://github.com/cloudwarriors-ai/zoom_presales_django/issues/282" TargetMode="External"/><Relationship Id="rId137" Type="http://schemas.openxmlformats.org/officeDocument/2006/relationships/hyperlink" Target="https://github.com/cloudwarriors-ai/zoom_presales_django/issues/283" TargetMode="External"/><Relationship Id="rId379" Type="http://schemas.openxmlformats.org/officeDocument/2006/relationships/hyperlink" Target="https://github.com/cloudwarriors-ai/rapture/issues/72" TargetMode="External"/><Relationship Id="rId132" Type="http://schemas.openxmlformats.org/officeDocument/2006/relationships/hyperlink" Target="https://github.com/cloudwarriors-ai/zoom_presales_django/issues/288" TargetMode="External"/><Relationship Id="rId374" Type="http://schemas.openxmlformats.org/officeDocument/2006/relationships/hyperlink" Target="https://github.com/cloudwarriors-ai/codename_wad/issues/4" TargetMode="External"/><Relationship Id="rId131" Type="http://schemas.openxmlformats.org/officeDocument/2006/relationships/hyperlink" Target="https://github.com/cloudwarriors-ai/zoom_presales_django/issues/289" TargetMode="External"/><Relationship Id="rId373" Type="http://schemas.openxmlformats.org/officeDocument/2006/relationships/hyperlink" Target="https://github.com/cloudwarriors-ai/codename_wad/issues/5" TargetMode="External"/><Relationship Id="rId130" Type="http://schemas.openxmlformats.org/officeDocument/2006/relationships/hyperlink" Target="https://github.com/cloudwarriors-ai/zoom_presales_django/issues/290" TargetMode="External"/><Relationship Id="rId372" Type="http://schemas.openxmlformats.org/officeDocument/2006/relationships/hyperlink" Target="https://github.com/cloudwarriors-ai/codename_wad/issues/6" TargetMode="External"/><Relationship Id="rId371" Type="http://schemas.openxmlformats.org/officeDocument/2006/relationships/hyperlink" Target="https://github.com/cloudwarriors-ai/codename_wad/issues/10" TargetMode="External"/><Relationship Id="rId136" Type="http://schemas.openxmlformats.org/officeDocument/2006/relationships/hyperlink" Target="https://github.com/cloudwarriors-ai/zoom_presales_django/issues/284" TargetMode="External"/><Relationship Id="rId378" Type="http://schemas.openxmlformats.org/officeDocument/2006/relationships/hyperlink" Target="https://github.com/cloudwarriors-ai/rapture/issues/73" TargetMode="External"/><Relationship Id="rId135" Type="http://schemas.openxmlformats.org/officeDocument/2006/relationships/hyperlink" Target="https://github.com/cloudwarriors-ai/zoom_presales_django/issues/285" TargetMode="External"/><Relationship Id="rId377" Type="http://schemas.openxmlformats.org/officeDocument/2006/relationships/hyperlink" Target="https://github.com/cloudwarriors-ai/rapture/issues/75" TargetMode="External"/><Relationship Id="rId134" Type="http://schemas.openxmlformats.org/officeDocument/2006/relationships/hyperlink" Target="https://github.com/cloudwarriors-ai/zoom_presales_django/issues/286" TargetMode="External"/><Relationship Id="rId376" Type="http://schemas.openxmlformats.org/officeDocument/2006/relationships/hyperlink" Target="https://github.com/cloudwarriors-ai/rapture/issues/76" TargetMode="External"/><Relationship Id="rId133" Type="http://schemas.openxmlformats.org/officeDocument/2006/relationships/hyperlink" Target="https://github.com/cloudwarriors-ai/zoom_presales_django/issues/287" TargetMode="External"/><Relationship Id="rId375" Type="http://schemas.openxmlformats.org/officeDocument/2006/relationships/hyperlink" Target="https://github.com/cloudwarriors-ai/rapture/issues/77" TargetMode="External"/><Relationship Id="rId172" Type="http://schemas.openxmlformats.org/officeDocument/2006/relationships/hyperlink" Target="https://github.com/cloudwarriors-ai/zoom_presales_django/issues/188" TargetMode="External"/><Relationship Id="rId171" Type="http://schemas.openxmlformats.org/officeDocument/2006/relationships/hyperlink" Target="https://github.com/cloudwarriors-ai/zoom_presales_django/issues/189" TargetMode="External"/><Relationship Id="rId170" Type="http://schemas.openxmlformats.org/officeDocument/2006/relationships/hyperlink" Target="https://github.com/cloudwarriors-ai/zoom_presales_django/issues/194" TargetMode="External"/><Relationship Id="rId165" Type="http://schemas.openxmlformats.org/officeDocument/2006/relationships/hyperlink" Target="https://github.com/cloudwarriors-ai/zoom_presales_django/issues/199" TargetMode="External"/><Relationship Id="rId164" Type="http://schemas.openxmlformats.org/officeDocument/2006/relationships/hyperlink" Target="https://github.com/cloudwarriors-ai/zoom_presales_django/issues/201" TargetMode="External"/><Relationship Id="rId163" Type="http://schemas.openxmlformats.org/officeDocument/2006/relationships/hyperlink" Target="https://github.com/cloudwarriors-ai/zoom_presales_django/issues/202" TargetMode="External"/><Relationship Id="rId162" Type="http://schemas.openxmlformats.org/officeDocument/2006/relationships/hyperlink" Target="https://github.com/cloudwarriors-ai/zoom_presales_django/issues/215" TargetMode="External"/><Relationship Id="rId169" Type="http://schemas.openxmlformats.org/officeDocument/2006/relationships/hyperlink" Target="https://github.com/cloudwarriors-ai/zoom_presales_django/issues/195" TargetMode="External"/><Relationship Id="rId168" Type="http://schemas.openxmlformats.org/officeDocument/2006/relationships/hyperlink" Target="https://github.com/cloudwarriors-ai/zoom_presales_django/issues/196" TargetMode="External"/><Relationship Id="rId167" Type="http://schemas.openxmlformats.org/officeDocument/2006/relationships/hyperlink" Target="https://github.com/cloudwarriors-ai/zoom_presales_django/issues/197" TargetMode="External"/><Relationship Id="rId166" Type="http://schemas.openxmlformats.org/officeDocument/2006/relationships/hyperlink" Target="https://github.com/cloudwarriors-ai/zoom_presales_django/issues/198" TargetMode="External"/><Relationship Id="rId161" Type="http://schemas.openxmlformats.org/officeDocument/2006/relationships/hyperlink" Target="https://github.com/cloudwarriors-ai/zoom_presales_django/issues/217" TargetMode="External"/><Relationship Id="rId160" Type="http://schemas.openxmlformats.org/officeDocument/2006/relationships/hyperlink" Target="https://github.com/cloudwarriors-ai/zoom_presales_django/issues/218" TargetMode="External"/><Relationship Id="rId159" Type="http://schemas.openxmlformats.org/officeDocument/2006/relationships/hyperlink" Target="https://github.com/cloudwarriors-ai/zoom_presales_django/issues/219" TargetMode="External"/><Relationship Id="rId154" Type="http://schemas.openxmlformats.org/officeDocument/2006/relationships/hyperlink" Target="https://github.com/cloudwarriors-ai/zoom_presales_django/issues/226" TargetMode="External"/><Relationship Id="rId396" Type="http://schemas.openxmlformats.org/officeDocument/2006/relationships/hyperlink" Target="https://github.com/cloudwarriors-ai/rapture/issues/52" TargetMode="External"/><Relationship Id="rId153" Type="http://schemas.openxmlformats.org/officeDocument/2006/relationships/hyperlink" Target="https://github.com/cloudwarriors-ai/zoom_presales_django/issues/231" TargetMode="External"/><Relationship Id="rId395" Type="http://schemas.openxmlformats.org/officeDocument/2006/relationships/hyperlink" Target="https://github.com/cloudwarriors-ai/rapture/issues/53" TargetMode="External"/><Relationship Id="rId152" Type="http://schemas.openxmlformats.org/officeDocument/2006/relationships/hyperlink" Target="https://github.com/cloudwarriors-ai/zoom_presales_django/issues/232" TargetMode="External"/><Relationship Id="rId394" Type="http://schemas.openxmlformats.org/officeDocument/2006/relationships/hyperlink" Target="https://github.com/cloudwarriors-ai/rapture/issues/54" TargetMode="External"/><Relationship Id="rId151" Type="http://schemas.openxmlformats.org/officeDocument/2006/relationships/hyperlink" Target="https://github.com/cloudwarriors-ai/zoom_presales_django/issues/233" TargetMode="External"/><Relationship Id="rId393" Type="http://schemas.openxmlformats.org/officeDocument/2006/relationships/hyperlink" Target="https://github.com/cloudwarriors-ai/rapture/issues/56" TargetMode="External"/><Relationship Id="rId158" Type="http://schemas.openxmlformats.org/officeDocument/2006/relationships/hyperlink" Target="https://github.com/cloudwarriors-ai/zoom_presales_django/issues/220" TargetMode="External"/><Relationship Id="rId157" Type="http://schemas.openxmlformats.org/officeDocument/2006/relationships/hyperlink" Target="https://github.com/cloudwarriors-ai/zoom_presales_django/issues/221" TargetMode="External"/><Relationship Id="rId399" Type="http://schemas.openxmlformats.org/officeDocument/2006/relationships/hyperlink" Target="https://github.com/cloudwarriors-ai/rapture/issues/41" TargetMode="External"/><Relationship Id="rId156" Type="http://schemas.openxmlformats.org/officeDocument/2006/relationships/hyperlink" Target="https://github.com/cloudwarriors-ai/zoom_presales_django/issues/224" TargetMode="External"/><Relationship Id="rId398" Type="http://schemas.openxmlformats.org/officeDocument/2006/relationships/hyperlink" Target="https://github.com/cloudwarriors-ai/rapture/issues/44" TargetMode="External"/><Relationship Id="rId155" Type="http://schemas.openxmlformats.org/officeDocument/2006/relationships/hyperlink" Target="https://github.com/cloudwarriors-ai/zoom_presales_django/issues/225" TargetMode="External"/><Relationship Id="rId397" Type="http://schemas.openxmlformats.org/officeDocument/2006/relationships/hyperlink" Target="https://github.com/cloudwarriors-ai/rapture/issues/48" TargetMode="External"/><Relationship Id="rId808" Type="http://schemas.openxmlformats.org/officeDocument/2006/relationships/hyperlink" Target="https://github.com/cloudwarriors-ai/chadwick/issues/1" TargetMode="External"/><Relationship Id="rId807" Type="http://schemas.openxmlformats.org/officeDocument/2006/relationships/hyperlink" Target="https://github.com/cloudwarriors-ai/github_review_build_test/issues/2" TargetMode="External"/><Relationship Id="rId806" Type="http://schemas.openxmlformats.org/officeDocument/2006/relationships/hyperlink" Target="https://github.com/cloudwarriors-ai/github_review_build_test/issues/3" TargetMode="External"/><Relationship Id="rId805" Type="http://schemas.openxmlformats.org/officeDocument/2006/relationships/hyperlink" Target="https://github.com/cloudwarriors-ai/github_review_build_test/issues/4" TargetMode="External"/><Relationship Id="rId809" Type="http://schemas.openxmlformats.org/officeDocument/2006/relationships/hyperlink" Target="https://github.com/cloudwarriors-ai/support/issues/1" TargetMode="External"/><Relationship Id="rId800" Type="http://schemas.openxmlformats.org/officeDocument/2006/relationships/hyperlink" Target="https://github.com/cloudwarriors-ai/github_review_build_test/issues/13" TargetMode="External"/><Relationship Id="rId804" Type="http://schemas.openxmlformats.org/officeDocument/2006/relationships/hyperlink" Target="https://github.com/cloudwarriors-ai/github_review_build_test/issues/9" TargetMode="External"/><Relationship Id="rId803" Type="http://schemas.openxmlformats.org/officeDocument/2006/relationships/hyperlink" Target="https://github.com/cloudwarriors-ai/github_review_build_test/issues/10" TargetMode="External"/><Relationship Id="rId802" Type="http://schemas.openxmlformats.org/officeDocument/2006/relationships/hyperlink" Target="https://github.com/cloudwarriors-ai/github_review_build_test/issues/11" TargetMode="External"/><Relationship Id="rId801" Type="http://schemas.openxmlformats.org/officeDocument/2006/relationships/hyperlink" Target="https://github.com/cloudwarriors-ai/github_review_build_test/issues/12" TargetMode="External"/><Relationship Id="rId40" Type="http://schemas.openxmlformats.org/officeDocument/2006/relationships/hyperlink" Target="https://github.com/cloudwarriors-ai/zoom_presales_django/issues/392" TargetMode="External"/><Relationship Id="rId42" Type="http://schemas.openxmlformats.org/officeDocument/2006/relationships/hyperlink" Target="https://github.com/cloudwarriors-ai/zoom_presales_django/issues/390" TargetMode="External"/><Relationship Id="rId41" Type="http://schemas.openxmlformats.org/officeDocument/2006/relationships/hyperlink" Target="https://github.com/cloudwarriors-ai/zoom_presales_django/issues/391" TargetMode="External"/><Relationship Id="rId44" Type="http://schemas.openxmlformats.org/officeDocument/2006/relationships/hyperlink" Target="https://github.com/cloudwarriors-ai/zoom_presales_django/issues/387" TargetMode="External"/><Relationship Id="rId43" Type="http://schemas.openxmlformats.org/officeDocument/2006/relationships/hyperlink" Target="https://github.com/cloudwarriors-ai/zoom_presales_django/issues/388" TargetMode="External"/><Relationship Id="rId46" Type="http://schemas.openxmlformats.org/officeDocument/2006/relationships/hyperlink" Target="https://github.com/cloudwarriors-ai/zoom_presales_django/issues/385" TargetMode="External"/><Relationship Id="rId45" Type="http://schemas.openxmlformats.org/officeDocument/2006/relationships/hyperlink" Target="https://github.com/cloudwarriors-ai/zoom_presales_django/issues/386" TargetMode="External"/><Relationship Id="rId509" Type="http://schemas.openxmlformats.org/officeDocument/2006/relationships/hyperlink" Target="https://github.com/cloudwarriors-ai/rapture-frontend/issues/14" TargetMode="External"/><Relationship Id="rId508" Type="http://schemas.openxmlformats.org/officeDocument/2006/relationships/hyperlink" Target="https://github.com/cloudwarriors-ai/rapture-frontend/issues/15" TargetMode="External"/><Relationship Id="rId503" Type="http://schemas.openxmlformats.org/officeDocument/2006/relationships/hyperlink" Target="https://github.com/cloudwarriors-ai/rapture-frontend/issues/20" TargetMode="External"/><Relationship Id="rId745" Type="http://schemas.openxmlformats.org/officeDocument/2006/relationships/hyperlink" Target="https://github.com/cloudwarriors-ai/zoomwarriors_2/issues/76" TargetMode="External"/><Relationship Id="rId502" Type="http://schemas.openxmlformats.org/officeDocument/2006/relationships/hyperlink" Target="https://github.com/cloudwarriors-ai/rapture-frontend/issues/21" TargetMode="External"/><Relationship Id="rId744" Type="http://schemas.openxmlformats.org/officeDocument/2006/relationships/hyperlink" Target="https://github.com/cloudwarriors-ai/zoomwarriors_2/issues/77" TargetMode="External"/><Relationship Id="rId501" Type="http://schemas.openxmlformats.org/officeDocument/2006/relationships/hyperlink" Target="https://github.com/cloudwarriors-ai/rapture-frontend/issues/22" TargetMode="External"/><Relationship Id="rId743" Type="http://schemas.openxmlformats.org/officeDocument/2006/relationships/hyperlink" Target="https://github.com/cloudwarriors-ai/zoomwarriors_2/issues/79" TargetMode="External"/><Relationship Id="rId500" Type="http://schemas.openxmlformats.org/officeDocument/2006/relationships/hyperlink" Target="https://github.com/cloudwarriors-ai/rapture-frontend/issues/23" TargetMode="External"/><Relationship Id="rId742" Type="http://schemas.openxmlformats.org/officeDocument/2006/relationships/hyperlink" Target="https://github.com/cloudwarriors-ai/zoomwarriors_2/issues/80" TargetMode="External"/><Relationship Id="rId507" Type="http://schemas.openxmlformats.org/officeDocument/2006/relationships/hyperlink" Target="https://github.com/cloudwarriors-ai/rapture-frontend/issues/16" TargetMode="External"/><Relationship Id="rId749" Type="http://schemas.openxmlformats.org/officeDocument/2006/relationships/hyperlink" Target="https://github.com/cloudwarriors-ai/zoomwarriors_2/issues/63" TargetMode="External"/><Relationship Id="rId506" Type="http://schemas.openxmlformats.org/officeDocument/2006/relationships/hyperlink" Target="https://github.com/cloudwarriors-ai/rapture-frontend/issues/17" TargetMode="External"/><Relationship Id="rId748" Type="http://schemas.openxmlformats.org/officeDocument/2006/relationships/hyperlink" Target="https://github.com/cloudwarriors-ai/zoomwarriors_2/issues/67" TargetMode="External"/><Relationship Id="rId505" Type="http://schemas.openxmlformats.org/officeDocument/2006/relationships/hyperlink" Target="https://github.com/cloudwarriors-ai/rapture-frontend/issues/18" TargetMode="External"/><Relationship Id="rId747" Type="http://schemas.openxmlformats.org/officeDocument/2006/relationships/hyperlink" Target="https://github.com/cloudwarriors-ai/zoomwarriors_2/issues/71" TargetMode="External"/><Relationship Id="rId504" Type="http://schemas.openxmlformats.org/officeDocument/2006/relationships/hyperlink" Target="https://github.com/cloudwarriors-ai/rapture-frontend/issues/19" TargetMode="External"/><Relationship Id="rId746" Type="http://schemas.openxmlformats.org/officeDocument/2006/relationships/hyperlink" Target="https://github.com/cloudwarriors-ai/zoomwarriors_2/issues/72" TargetMode="External"/><Relationship Id="rId48" Type="http://schemas.openxmlformats.org/officeDocument/2006/relationships/hyperlink" Target="https://github.com/cloudwarriors-ai/zoom_presales_django/issues/383" TargetMode="External"/><Relationship Id="rId47" Type="http://schemas.openxmlformats.org/officeDocument/2006/relationships/hyperlink" Target="https://github.com/cloudwarriors-ai/zoom_presales_django/issues/384" TargetMode="External"/><Relationship Id="rId49" Type="http://schemas.openxmlformats.org/officeDocument/2006/relationships/hyperlink" Target="https://github.com/cloudwarriors-ai/zoom_presales_django/issues/382" TargetMode="External"/><Relationship Id="rId741" Type="http://schemas.openxmlformats.org/officeDocument/2006/relationships/hyperlink" Target="https://github.com/cloudwarriors-ai/zoomwarriors_2/issues/81" TargetMode="External"/><Relationship Id="rId740" Type="http://schemas.openxmlformats.org/officeDocument/2006/relationships/hyperlink" Target="https://github.com/cloudwarriors-ai/zoomwarriors_2/issues/82" TargetMode="External"/><Relationship Id="rId31" Type="http://schemas.openxmlformats.org/officeDocument/2006/relationships/hyperlink" Target="https://github.com/cloudwarriors-ai/zoom_presales_django/issues/403" TargetMode="External"/><Relationship Id="rId30" Type="http://schemas.openxmlformats.org/officeDocument/2006/relationships/hyperlink" Target="https://github.com/cloudwarriors-ai/zoom_presales_django/issues/404" TargetMode="External"/><Relationship Id="rId33" Type="http://schemas.openxmlformats.org/officeDocument/2006/relationships/hyperlink" Target="https://github.com/cloudwarriors-ai/zoom_presales_django/issues/400" TargetMode="External"/><Relationship Id="rId32" Type="http://schemas.openxmlformats.org/officeDocument/2006/relationships/hyperlink" Target="https://github.com/cloudwarriors-ai/zoom_presales_django/issues/401" TargetMode="External"/><Relationship Id="rId35" Type="http://schemas.openxmlformats.org/officeDocument/2006/relationships/hyperlink" Target="https://github.com/cloudwarriors-ai/zoom_presales_django/issues/397" TargetMode="External"/><Relationship Id="rId34" Type="http://schemas.openxmlformats.org/officeDocument/2006/relationships/hyperlink" Target="https://github.com/cloudwarriors-ai/zoom_presales_django/issues/398" TargetMode="External"/><Relationship Id="rId739" Type="http://schemas.openxmlformats.org/officeDocument/2006/relationships/hyperlink" Target="https://github.com/cloudwarriors-ai/zoomwarriors_2/issues/83" TargetMode="External"/><Relationship Id="rId734" Type="http://schemas.openxmlformats.org/officeDocument/2006/relationships/hyperlink" Target="https://github.com/cloudwarriors-ai/zoomwarriors_2/issues/94" TargetMode="External"/><Relationship Id="rId733" Type="http://schemas.openxmlformats.org/officeDocument/2006/relationships/hyperlink" Target="https://github.com/cloudwarriors-ai/zoomwarriors_2/issues/95" TargetMode="External"/><Relationship Id="rId732" Type="http://schemas.openxmlformats.org/officeDocument/2006/relationships/hyperlink" Target="https://github.com/cloudwarriors-ai/zoomwarriors_2/issues/96" TargetMode="External"/><Relationship Id="rId731" Type="http://schemas.openxmlformats.org/officeDocument/2006/relationships/hyperlink" Target="https://github.com/cloudwarriors-ai/zoomwarriors_2/issues/97" TargetMode="External"/><Relationship Id="rId738" Type="http://schemas.openxmlformats.org/officeDocument/2006/relationships/hyperlink" Target="https://github.com/cloudwarriors-ai/zoomwarriors_2/issues/84" TargetMode="External"/><Relationship Id="rId737" Type="http://schemas.openxmlformats.org/officeDocument/2006/relationships/hyperlink" Target="https://github.com/cloudwarriors-ai/zoomwarriors_2/issues/85" TargetMode="External"/><Relationship Id="rId736" Type="http://schemas.openxmlformats.org/officeDocument/2006/relationships/hyperlink" Target="https://github.com/cloudwarriors-ai/zoomwarriors_2/issues/87" TargetMode="External"/><Relationship Id="rId735" Type="http://schemas.openxmlformats.org/officeDocument/2006/relationships/hyperlink" Target="https://github.com/cloudwarriors-ai/zoomwarriors_2/issues/91" TargetMode="External"/><Relationship Id="rId37" Type="http://schemas.openxmlformats.org/officeDocument/2006/relationships/hyperlink" Target="https://github.com/cloudwarriors-ai/zoom_presales_django/issues/395" TargetMode="External"/><Relationship Id="rId36" Type="http://schemas.openxmlformats.org/officeDocument/2006/relationships/hyperlink" Target="https://github.com/cloudwarriors-ai/zoom_presales_django/issues/396" TargetMode="External"/><Relationship Id="rId39" Type="http://schemas.openxmlformats.org/officeDocument/2006/relationships/hyperlink" Target="https://github.com/cloudwarriors-ai/zoom_presales_django/issues/393" TargetMode="External"/><Relationship Id="rId38" Type="http://schemas.openxmlformats.org/officeDocument/2006/relationships/hyperlink" Target="https://github.com/cloudwarriors-ai/zoom_presales_django/issues/394" TargetMode="External"/><Relationship Id="rId730" Type="http://schemas.openxmlformats.org/officeDocument/2006/relationships/hyperlink" Target="https://github.com/cloudwarriors-ai/zoomwarriors_2/issues/98" TargetMode="External"/><Relationship Id="rId20" Type="http://schemas.openxmlformats.org/officeDocument/2006/relationships/hyperlink" Target="https://github.com/cloudwarriors-ai/automation-station/issues/36" TargetMode="External"/><Relationship Id="rId22" Type="http://schemas.openxmlformats.org/officeDocument/2006/relationships/hyperlink" Target="https://github.com/cloudwarriors-ai/zoom_presales_django/issues/431" TargetMode="External"/><Relationship Id="rId21" Type="http://schemas.openxmlformats.org/officeDocument/2006/relationships/hyperlink" Target="https://github.com/cloudwarriors-ai/zoom_presales_django/issues/432" TargetMode="External"/><Relationship Id="rId24" Type="http://schemas.openxmlformats.org/officeDocument/2006/relationships/hyperlink" Target="https://github.com/cloudwarriors-ai/zoom_presales_django/issues/424" TargetMode="External"/><Relationship Id="rId23" Type="http://schemas.openxmlformats.org/officeDocument/2006/relationships/hyperlink" Target="https://github.com/cloudwarriors-ai/zoom_presales_django/issues/427" TargetMode="External"/><Relationship Id="rId525" Type="http://schemas.openxmlformats.org/officeDocument/2006/relationships/hyperlink" Target="https://github.com/cloudwarriors-ai/tesseract/issues/195" TargetMode="External"/><Relationship Id="rId767" Type="http://schemas.openxmlformats.org/officeDocument/2006/relationships/hyperlink" Target="https://github.com/cloudwarriors-ai/zoomwarriors_2/issues/29" TargetMode="External"/><Relationship Id="rId524" Type="http://schemas.openxmlformats.org/officeDocument/2006/relationships/hyperlink" Target="https://github.com/cloudwarriors-ai/tesseract/issues/196" TargetMode="External"/><Relationship Id="rId766" Type="http://schemas.openxmlformats.org/officeDocument/2006/relationships/hyperlink" Target="https://github.com/cloudwarriors-ai/zoomwarriors_2/issues/31" TargetMode="External"/><Relationship Id="rId523" Type="http://schemas.openxmlformats.org/officeDocument/2006/relationships/hyperlink" Target="https://github.com/cloudwarriors-ai/tesseract/issues/197" TargetMode="External"/><Relationship Id="rId765" Type="http://schemas.openxmlformats.org/officeDocument/2006/relationships/hyperlink" Target="https://github.com/cloudwarriors-ai/zoomwarriors_2/issues/32" TargetMode="External"/><Relationship Id="rId522" Type="http://schemas.openxmlformats.org/officeDocument/2006/relationships/hyperlink" Target="https://github.com/cloudwarriors-ai/tesseract/issues/198" TargetMode="External"/><Relationship Id="rId764" Type="http://schemas.openxmlformats.org/officeDocument/2006/relationships/hyperlink" Target="https://github.com/cloudwarriors-ai/zoomwarriors_2/issues/34" TargetMode="External"/><Relationship Id="rId529" Type="http://schemas.openxmlformats.org/officeDocument/2006/relationships/hyperlink" Target="https://github.com/cloudwarriors-ai/tesseract/issues/191" TargetMode="External"/><Relationship Id="rId528" Type="http://schemas.openxmlformats.org/officeDocument/2006/relationships/hyperlink" Target="https://github.com/cloudwarriors-ai/tesseract/issues/192" TargetMode="External"/><Relationship Id="rId527" Type="http://schemas.openxmlformats.org/officeDocument/2006/relationships/hyperlink" Target="https://github.com/cloudwarriors-ai/tesseract/issues/193" TargetMode="External"/><Relationship Id="rId769" Type="http://schemas.openxmlformats.org/officeDocument/2006/relationships/hyperlink" Target="https://github.com/cloudwarriors-ai/zoomwarriors_2/issues/27" TargetMode="External"/><Relationship Id="rId526" Type="http://schemas.openxmlformats.org/officeDocument/2006/relationships/hyperlink" Target="https://github.com/cloudwarriors-ai/tesseract/issues/194" TargetMode="External"/><Relationship Id="rId768" Type="http://schemas.openxmlformats.org/officeDocument/2006/relationships/hyperlink" Target="https://github.com/cloudwarriors-ai/zoomwarriors_2/issues/28" TargetMode="External"/><Relationship Id="rId26" Type="http://schemas.openxmlformats.org/officeDocument/2006/relationships/hyperlink" Target="https://github.com/cloudwarriors-ai/zoom_presales_django/issues/418" TargetMode="External"/><Relationship Id="rId25" Type="http://schemas.openxmlformats.org/officeDocument/2006/relationships/hyperlink" Target="https://github.com/cloudwarriors-ai/zoom_presales_django/issues/422" TargetMode="External"/><Relationship Id="rId28" Type="http://schemas.openxmlformats.org/officeDocument/2006/relationships/hyperlink" Target="https://github.com/cloudwarriors-ai/zoom_presales_django/issues/406" TargetMode="External"/><Relationship Id="rId27" Type="http://schemas.openxmlformats.org/officeDocument/2006/relationships/hyperlink" Target="https://github.com/cloudwarriors-ai/zoom_presales_django/issues/407" TargetMode="External"/><Relationship Id="rId521" Type="http://schemas.openxmlformats.org/officeDocument/2006/relationships/hyperlink" Target="https://github.com/cloudwarriors-ai/tesseract/issues/199" TargetMode="External"/><Relationship Id="rId763" Type="http://schemas.openxmlformats.org/officeDocument/2006/relationships/hyperlink" Target="https://github.com/cloudwarriors-ai/zoomwarriors_2/issues/35" TargetMode="External"/><Relationship Id="rId29" Type="http://schemas.openxmlformats.org/officeDocument/2006/relationships/hyperlink" Target="https://github.com/cloudwarriors-ai/zoom_presales_django/issues/405" TargetMode="External"/><Relationship Id="rId520" Type="http://schemas.openxmlformats.org/officeDocument/2006/relationships/hyperlink" Target="https://github.com/cloudwarriors-ai/tesseract/issues/200" TargetMode="External"/><Relationship Id="rId762" Type="http://schemas.openxmlformats.org/officeDocument/2006/relationships/hyperlink" Target="https://github.com/cloudwarriors-ai/zoomwarriors_2/issues/36" TargetMode="External"/><Relationship Id="rId761" Type="http://schemas.openxmlformats.org/officeDocument/2006/relationships/hyperlink" Target="https://github.com/cloudwarriors-ai/zoomwarriors_2/issues/38" TargetMode="External"/><Relationship Id="rId760" Type="http://schemas.openxmlformats.org/officeDocument/2006/relationships/hyperlink" Target="https://github.com/cloudwarriors-ai/zoomwarriors_2/issues/39" TargetMode="External"/><Relationship Id="rId11" Type="http://schemas.openxmlformats.org/officeDocument/2006/relationships/hyperlink" Target="https://github.com/cloudwarriors-ai/cw-automation-station/issues/2" TargetMode="External"/><Relationship Id="rId10" Type="http://schemas.openxmlformats.org/officeDocument/2006/relationships/hyperlink" Target="https://github.com/cloudwarriors-ai/cw-automation-station/issues/3" TargetMode="External"/><Relationship Id="rId13" Type="http://schemas.openxmlformats.org/officeDocument/2006/relationships/hyperlink" Target="https://github.com/cloudwarriors-ai/automation-station/issues/58" TargetMode="External"/><Relationship Id="rId12" Type="http://schemas.openxmlformats.org/officeDocument/2006/relationships/hyperlink" Target="https://github.com/cloudwarriors-ai/cw-automation-station/issues/1" TargetMode="External"/><Relationship Id="rId519" Type="http://schemas.openxmlformats.org/officeDocument/2006/relationships/hyperlink" Target="https://github.com/cloudwarriors-ai/tesseract/issues/201" TargetMode="External"/><Relationship Id="rId514" Type="http://schemas.openxmlformats.org/officeDocument/2006/relationships/hyperlink" Target="https://github.com/cloudwarriors-ai/tesseract/issues/222" TargetMode="External"/><Relationship Id="rId756" Type="http://schemas.openxmlformats.org/officeDocument/2006/relationships/hyperlink" Target="https://github.com/cloudwarriors-ai/zoomwarriors_2/issues/52" TargetMode="External"/><Relationship Id="rId513" Type="http://schemas.openxmlformats.org/officeDocument/2006/relationships/hyperlink" Target="https://github.com/cloudwarriors-ai/tesseract/issues/223" TargetMode="External"/><Relationship Id="rId755" Type="http://schemas.openxmlformats.org/officeDocument/2006/relationships/hyperlink" Target="https://github.com/cloudwarriors-ai/zoomwarriors_2/issues/53" TargetMode="External"/><Relationship Id="rId512" Type="http://schemas.openxmlformats.org/officeDocument/2006/relationships/hyperlink" Target="https://github.com/cloudwarriors-ai/tesseract/issues/224" TargetMode="External"/><Relationship Id="rId754" Type="http://schemas.openxmlformats.org/officeDocument/2006/relationships/hyperlink" Target="https://github.com/cloudwarriors-ai/zoomwarriors_2/issues/54" TargetMode="External"/><Relationship Id="rId511" Type="http://schemas.openxmlformats.org/officeDocument/2006/relationships/hyperlink" Target="https://github.com/cloudwarriors-ai/tesseract/issues/266" TargetMode="External"/><Relationship Id="rId753" Type="http://schemas.openxmlformats.org/officeDocument/2006/relationships/hyperlink" Target="https://github.com/cloudwarriors-ai/zoomwarriors_2/issues/55" TargetMode="External"/><Relationship Id="rId518" Type="http://schemas.openxmlformats.org/officeDocument/2006/relationships/hyperlink" Target="https://github.com/cloudwarriors-ai/tesseract/issues/216" TargetMode="External"/><Relationship Id="rId517" Type="http://schemas.openxmlformats.org/officeDocument/2006/relationships/hyperlink" Target="https://github.com/cloudwarriors-ai/tesseract/issues/219" TargetMode="External"/><Relationship Id="rId759" Type="http://schemas.openxmlformats.org/officeDocument/2006/relationships/hyperlink" Target="https://github.com/cloudwarriors-ai/zoomwarriors_2/issues/41" TargetMode="External"/><Relationship Id="rId516" Type="http://schemas.openxmlformats.org/officeDocument/2006/relationships/hyperlink" Target="https://github.com/cloudwarriors-ai/tesseract/issues/220" TargetMode="External"/><Relationship Id="rId758" Type="http://schemas.openxmlformats.org/officeDocument/2006/relationships/hyperlink" Target="https://github.com/cloudwarriors-ai/zoomwarriors_2/issues/47" TargetMode="External"/><Relationship Id="rId515" Type="http://schemas.openxmlformats.org/officeDocument/2006/relationships/hyperlink" Target="https://github.com/cloudwarriors-ai/tesseract/issues/221" TargetMode="External"/><Relationship Id="rId757" Type="http://schemas.openxmlformats.org/officeDocument/2006/relationships/hyperlink" Target="https://github.com/cloudwarriors-ai/zoomwarriors_2/issues/48" TargetMode="External"/><Relationship Id="rId15" Type="http://schemas.openxmlformats.org/officeDocument/2006/relationships/hyperlink" Target="https://github.com/cloudwarriors-ai/automation-station/issues/54" TargetMode="External"/><Relationship Id="rId14" Type="http://schemas.openxmlformats.org/officeDocument/2006/relationships/hyperlink" Target="https://github.com/cloudwarriors-ai/automation-station/issues/55" TargetMode="External"/><Relationship Id="rId17" Type="http://schemas.openxmlformats.org/officeDocument/2006/relationships/hyperlink" Target="https://github.com/cloudwarriors-ai/automation-station/issues/52" TargetMode="External"/><Relationship Id="rId16" Type="http://schemas.openxmlformats.org/officeDocument/2006/relationships/hyperlink" Target="https://github.com/cloudwarriors-ai/automation-station/issues/53" TargetMode="External"/><Relationship Id="rId19" Type="http://schemas.openxmlformats.org/officeDocument/2006/relationships/hyperlink" Target="https://github.com/cloudwarriors-ai/automation-station/issues/37" TargetMode="External"/><Relationship Id="rId510" Type="http://schemas.openxmlformats.org/officeDocument/2006/relationships/hyperlink" Target="https://github.com/cloudwarriors-ai/rapture_test/issues/3" TargetMode="External"/><Relationship Id="rId752" Type="http://schemas.openxmlformats.org/officeDocument/2006/relationships/hyperlink" Target="https://github.com/cloudwarriors-ai/zoomwarriors_2/issues/56" TargetMode="External"/><Relationship Id="rId18" Type="http://schemas.openxmlformats.org/officeDocument/2006/relationships/hyperlink" Target="https://github.com/cloudwarriors-ai/automation-station/issues/38" TargetMode="External"/><Relationship Id="rId751" Type="http://schemas.openxmlformats.org/officeDocument/2006/relationships/hyperlink" Target="https://github.com/cloudwarriors-ai/zoomwarriors_2/issues/57" TargetMode="External"/><Relationship Id="rId750" Type="http://schemas.openxmlformats.org/officeDocument/2006/relationships/hyperlink" Target="https://github.com/cloudwarriors-ai/zoomwarriors_2/issues/59" TargetMode="External"/><Relationship Id="rId84" Type="http://schemas.openxmlformats.org/officeDocument/2006/relationships/hyperlink" Target="https://github.com/cloudwarriors-ai/zoom_presales_django/issues/346" TargetMode="External"/><Relationship Id="rId83" Type="http://schemas.openxmlformats.org/officeDocument/2006/relationships/hyperlink" Target="https://github.com/cloudwarriors-ai/zoom_presales_django/issues/348" TargetMode="External"/><Relationship Id="rId86" Type="http://schemas.openxmlformats.org/officeDocument/2006/relationships/hyperlink" Target="https://github.com/cloudwarriors-ai/zoom_presales_django/issues/344" TargetMode="External"/><Relationship Id="rId85" Type="http://schemas.openxmlformats.org/officeDocument/2006/relationships/hyperlink" Target="https://github.com/cloudwarriors-ai/zoom_presales_django/issues/345" TargetMode="External"/><Relationship Id="rId88" Type="http://schemas.openxmlformats.org/officeDocument/2006/relationships/hyperlink" Target="https://github.com/cloudwarriors-ai/zoom_presales_django/issues/341" TargetMode="External"/><Relationship Id="rId87" Type="http://schemas.openxmlformats.org/officeDocument/2006/relationships/hyperlink" Target="https://github.com/cloudwarriors-ai/zoom_presales_django/issues/342" TargetMode="External"/><Relationship Id="rId89" Type="http://schemas.openxmlformats.org/officeDocument/2006/relationships/hyperlink" Target="https://github.com/cloudwarriors-ai/zoom_presales_django/issues/340" TargetMode="External"/><Relationship Id="rId709" Type="http://schemas.openxmlformats.org/officeDocument/2006/relationships/hyperlink" Target="https://github.com/cloudwarriors-ai/zoomwarriors_2/issues/137" TargetMode="External"/><Relationship Id="rId708" Type="http://schemas.openxmlformats.org/officeDocument/2006/relationships/hyperlink" Target="https://github.com/cloudwarriors-ai/zoomwarriors_2/issues/138" TargetMode="External"/><Relationship Id="rId707" Type="http://schemas.openxmlformats.org/officeDocument/2006/relationships/hyperlink" Target="https://github.com/cloudwarriors-ai/zoomwarriors_2/issues/143" TargetMode="External"/><Relationship Id="rId706" Type="http://schemas.openxmlformats.org/officeDocument/2006/relationships/hyperlink" Target="https://github.com/cloudwarriors-ai/zoomwarriors_2/issues/148" TargetMode="External"/><Relationship Id="rId80" Type="http://schemas.openxmlformats.org/officeDocument/2006/relationships/hyperlink" Target="https://github.com/cloudwarriors-ai/zoom_presales_django/issues/351" TargetMode="External"/><Relationship Id="rId82" Type="http://schemas.openxmlformats.org/officeDocument/2006/relationships/hyperlink" Target="https://github.com/cloudwarriors-ai/zoom_presales_django/issues/349" TargetMode="External"/><Relationship Id="rId81" Type="http://schemas.openxmlformats.org/officeDocument/2006/relationships/hyperlink" Target="https://github.com/cloudwarriors-ai/zoom_presales_django/issues/350" TargetMode="External"/><Relationship Id="rId701" Type="http://schemas.openxmlformats.org/officeDocument/2006/relationships/hyperlink" Target="https://github.com/cloudwarriors-ai/zoomwarriors_2/issues/157" TargetMode="External"/><Relationship Id="rId700" Type="http://schemas.openxmlformats.org/officeDocument/2006/relationships/hyperlink" Target="https://github.com/cloudwarriors-ai/zoomwarriors_2/issues/161" TargetMode="External"/><Relationship Id="rId705" Type="http://schemas.openxmlformats.org/officeDocument/2006/relationships/hyperlink" Target="https://github.com/cloudwarriors-ai/zoomwarriors_2/issues/149" TargetMode="External"/><Relationship Id="rId704" Type="http://schemas.openxmlformats.org/officeDocument/2006/relationships/hyperlink" Target="https://github.com/cloudwarriors-ai/zoomwarriors_2/issues/154" TargetMode="External"/><Relationship Id="rId703" Type="http://schemas.openxmlformats.org/officeDocument/2006/relationships/hyperlink" Target="https://github.com/cloudwarriors-ai/zoomwarriors_2/issues/155" TargetMode="External"/><Relationship Id="rId702" Type="http://schemas.openxmlformats.org/officeDocument/2006/relationships/hyperlink" Target="https://github.com/cloudwarriors-ai/zoomwarriors_2/issues/156" TargetMode="External"/><Relationship Id="rId73" Type="http://schemas.openxmlformats.org/officeDocument/2006/relationships/hyperlink" Target="https://github.com/cloudwarriors-ai/zoom_presales_django/issues/358" TargetMode="External"/><Relationship Id="rId72" Type="http://schemas.openxmlformats.org/officeDocument/2006/relationships/hyperlink" Target="https://github.com/cloudwarriors-ai/zoom_presales_django/issues/359" TargetMode="External"/><Relationship Id="rId75" Type="http://schemas.openxmlformats.org/officeDocument/2006/relationships/hyperlink" Target="https://github.com/cloudwarriors-ai/zoom_presales_django/issues/356" TargetMode="External"/><Relationship Id="rId74" Type="http://schemas.openxmlformats.org/officeDocument/2006/relationships/hyperlink" Target="https://github.com/cloudwarriors-ai/zoom_presales_django/issues/357" TargetMode="External"/><Relationship Id="rId77" Type="http://schemas.openxmlformats.org/officeDocument/2006/relationships/hyperlink" Target="https://github.com/cloudwarriors-ai/zoom_presales_django/issues/354" TargetMode="External"/><Relationship Id="rId76" Type="http://schemas.openxmlformats.org/officeDocument/2006/relationships/hyperlink" Target="https://github.com/cloudwarriors-ai/zoom_presales_django/issues/355" TargetMode="External"/><Relationship Id="rId79" Type="http://schemas.openxmlformats.org/officeDocument/2006/relationships/hyperlink" Target="https://github.com/cloudwarriors-ai/zoom_presales_django/issues/352" TargetMode="External"/><Relationship Id="rId78" Type="http://schemas.openxmlformats.org/officeDocument/2006/relationships/hyperlink" Target="https://github.com/cloudwarriors-ai/zoom_presales_django/issues/353" TargetMode="External"/><Relationship Id="rId71" Type="http://schemas.openxmlformats.org/officeDocument/2006/relationships/hyperlink" Target="https://github.com/cloudwarriors-ai/zoom_presales_django/issues/360" TargetMode="External"/><Relationship Id="rId70" Type="http://schemas.openxmlformats.org/officeDocument/2006/relationships/hyperlink" Target="https://github.com/cloudwarriors-ai/zoom_presales_django/issues/361" TargetMode="External"/><Relationship Id="rId62" Type="http://schemas.openxmlformats.org/officeDocument/2006/relationships/hyperlink" Target="https://github.com/cloudwarriors-ai/zoom_presales_django/issues/369" TargetMode="External"/><Relationship Id="rId61" Type="http://schemas.openxmlformats.org/officeDocument/2006/relationships/hyperlink" Target="https://github.com/cloudwarriors-ai/zoom_presales_django/issues/370" TargetMode="External"/><Relationship Id="rId64" Type="http://schemas.openxmlformats.org/officeDocument/2006/relationships/hyperlink" Target="https://github.com/cloudwarriors-ai/zoom_presales_django/issues/367" TargetMode="External"/><Relationship Id="rId63" Type="http://schemas.openxmlformats.org/officeDocument/2006/relationships/hyperlink" Target="https://github.com/cloudwarriors-ai/zoom_presales_django/issues/368" TargetMode="External"/><Relationship Id="rId66" Type="http://schemas.openxmlformats.org/officeDocument/2006/relationships/hyperlink" Target="https://github.com/cloudwarriors-ai/zoom_presales_django/issues/365" TargetMode="External"/><Relationship Id="rId65" Type="http://schemas.openxmlformats.org/officeDocument/2006/relationships/hyperlink" Target="https://github.com/cloudwarriors-ai/zoom_presales_django/issues/366" TargetMode="External"/><Relationship Id="rId68" Type="http://schemas.openxmlformats.org/officeDocument/2006/relationships/hyperlink" Target="https://github.com/cloudwarriors-ai/zoom_presales_django/issues/363" TargetMode="External"/><Relationship Id="rId67" Type="http://schemas.openxmlformats.org/officeDocument/2006/relationships/hyperlink" Target="https://github.com/cloudwarriors-ai/zoom_presales_django/issues/364" TargetMode="External"/><Relationship Id="rId729" Type="http://schemas.openxmlformats.org/officeDocument/2006/relationships/hyperlink" Target="https://github.com/cloudwarriors-ai/zoomwarriors_2/issues/99" TargetMode="External"/><Relationship Id="rId728" Type="http://schemas.openxmlformats.org/officeDocument/2006/relationships/hyperlink" Target="https://github.com/cloudwarriors-ai/zoomwarriors_2/issues/100" TargetMode="External"/><Relationship Id="rId60" Type="http://schemas.openxmlformats.org/officeDocument/2006/relationships/hyperlink" Target="https://github.com/cloudwarriors-ai/zoom_presales_django/issues/371" TargetMode="External"/><Relationship Id="rId723" Type="http://schemas.openxmlformats.org/officeDocument/2006/relationships/hyperlink" Target="https://github.com/cloudwarriors-ai/zoomwarriors_2/issues/107" TargetMode="External"/><Relationship Id="rId722" Type="http://schemas.openxmlformats.org/officeDocument/2006/relationships/hyperlink" Target="https://github.com/cloudwarriors-ai/zoomwarriors_2/issues/110" TargetMode="External"/><Relationship Id="rId721" Type="http://schemas.openxmlformats.org/officeDocument/2006/relationships/hyperlink" Target="https://github.com/cloudwarriors-ai/zoomwarriors_2/issues/111" TargetMode="External"/><Relationship Id="rId720" Type="http://schemas.openxmlformats.org/officeDocument/2006/relationships/hyperlink" Target="https://github.com/cloudwarriors-ai/zoomwarriors_2/issues/112" TargetMode="External"/><Relationship Id="rId727" Type="http://schemas.openxmlformats.org/officeDocument/2006/relationships/hyperlink" Target="https://github.com/cloudwarriors-ai/zoomwarriors_2/issues/101" TargetMode="External"/><Relationship Id="rId726" Type="http://schemas.openxmlformats.org/officeDocument/2006/relationships/hyperlink" Target="https://github.com/cloudwarriors-ai/zoomwarriors_2/issues/102" TargetMode="External"/><Relationship Id="rId725" Type="http://schemas.openxmlformats.org/officeDocument/2006/relationships/hyperlink" Target="https://github.com/cloudwarriors-ai/zoomwarriors_2/issues/105" TargetMode="External"/><Relationship Id="rId724" Type="http://schemas.openxmlformats.org/officeDocument/2006/relationships/hyperlink" Target="https://github.com/cloudwarriors-ai/zoomwarriors_2/issues/106" TargetMode="External"/><Relationship Id="rId69" Type="http://schemas.openxmlformats.org/officeDocument/2006/relationships/hyperlink" Target="https://github.com/cloudwarriors-ai/zoom_presales_django/issues/362" TargetMode="External"/><Relationship Id="rId51" Type="http://schemas.openxmlformats.org/officeDocument/2006/relationships/hyperlink" Target="https://github.com/cloudwarriors-ai/zoom_presales_django/issues/380" TargetMode="External"/><Relationship Id="rId50" Type="http://schemas.openxmlformats.org/officeDocument/2006/relationships/hyperlink" Target="https://github.com/cloudwarriors-ai/zoom_presales_django/issues/381" TargetMode="External"/><Relationship Id="rId53" Type="http://schemas.openxmlformats.org/officeDocument/2006/relationships/hyperlink" Target="https://github.com/cloudwarriors-ai/zoom_presales_django/issues/378" TargetMode="External"/><Relationship Id="rId52" Type="http://schemas.openxmlformats.org/officeDocument/2006/relationships/hyperlink" Target="https://github.com/cloudwarriors-ai/zoom_presales_django/issues/379" TargetMode="External"/><Relationship Id="rId55" Type="http://schemas.openxmlformats.org/officeDocument/2006/relationships/hyperlink" Target="https://github.com/cloudwarriors-ai/zoom_presales_django/issues/376" TargetMode="External"/><Relationship Id="rId54" Type="http://schemas.openxmlformats.org/officeDocument/2006/relationships/hyperlink" Target="https://github.com/cloudwarriors-ai/zoom_presales_django/issues/377" TargetMode="External"/><Relationship Id="rId57" Type="http://schemas.openxmlformats.org/officeDocument/2006/relationships/hyperlink" Target="https://github.com/cloudwarriors-ai/zoom_presales_django/issues/374" TargetMode="External"/><Relationship Id="rId56" Type="http://schemas.openxmlformats.org/officeDocument/2006/relationships/hyperlink" Target="https://github.com/cloudwarriors-ai/zoom_presales_django/issues/375" TargetMode="External"/><Relationship Id="rId719" Type="http://schemas.openxmlformats.org/officeDocument/2006/relationships/hyperlink" Target="https://github.com/cloudwarriors-ai/zoomwarriors_2/issues/116" TargetMode="External"/><Relationship Id="rId718" Type="http://schemas.openxmlformats.org/officeDocument/2006/relationships/hyperlink" Target="https://github.com/cloudwarriors-ai/zoomwarriors_2/issues/117" TargetMode="External"/><Relationship Id="rId717" Type="http://schemas.openxmlformats.org/officeDocument/2006/relationships/hyperlink" Target="https://github.com/cloudwarriors-ai/zoomwarriors_2/issues/123" TargetMode="External"/><Relationship Id="rId712" Type="http://schemas.openxmlformats.org/officeDocument/2006/relationships/hyperlink" Target="https://github.com/cloudwarriors-ai/zoomwarriors_2/issues/131" TargetMode="External"/><Relationship Id="rId711" Type="http://schemas.openxmlformats.org/officeDocument/2006/relationships/hyperlink" Target="https://github.com/cloudwarriors-ai/zoomwarriors_2/issues/132" TargetMode="External"/><Relationship Id="rId710" Type="http://schemas.openxmlformats.org/officeDocument/2006/relationships/hyperlink" Target="https://github.com/cloudwarriors-ai/zoomwarriors_2/issues/133" TargetMode="External"/><Relationship Id="rId716" Type="http://schemas.openxmlformats.org/officeDocument/2006/relationships/hyperlink" Target="https://github.com/cloudwarriors-ai/zoomwarriors_2/issues/124" TargetMode="External"/><Relationship Id="rId715" Type="http://schemas.openxmlformats.org/officeDocument/2006/relationships/hyperlink" Target="https://github.com/cloudwarriors-ai/zoomwarriors_2/issues/128" TargetMode="External"/><Relationship Id="rId714" Type="http://schemas.openxmlformats.org/officeDocument/2006/relationships/hyperlink" Target="https://github.com/cloudwarriors-ai/zoomwarriors_2/issues/129" TargetMode="External"/><Relationship Id="rId713" Type="http://schemas.openxmlformats.org/officeDocument/2006/relationships/hyperlink" Target="https://github.com/cloudwarriors-ai/zoomwarriors_2/issues/130" TargetMode="External"/><Relationship Id="rId59" Type="http://schemas.openxmlformats.org/officeDocument/2006/relationships/hyperlink" Target="https://github.com/cloudwarriors-ai/zoom_presales_django/issues/372" TargetMode="External"/><Relationship Id="rId58" Type="http://schemas.openxmlformats.org/officeDocument/2006/relationships/hyperlink" Target="https://github.com/cloudwarriors-ai/zoom_presales_django/issues/373" TargetMode="External"/><Relationship Id="rId590" Type="http://schemas.openxmlformats.org/officeDocument/2006/relationships/hyperlink" Target="https://github.com/cloudwarriors-ai/tesseract/issues/5" TargetMode="External"/><Relationship Id="rId107" Type="http://schemas.openxmlformats.org/officeDocument/2006/relationships/hyperlink" Target="https://github.com/cloudwarriors-ai/zoom_presales_django/issues/319" TargetMode="External"/><Relationship Id="rId349" Type="http://schemas.openxmlformats.org/officeDocument/2006/relationships/hyperlink" Target="https://github.com/cloudwarriors-ai/codename_wad/issues/37" TargetMode="External"/><Relationship Id="rId106" Type="http://schemas.openxmlformats.org/officeDocument/2006/relationships/hyperlink" Target="https://github.com/cloudwarriors-ai/zoom_presales_django/issues/320" TargetMode="External"/><Relationship Id="rId348" Type="http://schemas.openxmlformats.org/officeDocument/2006/relationships/hyperlink" Target="https://github.com/cloudwarriors-ai/codename_wad/issues/38" TargetMode="External"/><Relationship Id="rId105" Type="http://schemas.openxmlformats.org/officeDocument/2006/relationships/hyperlink" Target="https://github.com/cloudwarriors-ai/zoom_presales_django/issues/321" TargetMode="External"/><Relationship Id="rId347" Type="http://schemas.openxmlformats.org/officeDocument/2006/relationships/hyperlink" Target="https://github.com/cloudwarriors-ai/codename_wad/issues/41" TargetMode="External"/><Relationship Id="rId589" Type="http://schemas.openxmlformats.org/officeDocument/2006/relationships/hyperlink" Target="https://github.com/cloudwarriors-ai/tesseract/issues/6" TargetMode="External"/><Relationship Id="rId104" Type="http://schemas.openxmlformats.org/officeDocument/2006/relationships/hyperlink" Target="https://github.com/cloudwarriors-ai/zoom_presales_django/issues/322" TargetMode="External"/><Relationship Id="rId346" Type="http://schemas.openxmlformats.org/officeDocument/2006/relationships/hyperlink" Target="https://github.com/cloudwarriors-ai/codename_wad/issues/42" TargetMode="External"/><Relationship Id="rId588" Type="http://schemas.openxmlformats.org/officeDocument/2006/relationships/hyperlink" Target="https://github.com/cloudwarriors-ai/tesseract/issues/7" TargetMode="External"/><Relationship Id="rId109" Type="http://schemas.openxmlformats.org/officeDocument/2006/relationships/hyperlink" Target="https://github.com/cloudwarriors-ai/zoom_presales_django/issues/317" TargetMode="External"/><Relationship Id="rId108" Type="http://schemas.openxmlformats.org/officeDocument/2006/relationships/hyperlink" Target="https://github.com/cloudwarriors-ai/zoom_presales_django/issues/318" TargetMode="External"/><Relationship Id="rId341" Type="http://schemas.openxmlformats.org/officeDocument/2006/relationships/hyperlink" Target="https://github.com/cloudwarriors-ai/codename_wad/issues/77" TargetMode="External"/><Relationship Id="rId583" Type="http://schemas.openxmlformats.org/officeDocument/2006/relationships/hyperlink" Target="https://github.com/cloudwarriors-ai/tesseract/issues/90" TargetMode="External"/><Relationship Id="rId340" Type="http://schemas.openxmlformats.org/officeDocument/2006/relationships/hyperlink" Target="https://github.com/cloudwarriors-ai/codename_wad/issues/78" TargetMode="External"/><Relationship Id="rId582" Type="http://schemas.openxmlformats.org/officeDocument/2006/relationships/hyperlink" Target="https://github.com/cloudwarriors-ai/tesseract/issues/105" TargetMode="External"/><Relationship Id="rId581" Type="http://schemas.openxmlformats.org/officeDocument/2006/relationships/hyperlink" Target="https://github.com/cloudwarriors-ai/tesseract/issues/106" TargetMode="External"/><Relationship Id="rId580" Type="http://schemas.openxmlformats.org/officeDocument/2006/relationships/hyperlink" Target="https://github.com/cloudwarriors-ai/tesseract/issues/107" TargetMode="External"/><Relationship Id="rId103" Type="http://schemas.openxmlformats.org/officeDocument/2006/relationships/hyperlink" Target="https://github.com/cloudwarriors-ai/zoom_presales_django/issues/323" TargetMode="External"/><Relationship Id="rId345" Type="http://schemas.openxmlformats.org/officeDocument/2006/relationships/hyperlink" Target="https://github.com/cloudwarriors-ai/codename_wad/issues/43" TargetMode="External"/><Relationship Id="rId587" Type="http://schemas.openxmlformats.org/officeDocument/2006/relationships/hyperlink" Target="https://github.com/cloudwarriors-ai/tesseract/issues/79" TargetMode="External"/><Relationship Id="rId102" Type="http://schemas.openxmlformats.org/officeDocument/2006/relationships/hyperlink" Target="https://github.com/cloudwarriors-ai/zoom_presales_django/issues/324" TargetMode="External"/><Relationship Id="rId344" Type="http://schemas.openxmlformats.org/officeDocument/2006/relationships/hyperlink" Target="https://github.com/cloudwarriors-ai/codename_wad/issues/44" TargetMode="External"/><Relationship Id="rId586" Type="http://schemas.openxmlformats.org/officeDocument/2006/relationships/hyperlink" Target="https://github.com/cloudwarriors-ai/tesseract/issues/80" TargetMode="External"/><Relationship Id="rId101" Type="http://schemas.openxmlformats.org/officeDocument/2006/relationships/hyperlink" Target="https://github.com/cloudwarriors-ai/zoom_presales_django/issues/325" TargetMode="External"/><Relationship Id="rId343" Type="http://schemas.openxmlformats.org/officeDocument/2006/relationships/hyperlink" Target="https://github.com/cloudwarriors-ai/codename_wad/issues/45" TargetMode="External"/><Relationship Id="rId585" Type="http://schemas.openxmlformats.org/officeDocument/2006/relationships/hyperlink" Target="https://github.com/cloudwarriors-ai/tesseract/issues/81" TargetMode="External"/><Relationship Id="rId100" Type="http://schemas.openxmlformats.org/officeDocument/2006/relationships/hyperlink" Target="https://github.com/cloudwarriors-ai/zoom_presales_django/issues/326" TargetMode="External"/><Relationship Id="rId342" Type="http://schemas.openxmlformats.org/officeDocument/2006/relationships/hyperlink" Target="https://github.com/cloudwarriors-ai/codename_wad/issues/46" TargetMode="External"/><Relationship Id="rId584" Type="http://schemas.openxmlformats.org/officeDocument/2006/relationships/hyperlink" Target="https://github.com/cloudwarriors-ai/tesseract/issues/82" TargetMode="External"/><Relationship Id="rId338" Type="http://schemas.openxmlformats.org/officeDocument/2006/relationships/hyperlink" Target="https://github.com/cloudwarriors-ai/codename_wad/issues/80" TargetMode="External"/><Relationship Id="rId337" Type="http://schemas.openxmlformats.org/officeDocument/2006/relationships/hyperlink" Target="https://github.com/cloudwarriors-ai/codename_wad/issues/81" TargetMode="External"/><Relationship Id="rId579" Type="http://schemas.openxmlformats.org/officeDocument/2006/relationships/hyperlink" Target="https://github.com/cloudwarriors-ai/tesseract/issues/108" TargetMode="External"/><Relationship Id="rId336" Type="http://schemas.openxmlformats.org/officeDocument/2006/relationships/hyperlink" Target="https://github.com/cloudwarriors-ai/codename_wad/issues/82" TargetMode="External"/><Relationship Id="rId578" Type="http://schemas.openxmlformats.org/officeDocument/2006/relationships/hyperlink" Target="https://github.com/cloudwarriors-ai/tesseract/issues/109" TargetMode="External"/><Relationship Id="rId335" Type="http://schemas.openxmlformats.org/officeDocument/2006/relationships/hyperlink" Target="https://github.com/cloudwarriors-ai/codename_wad/issues/83" TargetMode="External"/><Relationship Id="rId577" Type="http://schemas.openxmlformats.org/officeDocument/2006/relationships/hyperlink" Target="https://github.com/cloudwarriors-ai/tesseract/issues/110" TargetMode="External"/><Relationship Id="rId339" Type="http://schemas.openxmlformats.org/officeDocument/2006/relationships/hyperlink" Target="https://github.com/cloudwarriors-ai/codename_wad/issues/79" TargetMode="External"/><Relationship Id="rId330" Type="http://schemas.openxmlformats.org/officeDocument/2006/relationships/hyperlink" Target="https://github.com/cloudwarriors-ai/codename_wad/issues/96" TargetMode="External"/><Relationship Id="rId572" Type="http://schemas.openxmlformats.org/officeDocument/2006/relationships/hyperlink" Target="https://github.com/cloudwarriors-ai/tesseract/issues/115" TargetMode="External"/><Relationship Id="rId571" Type="http://schemas.openxmlformats.org/officeDocument/2006/relationships/hyperlink" Target="https://github.com/cloudwarriors-ai/tesseract/issues/122" TargetMode="External"/><Relationship Id="rId570" Type="http://schemas.openxmlformats.org/officeDocument/2006/relationships/hyperlink" Target="https://github.com/cloudwarriors-ai/tesseract/issues/123" TargetMode="External"/><Relationship Id="rId334" Type="http://schemas.openxmlformats.org/officeDocument/2006/relationships/hyperlink" Target="https://github.com/cloudwarriors-ai/codename_wad/issues/84" TargetMode="External"/><Relationship Id="rId576" Type="http://schemas.openxmlformats.org/officeDocument/2006/relationships/hyperlink" Target="https://github.com/cloudwarriors-ai/tesseract/issues/111" TargetMode="External"/><Relationship Id="rId333" Type="http://schemas.openxmlformats.org/officeDocument/2006/relationships/hyperlink" Target="https://github.com/cloudwarriors-ai/codename_wad/issues/93" TargetMode="External"/><Relationship Id="rId575" Type="http://schemas.openxmlformats.org/officeDocument/2006/relationships/hyperlink" Target="https://github.com/cloudwarriors-ai/tesseract/issues/112" TargetMode="External"/><Relationship Id="rId332" Type="http://schemas.openxmlformats.org/officeDocument/2006/relationships/hyperlink" Target="https://github.com/cloudwarriors-ai/codename_wad/issues/94" TargetMode="External"/><Relationship Id="rId574" Type="http://schemas.openxmlformats.org/officeDocument/2006/relationships/hyperlink" Target="https://github.com/cloudwarriors-ai/tesseract/issues/113" TargetMode="External"/><Relationship Id="rId331" Type="http://schemas.openxmlformats.org/officeDocument/2006/relationships/hyperlink" Target="https://github.com/cloudwarriors-ai/codename_wad/issues/95" TargetMode="External"/><Relationship Id="rId573" Type="http://schemas.openxmlformats.org/officeDocument/2006/relationships/hyperlink" Target="https://github.com/cloudwarriors-ai/tesseract/issues/114" TargetMode="External"/><Relationship Id="rId370" Type="http://schemas.openxmlformats.org/officeDocument/2006/relationships/hyperlink" Target="https://github.com/cloudwarriors-ai/codename_wad/issues/11" TargetMode="External"/><Relationship Id="rId129" Type="http://schemas.openxmlformats.org/officeDocument/2006/relationships/hyperlink" Target="https://github.com/cloudwarriors-ai/zoom_presales_django/issues/291" TargetMode="External"/><Relationship Id="rId128" Type="http://schemas.openxmlformats.org/officeDocument/2006/relationships/hyperlink" Target="https://github.com/cloudwarriors-ai/zoom_presales_django/issues/292" TargetMode="External"/><Relationship Id="rId127" Type="http://schemas.openxmlformats.org/officeDocument/2006/relationships/hyperlink" Target="https://github.com/cloudwarriors-ai/zoom_presales_django/issues/293" TargetMode="External"/><Relationship Id="rId369" Type="http://schemas.openxmlformats.org/officeDocument/2006/relationships/hyperlink" Target="https://github.com/cloudwarriors-ai/codename_wad/issues/12" TargetMode="External"/><Relationship Id="rId126" Type="http://schemas.openxmlformats.org/officeDocument/2006/relationships/hyperlink" Target="https://github.com/cloudwarriors-ai/zoom_presales_django/issues/294" TargetMode="External"/><Relationship Id="rId368" Type="http://schemas.openxmlformats.org/officeDocument/2006/relationships/hyperlink" Target="https://github.com/cloudwarriors-ai/codename_wad/issues/13" TargetMode="External"/><Relationship Id="rId121" Type="http://schemas.openxmlformats.org/officeDocument/2006/relationships/hyperlink" Target="https://github.com/cloudwarriors-ai/zoom_presales_django/issues/299" TargetMode="External"/><Relationship Id="rId363" Type="http://schemas.openxmlformats.org/officeDocument/2006/relationships/hyperlink" Target="https://github.com/cloudwarriors-ai/codename_wad/issues/21" TargetMode="External"/><Relationship Id="rId120" Type="http://schemas.openxmlformats.org/officeDocument/2006/relationships/hyperlink" Target="https://github.com/cloudwarriors-ai/zoom_presales_django/issues/300" TargetMode="External"/><Relationship Id="rId362" Type="http://schemas.openxmlformats.org/officeDocument/2006/relationships/hyperlink" Target="https://github.com/cloudwarriors-ai/codename_wad/issues/22" TargetMode="External"/><Relationship Id="rId361" Type="http://schemas.openxmlformats.org/officeDocument/2006/relationships/hyperlink" Target="https://github.com/cloudwarriors-ai/codename_wad/issues/25" TargetMode="External"/><Relationship Id="rId360" Type="http://schemas.openxmlformats.org/officeDocument/2006/relationships/hyperlink" Target="https://github.com/cloudwarriors-ai/codename_wad/issues/26" TargetMode="External"/><Relationship Id="rId125" Type="http://schemas.openxmlformats.org/officeDocument/2006/relationships/hyperlink" Target="https://github.com/cloudwarriors-ai/zoom_presales_django/issues/295" TargetMode="External"/><Relationship Id="rId367" Type="http://schemas.openxmlformats.org/officeDocument/2006/relationships/hyperlink" Target="https://github.com/cloudwarriors-ai/codename_wad/issues/14" TargetMode="External"/><Relationship Id="rId124" Type="http://schemas.openxmlformats.org/officeDocument/2006/relationships/hyperlink" Target="https://github.com/cloudwarriors-ai/zoom_presales_django/issues/296" TargetMode="External"/><Relationship Id="rId366" Type="http://schemas.openxmlformats.org/officeDocument/2006/relationships/hyperlink" Target="https://github.com/cloudwarriors-ai/codename_wad/issues/18" TargetMode="External"/><Relationship Id="rId123" Type="http://schemas.openxmlformats.org/officeDocument/2006/relationships/hyperlink" Target="https://github.com/cloudwarriors-ai/zoom_presales_django/issues/297" TargetMode="External"/><Relationship Id="rId365" Type="http://schemas.openxmlformats.org/officeDocument/2006/relationships/hyperlink" Target="https://github.com/cloudwarriors-ai/codename_wad/issues/19" TargetMode="External"/><Relationship Id="rId122" Type="http://schemas.openxmlformats.org/officeDocument/2006/relationships/hyperlink" Target="https://github.com/cloudwarriors-ai/zoom_presales_django/issues/298" TargetMode="External"/><Relationship Id="rId364" Type="http://schemas.openxmlformats.org/officeDocument/2006/relationships/hyperlink" Target="https://github.com/cloudwarriors-ai/codename_wad/issues/20" TargetMode="External"/><Relationship Id="rId95" Type="http://schemas.openxmlformats.org/officeDocument/2006/relationships/hyperlink" Target="https://github.com/cloudwarriors-ai/zoom_presales_django/issues/333" TargetMode="External"/><Relationship Id="rId94" Type="http://schemas.openxmlformats.org/officeDocument/2006/relationships/hyperlink" Target="https://github.com/cloudwarriors-ai/zoom_presales_django/issues/334" TargetMode="External"/><Relationship Id="rId97" Type="http://schemas.openxmlformats.org/officeDocument/2006/relationships/hyperlink" Target="https://github.com/cloudwarriors-ai/zoom_presales_django/issues/330" TargetMode="External"/><Relationship Id="rId96" Type="http://schemas.openxmlformats.org/officeDocument/2006/relationships/hyperlink" Target="https://github.com/cloudwarriors-ai/zoom_presales_django/issues/332" TargetMode="External"/><Relationship Id="rId99" Type="http://schemas.openxmlformats.org/officeDocument/2006/relationships/hyperlink" Target="https://github.com/cloudwarriors-ai/zoom_presales_django/issues/327" TargetMode="External"/><Relationship Id="rId98" Type="http://schemas.openxmlformats.org/officeDocument/2006/relationships/hyperlink" Target="https://github.com/cloudwarriors-ai/zoom_presales_django/issues/328" TargetMode="External"/><Relationship Id="rId91" Type="http://schemas.openxmlformats.org/officeDocument/2006/relationships/hyperlink" Target="https://github.com/cloudwarriors-ai/zoom_presales_django/issues/338" TargetMode="External"/><Relationship Id="rId90" Type="http://schemas.openxmlformats.org/officeDocument/2006/relationships/hyperlink" Target="https://github.com/cloudwarriors-ai/zoom_presales_django/issues/339" TargetMode="External"/><Relationship Id="rId93" Type="http://schemas.openxmlformats.org/officeDocument/2006/relationships/hyperlink" Target="https://github.com/cloudwarriors-ai/zoom_presales_django/issues/336" TargetMode="External"/><Relationship Id="rId92" Type="http://schemas.openxmlformats.org/officeDocument/2006/relationships/hyperlink" Target="https://github.com/cloudwarriors-ai/zoom_presales_django/issues/337" TargetMode="External"/><Relationship Id="rId118" Type="http://schemas.openxmlformats.org/officeDocument/2006/relationships/hyperlink" Target="https://github.com/cloudwarriors-ai/zoom_presales_django/issues/302" TargetMode="External"/><Relationship Id="rId117" Type="http://schemas.openxmlformats.org/officeDocument/2006/relationships/hyperlink" Target="https://github.com/cloudwarriors-ai/zoom_presales_django/issues/304" TargetMode="External"/><Relationship Id="rId359" Type="http://schemas.openxmlformats.org/officeDocument/2006/relationships/hyperlink" Target="https://github.com/cloudwarriors-ai/codename_wad/issues/27" TargetMode="External"/><Relationship Id="rId116" Type="http://schemas.openxmlformats.org/officeDocument/2006/relationships/hyperlink" Target="https://github.com/cloudwarriors-ai/zoom_presales_django/issues/305" TargetMode="External"/><Relationship Id="rId358" Type="http://schemas.openxmlformats.org/officeDocument/2006/relationships/hyperlink" Target="https://github.com/cloudwarriors-ai/codename_wad/issues/28" TargetMode="External"/><Relationship Id="rId115" Type="http://schemas.openxmlformats.org/officeDocument/2006/relationships/hyperlink" Target="https://github.com/cloudwarriors-ai/zoom_presales_django/issues/306" TargetMode="External"/><Relationship Id="rId357" Type="http://schemas.openxmlformats.org/officeDocument/2006/relationships/hyperlink" Target="https://github.com/cloudwarriors-ai/codename_wad/issues/29" TargetMode="External"/><Relationship Id="rId599" Type="http://schemas.openxmlformats.org/officeDocument/2006/relationships/hyperlink" Target="https://github.com/cloudwarriors-ai/QA_Selenium_Tester/issues/7" TargetMode="External"/><Relationship Id="rId119" Type="http://schemas.openxmlformats.org/officeDocument/2006/relationships/hyperlink" Target="https://github.com/cloudwarriors-ai/zoom_presales_django/issues/301" TargetMode="External"/><Relationship Id="rId110" Type="http://schemas.openxmlformats.org/officeDocument/2006/relationships/hyperlink" Target="https://github.com/cloudwarriors-ai/zoom_presales_django/issues/316" TargetMode="External"/><Relationship Id="rId352" Type="http://schemas.openxmlformats.org/officeDocument/2006/relationships/hyperlink" Target="https://github.com/cloudwarriors-ai/codename_wad/issues/34" TargetMode="External"/><Relationship Id="rId594" Type="http://schemas.openxmlformats.org/officeDocument/2006/relationships/hyperlink" Target="https://github.com/cloudwarriors-ai/QA_Selenium_Tester/issues/13" TargetMode="External"/><Relationship Id="rId351" Type="http://schemas.openxmlformats.org/officeDocument/2006/relationships/hyperlink" Target="https://github.com/cloudwarriors-ai/codename_wad/issues/35" TargetMode="External"/><Relationship Id="rId593" Type="http://schemas.openxmlformats.org/officeDocument/2006/relationships/hyperlink" Target="https://github.com/cloudwarriors-ai/QA_Selenium_Tester/issues/14" TargetMode="External"/><Relationship Id="rId350" Type="http://schemas.openxmlformats.org/officeDocument/2006/relationships/hyperlink" Target="https://github.com/cloudwarriors-ai/codename_wad/issues/36" TargetMode="External"/><Relationship Id="rId592" Type="http://schemas.openxmlformats.org/officeDocument/2006/relationships/hyperlink" Target="https://github.com/cloudwarriors-ai/QA_Selenium_Tester/issues/17" TargetMode="External"/><Relationship Id="rId591" Type="http://schemas.openxmlformats.org/officeDocument/2006/relationships/hyperlink" Target="https://github.com/cloudwarriors-ai/QA_Selenium_Tester/issues/19" TargetMode="External"/><Relationship Id="rId114" Type="http://schemas.openxmlformats.org/officeDocument/2006/relationships/hyperlink" Target="https://github.com/cloudwarriors-ai/zoom_presales_django/issues/307" TargetMode="External"/><Relationship Id="rId356" Type="http://schemas.openxmlformats.org/officeDocument/2006/relationships/hyperlink" Target="https://github.com/cloudwarriors-ai/codename_wad/issues/30" TargetMode="External"/><Relationship Id="rId598" Type="http://schemas.openxmlformats.org/officeDocument/2006/relationships/hyperlink" Target="https://github.com/cloudwarriors-ai/QA_Selenium_Tester/issues/8" TargetMode="External"/><Relationship Id="rId113" Type="http://schemas.openxmlformats.org/officeDocument/2006/relationships/hyperlink" Target="https://github.com/cloudwarriors-ai/zoom_presales_django/issues/313" TargetMode="External"/><Relationship Id="rId355" Type="http://schemas.openxmlformats.org/officeDocument/2006/relationships/hyperlink" Target="https://github.com/cloudwarriors-ai/codename_wad/issues/31" TargetMode="External"/><Relationship Id="rId597" Type="http://schemas.openxmlformats.org/officeDocument/2006/relationships/hyperlink" Target="https://github.com/cloudwarriors-ai/QA_Selenium_Tester/issues/10" TargetMode="External"/><Relationship Id="rId112" Type="http://schemas.openxmlformats.org/officeDocument/2006/relationships/hyperlink" Target="https://github.com/cloudwarriors-ai/zoom_presales_django/issues/314" TargetMode="External"/><Relationship Id="rId354" Type="http://schemas.openxmlformats.org/officeDocument/2006/relationships/hyperlink" Target="https://github.com/cloudwarriors-ai/codename_wad/issues/32" TargetMode="External"/><Relationship Id="rId596" Type="http://schemas.openxmlformats.org/officeDocument/2006/relationships/hyperlink" Target="https://github.com/cloudwarriors-ai/QA_Selenium_Tester/issues/11" TargetMode="External"/><Relationship Id="rId111" Type="http://schemas.openxmlformats.org/officeDocument/2006/relationships/hyperlink" Target="https://github.com/cloudwarriors-ai/zoom_presales_django/issues/315" TargetMode="External"/><Relationship Id="rId353" Type="http://schemas.openxmlformats.org/officeDocument/2006/relationships/hyperlink" Target="https://github.com/cloudwarriors-ai/codename_wad/issues/33" TargetMode="External"/><Relationship Id="rId595" Type="http://schemas.openxmlformats.org/officeDocument/2006/relationships/hyperlink" Target="https://github.com/cloudwarriors-ai/QA_Selenium_Tester/issues/12" TargetMode="External"/><Relationship Id="rId305" Type="http://schemas.openxmlformats.org/officeDocument/2006/relationships/hyperlink" Target="https://github.com/cloudwarriors-ai/codename_wad/issues/143" TargetMode="External"/><Relationship Id="rId547" Type="http://schemas.openxmlformats.org/officeDocument/2006/relationships/hyperlink" Target="https://github.com/cloudwarriors-ai/tesseract/issues/173" TargetMode="External"/><Relationship Id="rId789" Type="http://schemas.openxmlformats.org/officeDocument/2006/relationships/hyperlink" Target="https://github.com/cloudwarriors-ai/zoomwarriors_2/issues/3" TargetMode="External"/><Relationship Id="rId304" Type="http://schemas.openxmlformats.org/officeDocument/2006/relationships/hyperlink" Target="https://github.com/cloudwarriors-ai/zoom_presales_django/issues/4" TargetMode="External"/><Relationship Id="rId546" Type="http://schemas.openxmlformats.org/officeDocument/2006/relationships/hyperlink" Target="https://github.com/cloudwarriors-ai/tesseract/issues/174" TargetMode="External"/><Relationship Id="rId788" Type="http://schemas.openxmlformats.org/officeDocument/2006/relationships/hyperlink" Target="https://github.com/cloudwarriors-ai/zoomwarriors_2/issues/4" TargetMode="External"/><Relationship Id="rId303" Type="http://schemas.openxmlformats.org/officeDocument/2006/relationships/hyperlink" Target="https://github.com/cloudwarriors-ai/zoom_presales_django/issues/5" TargetMode="External"/><Relationship Id="rId545" Type="http://schemas.openxmlformats.org/officeDocument/2006/relationships/hyperlink" Target="https://github.com/cloudwarriors-ai/tesseract/issues/175" TargetMode="External"/><Relationship Id="rId787" Type="http://schemas.openxmlformats.org/officeDocument/2006/relationships/hyperlink" Target="https://github.com/cloudwarriors-ai/zoomwarriors_2/issues/5" TargetMode="External"/><Relationship Id="rId302" Type="http://schemas.openxmlformats.org/officeDocument/2006/relationships/hyperlink" Target="https://github.com/cloudwarriors-ai/zoom_presales_django/issues/6" TargetMode="External"/><Relationship Id="rId544" Type="http://schemas.openxmlformats.org/officeDocument/2006/relationships/hyperlink" Target="https://github.com/cloudwarriors-ai/tesseract/issues/176" TargetMode="External"/><Relationship Id="rId786" Type="http://schemas.openxmlformats.org/officeDocument/2006/relationships/hyperlink" Target="https://github.com/cloudwarriors-ai/zoomwarriors_2/issues/6" TargetMode="External"/><Relationship Id="rId309" Type="http://schemas.openxmlformats.org/officeDocument/2006/relationships/hyperlink" Target="https://github.com/cloudwarriors-ai/codename_wad/issues/133" TargetMode="External"/><Relationship Id="rId308" Type="http://schemas.openxmlformats.org/officeDocument/2006/relationships/hyperlink" Target="https://github.com/cloudwarriors-ai/codename_wad/issues/140" TargetMode="External"/><Relationship Id="rId307" Type="http://schemas.openxmlformats.org/officeDocument/2006/relationships/hyperlink" Target="https://github.com/cloudwarriors-ai/codename_wad/issues/141" TargetMode="External"/><Relationship Id="rId549" Type="http://schemas.openxmlformats.org/officeDocument/2006/relationships/hyperlink" Target="https://github.com/cloudwarriors-ai/tesseract/issues/171" TargetMode="External"/><Relationship Id="rId306" Type="http://schemas.openxmlformats.org/officeDocument/2006/relationships/hyperlink" Target="https://github.com/cloudwarriors-ai/codename_wad/issues/142" TargetMode="External"/><Relationship Id="rId548" Type="http://schemas.openxmlformats.org/officeDocument/2006/relationships/hyperlink" Target="https://github.com/cloudwarriors-ai/tesseract/issues/172" TargetMode="External"/><Relationship Id="rId781" Type="http://schemas.openxmlformats.org/officeDocument/2006/relationships/hyperlink" Target="https://github.com/cloudwarriors-ai/zoomwarriors_2/issues/12" TargetMode="External"/><Relationship Id="rId780" Type="http://schemas.openxmlformats.org/officeDocument/2006/relationships/hyperlink" Target="https://github.com/cloudwarriors-ai/zoomwarriors_2/issues/13" TargetMode="External"/><Relationship Id="rId301" Type="http://schemas.openxmlformats.org/officeDocument/2006/relationships/hyperlink" Target="https://github.com/cloudwarriors-ai/zoom_presales_django/issues/7" TargetMode="External"/><Relationship Id="rId543" Type="http://schemas.openxmlformats.org/officeDocument/2006/relationships/hyperlink" Target="https://github.com/cloudwarriors-ai/tesseract/issues/177" TargetMode="External"/><Relationship Id="rId785" Type="http://schemas.openxmlformats.org/officeDocument/2006/relationships/hyperlink" Target="https://github.com/cloudwarriors-ai/zoomwarriors_2/issues/7" TargetMode="External"/><Relationship Id="rId300" Type="http://schemas.openxmlformats.org/officeDocument/2006/relationships/hyperlink" Target="https://github.com/cloudwarriors-ai/zoom_presales_django/issues/8" TargetMode="External"/><Relationship Id="rId542" Type="http://schemas.openxmlformats.org/officeDocument/2006/relationships/hyperlink" Target="https://github.com/cloudwarriors-ai/tesseract/issues/178" TargetMode="External"/><Relationship Id="rId784" Type="http://schemas.openxmlformats.org/officeDocument/2006/relationships/hyperlink" Target="https://github.com/cloudwarriors-ai/zoomwarriors_2/issues/9" TargetMode="External"/><Relationship Id="rId541" Type="http://schemas.openxmlformats.org/officeDocument/2006/relationships/hyperlink" Target="https://github.com/cloudwarriors-ai/tesseract/issues/179" TargetMode="External"/><Relationship Id="rId783" Type="http://schemas.openxmlformats.org/officeDocument/2006/relationships/hyperlink" Target="https://github.com/cloudwarriors-ai/zoomwarriors_2/issues/10" TargetMode="External"/><Relationship Id="rId540" Type="http://schemas.openxmlformats.org/officeDocument/2006/relationships/hyperlink" Target="https://github.com/cloudwarriors-ai/tesseract/issues/180" TargetMode="External"/><Relationship Id="rId782" Type="http://schemas.openxmlformats.org/officeDocument/2006/relationships/hyperlink" Target="https://github.com/cloudwarriors-ai/zoomwarriors_2/issues/11" TargetMode="External"/><Relationship Id="rId536" Type="http://schemas.openxmlformats.org/officeDocument/2006/relationships/hyperlink" Target="https://github.com/cloudwarriors-ai/tesseract/issues/184" TargetMode="External"/><Relationship Id="rId778" Type="http://schemas.openxmlformats.org/officeDocument/2006/relationships/hyperlink" Target="https://github.com/cloudwarriors-ai/zoomwarriors_2/issues/15" TargetMode="External"/><Relationship Id="rId535" Type="http://schemas.openxmlformats.org/officeDocument/2006/relationships/hyperlink" Target="https://github.com/cloudwarriors-ai/tesseract/issues/185" TargetMode="External"/><Relationship Id="rId777" Type="http://schemas.openxmlformats.org/officeDocument/2006/relationships/hyperlink" Target="https://github.com/cloudwarriors-ai/zoomwarriors_2/issues/17" TargetMode="External"/><Relationship Id="rId534" Type="http://schemas.openxmlformats.org/officeDocument/2006/relationships/hyperlink" Target="https://github.com/cloudwarriors-ai/tesseract/issues/186" TargetMode="External"/><Relationship Id="rId776" Type="http://schemas.openxmlformats.org/officeDocument/2006/relationships/hyperlink" Target="https://github.com/cloudwarriors-ai/zoomwarriors_2/issues/18" TargetMode="External"/><Relationship Id="rId533" Type="http://schemas.openxmlformats.org/officeDocument/2006/relationships/hyperlink" Target="https://github.com/cloudwarriors-ai/tesseract/issues/187" TargetMode="External"/><Relationship Id="rId775" Type="http://schemas.openxmlformats.org/officeDocument/2006/relationships/hyperlink" Target="https://github.com/cloudwarriors-ai/zoomwarriors_2/issues/19" TargetMode="External"/><Relationship Id="rId539" Type="http://schemas.openxmlformats.org/officeDocument/2006/relationships/hyperlink" Target="https://github.com/cloudwarriors-ai/tesseract/issues/181" TargetMode="External"/><Relationship Id="rId538" Type="http://schemas.openxmlformats.org/officeDocument/2006/relationships/hyperlink" Target="https://github.com/cloudwarriors-ai/tesseract/issues/182" TargetMode="External"/><Relationship Id="rId537" Type="http://schemas.openxmlformats.org/officeDocument/2006/relationships/hyperlink" Target="https://github.com/cloudwarriors-ai/tesseract/issues/183" TargetMode="External"/><Relationship Id="rId779" Type="http://schemas.openxmlformats.org/officeDocument/2006/relationships/hyperlink" Target="https://github.com/cloudwarriors-ai/zoomwarriors_2/issues/14" TargetMode="External"/><Relationship Id="rId770" Type="http://schemas.openxmlformats.org/officeDocument/2006/relationships/hyperlink" Target="https://github.com/cloudwarriors-ai/zoomwarriors_2/issues/26" TargetMode="External"/><Relationship Id="rId532" Type="http://schemas.openxmlformats.org/officeDocument/2006/relationships/hyperlink" Target="https://github.com/cloudwarriors-ai/tesseract/issues/188" TargetMode="External"/><Relationship Id="rId774" Type="http://schemas.openxmlformats.org/officeDocument/2006/relationships/hyperlink" Target="https://github.com/cloudwarriors-ai/zoomwarriors_2/issues/20" TargetMode="External"/><Relationship Id="rId531" Type="http://schemas.openxmlformats.org/officeDocument/2006/relationships/hyperlink" Target="https://github.com/cloudwarriors-ai/tesseract/issues/189" TargetMode="External"/><Relationship Id="rId773" Type="http://schemas.openxmlformats.org/officeDocument/2006/relationships/hyperlink" Target="https://github.com/cloudwarriors-ai/zoomwarriors_2/issues/22" TargetMode="External"/><Relationship Id="rId530" Type="http://schemas.openxmlformats.org/officeDocument/2006/relationships/hyperlink" Target="https://github.com/cloudwarriors-ai/tesseract/issues/190" TargetMode="External"/><Relationship Id="rId772" Type="http://schemas.openxmlformats.org/officeDocument/2006/relationships/hyperlink" Target="https://github.com/cloudwarriors-ai/zoomwarriors_2/issues/23" TargetMode="External"/><Relationship Id="rId771" Type="http://schemas.openxmlformats.org/officeDocument/2006/relationships/hyperlink" Target="https://github.com/cloudwarriors-ai/zoomwarriors_2/issues/25" TargetMode="External"/><Relationship Id="rId327" Type="http://schemas.openxmlformats.org/officeDocument/2006/relationships/hyperlink" Target="https://github.com/cloudwarriors-ai/codename_wad/issues/99" TargetMode="External"/><Relationship Id="rId569" Type="http://schemas.openxmlformats.org/officeDocument/2006/relationships/hyperlink" Target="https://github.com/cloudwarriors-ai/tesseract/issues/127" TargetMode="External"/><Relationship Id="rId326" Type="http://schemas.openxmlformats.org/officeDocument/2006/relationships/hyperlink" Target="https://github.com/cloudwarriors-ai/codename_wad/issues/100" TargetMode="External"/><Relationship Id="rId568" Type="http://schemas.openxmlformats.org/officeDocument/2006/relationships/hyperlink" Target="https://github.com/cloudwarriors-ai/tesseract/issues/132" TargetMode="External"/><Relationship Id="rId325" Type="http://schemas.openxmlformats.org/officeDocument/2006/relationships/hyperlink" Target="https://github.com/cloudwarriors-ai/codename_wad/issues/101" TargetMode="External"/><Relationship Id="rId567" Type="http://schemas.openxmlformats.org/officeDocument/2006/relationships/hyperlink" Target="https://github.com/cloudwarriors-ai/tesseract/issues/138" TargetMode="External"/><Relationship Id="rId324" Type="http://schemas.openxmlformats.org/officeDocument/2006/relationships/hyperlink" Target="https://github.com/cloudwarriors-ai/codename_wad/issues/102" TargetMode="External"/><Relationship Id="rId566" Type="http://schemas.openxmlformats.org/officeDocument/2006/relationships/hyperlink" Target="https://github.com/cloudwarriors-ai/tesseract/issues/149" TargetMode="External"/><Relationship Id="rId329" Type="http://schemas.openxmlformats.org/officeDocument/2006/relationships/hyperlink" Target="https://github.com/cloudwarriors-ai/codename_wad/issues/97" TargetMode="External"/><Relationship Id="rId328" Type="http://schemas.openxmlformats.org/officeDocument/2006/relationships/hyperlink" Target="https://github.com/cloudwarriors-ai/codename_wad/issues/98" TargetMode="External"/><Relationship Id="rId561" Type="http://schemas.openxmlformats.org/officeDocument/2006/relationships/hyperlink" Target="https://github.com/cloudwarriors-ai/tesseract/issues/159" TargetMode="External"/><Relationship Id="rId560" Type="http://schemas.openxmlformats.org/officeDocument/2006/relationships/hyperlink" Target="https://github.com/cloudwarriors-ai/tesseract/issues/160" TargetMode="External"/><Relationship Id="rId323" Type="http://schemas.openxmlformats.org/officeDocument/2006/relationships/hyperlink" Target="https://github.com/cloudwarriors-ai/codename_wad/issues/103" TargetMode="External"/><Relationship Id="rId565" Type="http://schemas.openxmlformats.org/officeDocument/2006/relationships/hyperlink" Target="https://github.com/cloudwarriors-ai/tesseract/issues/155" TargetMode="External"/><Relationship Id="rId322" Type="http://schemas.openxmlformats.org/officeDocument/2006/relationships/hyperlink" Target="https://github.com/cloudwarriors-ai/codename_wad/issues/109" TargetMode="External"/><Relationship Id="rId564" Type="http://schemas.openxmlformats.org/officeDocument/2006/relationships/hyperlink" Target="https://github.com/cloudwarriors-ai/tesseract/issues/156" TargetMode="External"/><Relationship Id="rId321" Type="http://schemas.openxmlformats.org/officeDocument/2006/relationships/hyperlink" Target="https://github.com/cloudwarriors-ai/codename_wad/issues/110" TargetMode="External"/><Relationship Id="rId563" Type="http://schemas.openxmlformats.org/officeDocument/2006/relationships/hyperlink" Target="https://github.com/cloudwarriors-ai/tesseract/issues/157" TargetMode="External"/><Relationship Id="rId320" Type="http://schemas.openxmlformats.org/officeDocument/2006/relationships/hyperlink" Target="https://github.com/cloudwarriors-ai/codename_wad/issues/111" TargetMode="External"/><Relationship Id="rId562" Type="http://schemas.openxmlformats.org/officeDocument/2006/relationships/hyperlink" Target="https://github.com/cloudwarriors-ai/tesseract/issues/158" TargetMode="External"/><Relationship Id="rId316" Type="http://schemas.openxmlformats.org/officeDocument/2006/relationships/hyperlink" Target="https://github.com/cloudwarriors-ai/codename_wad/issues/123" TargetMode="External"/><Relationship Id="rId558" Type="http://schemas.openxmlformats.org/officeDocument/2006/relationships/hyperlink" Target="https://github.com/cloudwarriors-ai/tesseract/issues/162" TargetMode="External"/><Relationship Id="rId315" Type="http://schemas.openxmlformats.org/officeDocument/2006/relationships/hyperlink" Target="https://github.com/cloudwarriors-ai/codename_wad/issues/124" TargetMode="External"/><Relationship Id="rId557" Type="http://schemas.openxmlformats.org/officeDocument/2006/relationships/hyperlink" Target="https://github.com/cloudwarriors-ai/tesseract/issues/163" TargetMode="External"/><Relationship Id="rId799" Type="http://schemas.openxmlformats.org/officeDocument/2006/relationships/hyperlink" Target="https://github.com/cloudwarriors-ai/github_review_build_test/issues/14" TargetMode="External"/><Relationship Id="rId314" Type="http://schemas.openxmlformats.org/officeDocument/2006/relationships/hyperlink" Target="https://github.com/cloudwarriors-ai/codename_wad/issues/125" TargetMode="External"/><Relationship Id="rId556" Type="http://schemas.openxmlformats.org/officeDocument/2006/relationships/hyperlink" Target="https://github.com/cloudwarriors-ai/tesseract/issues/164" TargetMode="External"/><Relationship Id="rId798" Type="http://schemas.openxmlformats.org/officeDocument/2006/relationships/hyperlink" Target="https://github.com/cloudwarriors-ai/github_review_build_test/issues/15" TargetMode="External"/><Relationship Id="rId313" Type="http://schemas.openxmlformats.org/officeDocument/2006/relationships/hyperlink" Target="https://github.com/cloudwarriors-ai/codename_wad/issues/126" TargetMode="External"/><Relationship Id="rId555" Type="http://schemas.openxmlformats.org/officeDocument/2006/relationships/hyperlink" Target="https://github.com/cloudwarriors-ai/tesseract/issues/165" TargetMode="External"/><Relationship Id="rId797" Type="http://schemas.openxmlformats.org/officeDocument/2006/relationships/hyperlink" Target="https://github.com/cloudwarriors-ai/github_review_build_test/issues/17" TargetMode="External"/><Relationship Id="rId319" Type="http://schemas.openxmlformats.org/officeDocument/2006/relationships/hyperlink" Target="https://github.com/cloudwarriors-ai/codename_wad/issues/115" TargetMode="External"/><Relationship Id="rId318" Type="http://schemas.openxmlformats.org/officeDocument/2006/relationships/hyperlink" Target="https://github.com/cloudwarriors-ai/codename_wad/issues/116" TargetMode="External"/><Relationship Id="rId317" Type="http://schemas.openxmlformats.org/officeDocument/2006/relationships/hyperlink" Target="https://github.com/cloudwarriors-ai/codename_wad/issues/118" TargetMode="External"/><Relationship Id="rId559" Type="http://schemas.openxmlformats.org/officeDocument/2006/relationships/hyperlink" Target="https://github.com/cloudwarriors-ai/tesseract/issues/161" TargetMode="External"/><Relationship Id="rId550" Type="http://schemas.openxmlformats.org/officeDocument/2006/relationships/hyperlink" Target="https://github.com/cloudwarriors-ai/tesseract/issues/170" TargetMode="External"/><Relationship Id="rId792" Type="http://schemas.openxmlformats.org/officeDocument/2006/relationships/hyperlink" Target="https://github.com/cloudwarriors-ai/github_review_build_test/issues/22" TargetMode="External"/><Relationship Id="rId791" Type="http://schemas.openxmlformats.org/officeDocument/2006/relationships/hyperlink" Target="https://github.com/cloudwarriors-ai/zoomwarriors_2/issues/1" TargetMode="External"/><Relationship Id="rId790" Type="http://schemas.openxmlformats.org/officeDocument/2006/relationships/hyperlink" Target="https://github.com/cloudwarriors-ai/zoomwarriors_2/issues/2" TargetMode="External"/><Relationship Id="rId312" Type="http://schemas.openxmlformats.org/officeDocument/2006/relationships/hyperlink" Target="https://github.com/cloudwarriors-ai/codename_wad/issues/129" TargetMode="External"/><Relationship Id="rId554" Type="http://schemas.openxmlformats.org/officeDocument/2006/relationships/hyperlink" Target="https://github.com/cloudwarriors-ai/tesseract/issues/166" TargetMode="External"/><Relationship Id="rId796" Type="http://schemas.openxmlformats.org/officeDocument/2006/relationships/hyperlink" Target="https://github.com/cloudwarriors-ai/github_review_build_test/issues/18" TargetMode="External"/><Relationship Id="rId311" Type="http://schemas.openxmlformats.org/officeDocument/2006/relationships/hyperlink" Target="https://github.com/cloudwarriors-ai/codename_wad/issues/131" TargetMode="External"/><Relationship Id="rId553" Type="http://schemas.openxmlformats.org/officeDocument/2006/relationships/hyperlink" Target="https://github.com/cloudwarriors-ai/tesseract/issues/167" TargetMode="External"/><Relationship Id="rId795" Type="http://schemas.openxmlformats.org/officeDocument/2006/relationships/hyperlink" Target="https://github.com/cloudwarriors-ai/github_review_build_test/issues/19" TargetMode="External"/><Relationship Id="rId310" Type="http://schemas.openxmlformats.org/officeDocument/2006/relationships/hyperlink" Target="https://github.com/cloudwarriors-ai/codename_wad/issues/132" TargetMode="External"/><Relationship Id="rId552" Type="http://schemas.openxmlformats.org/officeDocument/2006/relationships/hyperlink" Target="https://github.com/cloudwarriors-ai/tesseract/issues/168" TargetMode="External"/><Relationship Id="rId794" Type="http://schemas.openxmlformats.org/officeDocument/2006/relationships/hyperlink" Target="https://github.com/cloudwarriors-ai/github_review_build_test/issues/20" TargetMode="External"/><Relationship Id="rId551" Type="http://schemas.openxmlformats.org/officeDocument/2006/relationships/hyperlink" Target="https://github.com/cloudwarriors-ai/tesseract/issues/169" TargetMode="External"/><Relationship Id="rId793" Type="http://schemas.openxmlformats.org/officeDocument/2006/relationships/hyperlink" Target="https://github.com/cloudwarriors-ai/github_review_build_test/issues/21" TargetMode="External"/><Relationship Id="rId297" Type="http://schemas.openxmlformats.org/officeDocument/2006/relationships/hyperlink" Target="https://github.com/cloudwarriors-ai/zoom_presales_django/issues/11" TargetMode="External"/><Relationship Id="rId296" Type="http://schemas.openxmlformats.org/officeDocument/2006/relationships/hyperlink" Target="https://github.com/cloudwarriors-ai/zoom_presales_django/issues/12" TargetMode="External"/><Relationship Id="rId295" Type="http://schemas.openxmlformats.org/officeDocument/2006/relationships/hyperlink" Target="https://github.com/cloudwarriors-ai/zoom_presales_django/issues/13" TargetMode="External"/><Relationship Id="rId294" Type="http://schemas.openxmlformats.org/officeDocument/2006/relationships/hyperlink" Target="https://github.com/cloudwarriors-ai/zoom_presales_django/issues/14" TargetMode="External"/><Relationship Id="rId299" Type="http://schemas.openxmlformats.org/officeDocument/2006/relationships/hyperlink" Target="https://github.com/cloudwarriors-ai/zoom_presales_django/issues/9" TargetMode="External"/><Relationship Id="rId298" Type="http://schemas.openxmlformats.org/officeDocument/2006/relationships/hyperlink" Target="https://github.com/cloudwarriors-ai/zoom_presales_django/issues/10" TargetMode="External"/><Relationship Id="rId271" Type="http://schemas.openxmlformats.org/officeDocument/2006/relationships/hyperlink" Target="https://github.com/cloudwarriors-ai/zoom_presales_django/issues/40" TargetMode="External"/><Relationship Id="rId270" Type="http://schemas.openxmlformats.org/officeDocument/2006/relationships/hyperlink" Target="https://github.com/cloudwarriors-ai/zoom_presales_django/issues/41" TargetMode="External"/><Relationship Id="rId269" Type="http://schemas.openxmlformats.org/officeDocument/2006/relationships/hyperlink" Target="https://github.com/cloudwarriors-ai/zoom_presales_django/issues/42" TargetMode="External"/><Relationship Id="rId264" Type="http://schemas.openxmlformats.org/officeDocument/2006/relationships/hyperlink" Target="https://github.com/cloudwarriors-ai/zoom_presales_django/issues/49" TargetMode="External"/><Relationship Id="rId263" Type="http://schemas.openxmlformats.org/officeDocument/2006/relationships/hyperlink" Target="https://github.com/cloudwarriors-ai/zoom_presales_django/issues/51" TargetMode="External"/><Relationship Id="rId262" Type="http://schemas.openxmlformats.org/officeDocument/2006/relationships/hyperlink" Target="https://github.com/cloudwarriors-ai/zoom_presales_django/issues/52" TargetMode="External"/><Relationship Id="rId261" Type="http://schemas.openxmlformats.org/officeDocument/2006/relationships/hyperlink" Target="https://github.com/cloudwarriors-ai/zoom_presales_django/issues/53" TargetMode="External"/><Relationship Id="rId268" Type="http://schemas.openxmlformats.org/officeDocument/2006/relationships/hyperlink" Target="https://github.com/cloudwarriors-ai/zoom_presales_django/issues/45" TargetMode="External"/><Relationship Id="rId267" Type="http://schemas.openxmlformats.org/officeDocument/2006/relationships/hyperlink" Target="https://github.com/cloudwarriors-ai/zoom_presales_django/issues/46" TargetMode="External"/><Relationship Id="rId266" Type="http://schemas.openxmlformats.org/officeDocument/2006/relationships/hyperlink" Target="https://github.com/cloudwarriors-ai/zoom_presales_django/issues/47" TargetMode="External"/><Relationship Id="rId265" Type="http://schemas.openxmlformats.org/officeDocument/2006/relationships/hyperlink" Target="https://github.com/cloudwarriors-ai/zoom_presales_django/issues/48" TargetMode="External"/><Relationship Id="rId260" Type="http://schemas.openxmlformats.org/officeDocument/2006/relationships/hyperlink" Target="https://github.com/cloudwarriors-ai/zoom_presales_django/issues/54" TargetMode="External"/><Relationship Id="rId259" Type="http://schemas.openxmlformats.org/officeDocument/2006/relationships/hyperlink" Target="https://github.com/cloudwarriors-ai/zoom_presales_django/issues/55" TargetMode="External"/><Relationship Id="rId258" Type="http://schemas.openxmlformats.org/officeDocument/2006/relationships/hyperlink" Target="https://github.com/cloudwarriors-ai/zoom_presales_django/issues/59" TargetMode="External"/><Relationship Id="rId253" Type="http://schemas.openxmlformats.org/officeDocument/2006/relationships/hyperlink" Target="https://github.com/cloudwarriors-ai/zoom_presales_django/issues/70" TargetMode="External"/><Relationship Id="rId495" Type="http://schemas.openxmlformats.org/officeDocument/2006/relationships/hyperlink" Target="https://github.com/cloudwarriors-ai/rapture-frontend/issues/28" TargetMode="External"/><Relationship Id="rId252" Type="http://schemas.openxmlformats.org/officeDocument/2006/relationships/hyperlink" Target="https://github.com/cloudwarriors-ai/zoom_presales_django/issues/71" TargetMode="External"/><Relationship Id="rId494" Type="http://schemas.openxmlformats.org/officeDocument/2006/relationships/hyperlink" Target="https://github.com/cloudwarriors-ai/rapture-frontend/issues/30" TargetMode="External"/><Relationship Id="rId251" Type="http://schemas.openxmlformats.org/officeDocument/2006/relationships/hyperlink" Target="https://github.com/cloudwarriors-ai/zoom_presales_django/issues/72" TargetMode="External"/><Relationship Id="rId493" Type="http://schemas.openxmlformats.org/officeDocument/2006/relationships/hyperlink" Target="https://github.com/cloudwarriors-ai/rapture-frontend/issues/32" TargetMode="External"/><Relationship Id="rId250" Type="http://schemas.openxmlformats.org/officeDocument/2006/relationships/hyperlink" Target="https://github.com/cloudwarriors-ai/zoom_presales_django/issues/75" TargetMode="External"/><Relationship Id="rId492" Type="http://schemas.openxmlformats.org/officeDocument/2006/relationships/hyperlink" Target="https://github.com/cloudwarriors-ai/rapture-frontend/issues/33" TargetMode="External"/><Relationship Id="rId257" Type="http://schemas.openxmlformats.org/officeDocument/2006/relationships/hyperlink" Target="https://github.com/cloudwarriors-ai/zoom_presales_django/issues/60" TargetMode="External"/><Relationship Id="rId499" Type="http://schemas.openxmlformats.org/officeDocument/2006/relationships/hyperlink" Target="https://github.com/cloudwarriors-ai/rapture-frontend/issues/24" TargetMode="External"/><Relationship Id="rId256" Type="http://schemas.openxmlformats.org/officeDocument/2006/relationships/hyperlink" Target="https://github.com/cloudwarriors-ai/zoom_presales_django/issues/65" TargetMode="External"/><Relationship Id="rId498" Type="http://schemas.openxmlformats.org/officeDocument/2006/relationships/hyperlink" Target="https://github.com/cloudwarriors-ai/rapture-frontend/issues/25" TargetMode="External"/><Relationship Id="rId255" Type="http://schemas.openxmlformats.org/officeDocument/2006/relationships/hyperlink" Target="https://github.com/cloudwarriors-ai/zoom_presales_django/issues/66" TargetMode="External"/><Relationship Id="rId497" Type="http://schemas.openxmlformats.org/officeDocument/2006/relationships/hyperlink" Target="https://github.com/cloudwarriors-ai/rapture-frontend/issues/26" TargetMode="External"/><Relationship Id="rId254" Type="http://schemas.openxmlformats.org/officeDocument/2006/relationships/hyperlink" Target="https://github.com/cloudwarriors-ai/zoom_presales_django/issues/67" TargetMode="External"/><Relationship Id="rId496" Type="http://schemas.openxmlformats.org/officeDocument/2006/relationships/hyperlink" Target="https://github.com/cloudwarriors-ai/rapture-frontend/issues/27" TargetMode="External"/><Relationship Id="rId293" Type="http://schemas.openxmlformats.org/officeDocument/2006/relationships/hyperlink" Target="https://github.com/cloudwarriors-ai/zoom_presales_django/issues/15" TargetMode="External"/><Relationship Id="rId292" Type="http://schemas.openxmlformats.org/officeDocument/2006/relationships/hyperlink" Target="https://github.com/cloudwarriors-ai/zoom_presales_django/issues/16" TargetMode="External"/><Relationship Id="rId291" Type="http://schemas.openxmlformats.org/officeDocument/2006/relationships/hyperlink" Target="https://github.com/cloudwarriors-ai/zoom_presales_django/issues/18" TargetMode="External"/><Relationship Id="rId290" Type="http://schemas.openxmlformats.org/officeDocument/2006/relationships/hyperlink" Target="https://github.com/cloudwarriors-ai/zoom_presales_django/issues/19" TargetMode="External"/><Relationship Id="rId286" Type="http://schemas.openxmlformats.org/officeDocument/2006/relationships/hyperlink" Target="https://github.com/cloudwarriors-ai/zoom_presales_django/issues/25" TargetMode="External"/><Relationship Id="rId285" Type="http://schemas.openxmlformats.org/officeDocument/2006/relationships/hyperlink" Target="https://github.com/cloudwarriors-ai/zoom_presales_django/issues/26" TargetMode="External"/><Relationship Id="rId284" Type="http://schemas.openxmlformats.org/officeDocument/2006/relationships/hyperlink" Target="https://github.com/cloudwarriors-ai/zoom_presales_django/issues/27" TargetMode="External"/><Relationship Id="rId283" Type="http://schemas.openxmlformats.org/officeDocument/2006/relationships/hyperlink" Target="https://github.com/cloudwarriors-ai/zoom_presales_django/issues/28" TargetMode="External"/><Relationship Id="rId289" Type="http://schemas.openxmlformats.org/officeDocument/2006/relationships/hyperlink" Target="https://github.com/cloudwarriors-ai/zoom_presales_django/issues/22" TargetMode="External"/><Relationship Id="rId288" Type="http://schemas.openxmlformats.org/officeDocument/2006/relationships/hyperlink" Target="https://github.com/cloudwarriors-ai/zoom_presales_django/issues/23" TargetMode="External"/><Relationship Id="rId287" Type="http://schemas.openxmlformats.org/officeDocument/2006/relationships/hyperlink" Target="https://github.com/cloudwarriors-ai/zoom_presales_django/issues/24" TargetMode="External"/><Relationship Id="rId282" Type="http://schemas.openxmlformats.org/officeDocument/2006/relationships/hyperlink" Target="https://github.com/cloudwarriors-ai/zoom_presales_django/issues/29" TargetMode="External"/><Relationship Id="rId281" Type="http://schemas.openxmlformats.org/officeDocument/2006/relationships/hyperlink" Target="https://github.com/cloudwarriors-ai/zoom_presales_django/issues/30" TargetMode="External"/><Relationship Id="rId280" Type="http://schemas.openxmlformats.org/officeDocument/2006/relationships/hyperlink" Target="https://github.com/cloudwarriors-ai/zoom_presales_django/issues/31" TargetMode="External"/><Relationship Id="rId275" Type="http://schemas.openxmlformats.org/officeDocument/2006/relationships/hyperlink" Target="https://github.com/cloudwarriors-ai/zoom_presales_django/issues/36" TargetMode="External"/><Relationship Id="rId274" Type="http://schemas.openxmlformats.org/officeDocument/2006/relationships/hyperlink" Target="https://github.com/cloudwarriors-ai/zoom_presales_django/issues/37" TargetMode="External"/><Relationship Id="rId273" Type="http://schemas.openxmlformats.org/officeDocument/2006/relationships/hyperlink" Target="https://github.com/cloudwarriors-ai/zoom_presales_django/issues/38" TargetMode="External"/><Relationship Id="rId272" Type="http://schemas.openxmlformats.org/officeDocument/2006/relationships/hyperlink" Target="https://github.com/cloudwarriors-ai/zoom_presales_django/issues/39" TargetMode="External"/><Relationship Id="rId279" Type="http://schemas.openxmlformats.org/officeDocument/2006/relationships/hyperlink" Target="https://github.com/cloudwarriors-ai/zoom_presales_django/issues/32" TargetMode="External"/><Relationship Id="rId278" Type="http://schemas.openxmlformats.org/officeDocument/2006/relationships/hyperlink" Target="https://github.com/cloudwarriors-ai/zoom_presales_django/issues/33" TargetMode="External"/><Relationship Id="rId277" Type="http://schemas.openxmlformats.org/officeDocument/2006/relationships/hyperlink" Target="https://github.com/cloudwarriors-ai/zoom_presales_django/issues/34" TargetMode="External"/><Relationship Id="rId276" Type="http://schemas.openxmlformats.org/officeDocument/2006/relationships/hyperlink" Target="https://github.com/cloudwarriors-ai/zoom_presales_django/issues/35" TargetMode="External"/><Relationship Id="rId629" Type="http://schemas.openxmlformats.org/officeDocument/2006/relationships/hyperlink" Target="https://github.com/cloudwarriors-ai/tesseract-frontend/issues/70" TargetMode="External"/><Relationship Id="rId624" Type="http://schemas.openxmlformats.org/officeDocument/2006/relationships/hyperlink" Target="https://github.com/cloudwarriors-ai/tesseract-frontend/issues/87" TargetMode="External"/><Relationship Id="rId623" Type="http://schemas.openxmlformats.org/officeDocument/2006/relationships/hyperlink" Target="https://github.com/cloudwarriors-ai/tesseract-frontend/issues/88" TargetMode="External"/><Relationship Id="rId622" Type="http://schemas.openxmlformats.org/officeDocument/2006/relationships/hyperlink" Target="https://github.com/cloudwarriors-ai/tesseract-frontend/issues/89" TargetMode="External"/><Relationship Id="rId621" Type="http://schemas.openxmlformats.org/officeDocument/2006/relationships/hyperlink" Target="https://github.com/cloudwarriors-ai/tesseract-frontend/issues/90" TargetMode="External"/><Relationship Id="rId628" Type="http://schemas.openxmlformats.org/officeDocument/2006/relationships/hyperlink" Target="https://github.com/cloudwarriors-ai/tesseract-frontend/issues/71" TargetMode="External"/><Relationship Id="rId627" Type="http://schemas.openxmlformats.org/officeDocument/2006/relationships/hyperlink" Target="https://github.com/cloudwarriors-ai/tesseract-frontend/issues/72" TargetMode="External"/><Relationship Id="rId626" Type="http://schemas.openxmlformats.org/officeDocument/2006/relationships/hyperlink" Target="https://github.com/cloudwarriors-ai/tesseract-frontend/issues/82" TargetMode="External"/><Relationship Id="rId625" Type="http://schemas.openxmlformats.org/officeDocument/2006/relationships/hyperlink" Target="https://github.com/cloudwarriors-ai/tesseract-frontend/issues/85" TargetMode="External"/><Relationship Id="rId620" Type="http://schemas.openxmlformats.org/officeDocument/2006/relationships/hyperlink" Target="https://github.com/cloudwarriors-ai/tesseract-frontend/issues/94" TargetMode="External"/><Relationship Id="rId619" Type="http://schemas.openxmlformats.org/officeDocument/2006/relationships/hyperlink" Target="https://github.com/cloudwarriors-ai/tesseract-frontend/issues/96" TargetMode="External"/><Relationship Id="rId618" Type="http://schemas.openxmlformats.org/officeDocument/2006/relationships/hyperlink" Target="https://github.com/cloudwarriors-ai/tesseract-frontend/issues/101" TargetMode="External"/><Relationship Id="rId613" Type="http://schemas.openxmlformats.org/officeDocument/2006/relationships/hyperlink" Target="https://github.com/cloudwarriors-ai/tesseract-frontend/issues/118" TargetMode="External"/><Relationship Id="rId612" Type="http://schemas.openxmlformats.org/officeDocument/2006/relationships/hyperlink" Target="https://github.com/cloudwarriors-ai/tesseract-frontend/issues/119" TargetMode="External"/><Relationship Id="rId611" Type="http://schemas.openxmlformats.org/officeDocument/2006/relationships/hyperlink" Target="https://github.com/cloudwarriors-ai/tesseract-frontend/issues/120" TargetMode="External"/><Relationship Id="rId610" Type="http://schemas.openxmlformats.org/officeDocument/2006/relationships/hyperlink" Target="https://github.com/cloudwarriors-ai/tesseract-frontend/issues/121" TargetMode="External"/><Relationship Id="rId617" Type="http://schemas.openxmlformats.org/officeDocument/2006/relationships/hyperlink" Target="https://github.com/cloudwarriors-ai/tesseract-frontend/issues/106" TargetMode="External"/><Relationship Id="rId616" Type="http://schemas.openxmlformats.org/officeDocument/2006/relationships/hyperlink" Target="https://github.com/cloudwarriors-ai/tesseract-frontend/issues/115" TargetMode="External"/><Relationship Id="rId615" Type="http://schemas.openxmlformats.org/officeDocument/2006/relationships/hyperlink" Target="https://github.com/cloudwarriors-ai/tesseract-frontend/issues/116" TargetMode="External"/><Relationship Id="rId614" Type="http://schemas.openxmlformats.org/officeDocument/2006/relationships/hyperlink" Target="https://github.com/cloudwarriors-ai/tesseract-frontend/issues/117" TargetMode="External"/><Relationship Id="rId409" Type="http://schemas.openxmlformats.org/officeDocument/2006/relationships/hyperlink" Target="https://github.com/cloudwarriors-ai/rapture-frontend/issues/219" TargetMode="External"/><Relationship Id="rId404" Type="http://schemas.openxmlformats.org/officeDocument/2006/relationships/hyperlink" Target="https://github.com/cloudwarriors-ai/rapture/issues/4" TargetMode="External"/><Relationship Id="rId646" Type="http://schemas.openxmlformats.org/officeDocument/2006/relationships/hyperlink" Target="https://github.com/cloudwarriors-ai/tesseract-frontend/issues/26" TargetMode="External"/><Relationship Id="rId403" Type="http://schemas.openxmlformats.org/officeDocument/2006/relationships/hyperlink" Target="https://github.com/cloudwarriors-ai/rapture/issues/5" TargetMode="External"/><Relationship Id="rId645" Type="http://schemas.openxmlformats.org/officeDocument/2006/relationships/hyperlink" Target="https://github.com/cloudwarriors-ai/tesseract-frontend/issues/27" TargetMode="External"/><Relationship Id="rId402" Type="http://schemas.openxmlformats.org/officeDocument/2006/relationships/hyperlink" Target="https://github.com/cloudwarriors-ai/rapture/issues/6" TargetMode="External"/><Relationship Id="rId644" Type="http://schemas.openxmlformats.org/officeDocument/2006/relationships/hyperlink" Target="https://github.com/cloudwarriors-ai/tesseract-frontend/issues/28" TargetMode="External"/><Relationship Id="rId401" Type="http://schemas.openxmlformats.org/officeDocument/2006/relationships/hyperlink" Target="https://github.com/cloudwarriors-ai/rapture/issues/7" TargetMode="External"/><Relationship Id="rId643" Type="http://schemas.openxmlformats.org/officeDocument/2006/relationships/hyperlink" Target="https://github.com/cloudwarriors-ai/tesseract-frontend/issues/29" TargetMode="External"/><Relationship Id="rId408" Type="http://schemas.openxmlformats.org/officeDocument/2006/relationships/hyperlink" Target="https://github.com/cloudwarriors-ai/rapture-frontend/issues/232" TargetMode="External"/><Relationship Id="rId407" Type="http://schemas.openxmlformats.org/officeDocument/2006/relationships/hyperlink" Target="https://github.com/cloudwarriors-ai/rapture-frontend/issues/233" TargetMode="External"/><Relationship Id="rId649" Type="http://schemas.openxmlformats.org/officeDocument/2006/relationships/hyperlink" Target="https://github.com/cloudwarriors-ai/tesseract-frontend/issues/23" TargetMode="External"/><Relationship Id="rId406" Type="http://schemas.openxmlformats.org/officeDocument/2006/relationships/hyperlink" Target="https://github.com/cloudwarriors-ai/rapture-frontend/issues/236" TargetMode="External"/><Relationship Id="rId648" Type="http://schemas.openxmlformats.org/officeDocument/2006/relationships/hyperlink" Target="https://github.com/cloudwarriors-ai/tesseract-frontend/issues/24" TargetMode="External"/><Relationship Id="rId405" Type="http://schemas.openxmlformats.org/officeDocument/2006/relationships/hyperlink" Target="https://github.com/cloudwarriors-ai/rapture-frontend/issues/237" TargetMode="External"/><Relationship Id="rId647" Type="http://schemas.openxmlformats.org/officeDocument/2006/relationships/hyperlink" Target="https://github.com/cloudwarriors-ai/tesseract-frontend/issues/25" TargetMode="External"/><Relationship Id="rId400" Type="http://schemas.openxmlformats.org/officeDocument/2006/relationships/hyperlink" Target="https://github.com/cloudwarriors-ai/rapture/issues/10" TargetMode="External"/><Relationship Id="rId642" Type="http://schemas.openxmlformats.org/officeDocument/2006/relationships/hyperlink" Target="https://github.com/cloudwarriors-ai/tesseract-frontend/issues/30" TargetMode="External"/><Relationship Id="rId641" Type="http://schemas.openxmlformats.org/officeDocument/2006/relationships/hyperlink" Target="https://github.com/cloudwarriors-ai/tesseract-frontend/issues/31" TargetMode="External"/><Relationship Id="rId640" Type="http://schemas.openxmlformats.org/officeDocument/2006/relationships/hyperlink" Target="https://github.com/cloudwarriors-ai/tesseract-frontend/issues/32" TargetMode="External"/><Relationship Id="rId635" Type="http://schemas.openxmlformats.org/officeDocument/2006/relationships/hyperlink" Target="https://github.com/cloudwarriors-ai/tesseract-frontend/issues/52" TargetMode="External"/><Relationship Id="rId634" Type="http://schemas.openxmlformats.org/officeDocument/2006/relationships/hyperlink" Target="https://github.com/cloudwarriors-ai/tesseract-frontend/issues/54" TargetMode="External"/><Relationship Id="rId633" Type="http://schemas.openxmlformats.org/officeDocument/2006/relationships/hyperlink" Target="https://github.com/cloudwarriors-ai/tesseract-frontend/issues/55" TargetMode="External"/><Relationship Id="rId632" Type="http://schemas.openxmlformats.org/officeDocument/2006/relationships/hyperlink" Target="https://github.com/cloudwarriors-ai/tesseract-frontend/issues/62" TargetMode="External"/><Relationship Id="rId639" Type="http://schemas.openxmlformats.org/officeDocument/2006/relationships/hyperlink" Target="https://github.com/cloudwarriors-ai/tesseract-frontend/issues/33" TargetMode="External"/><Relationship Id="rId638" Type="http://schemas.openxmlformats.org/officeDocument/2006/relationships/hyperlink" Target="https://github.com/cloudwarriors-ai/tesseract-frontend/issues/34" TargetMode="External"/><Relationship Id="rId637" Type="http://schemas.openxmlformats.org/officeDocument/2006/relationships/hyperlink" Target="https://github.com/cloudwarriors-ai/tesseract-frontend/issues/36" TargetMode="External"/><Relationship Id="rId636" Type="http://schemas.openxmlformats.org/officeDocument/2006/relationships/hyperlink" Target="https://github.com/cloudwarriors-ai/tesseract-frontend/issues/51" TargetMode="External"/><Relationship Id="rId631" Type="http://schemas.openxmlformats.org/officeDocument/2006/relationships/hyperlink" Target="https://github.com/cloudwarriors-ai/tesseract-frontend/issues/63" TargetMode="External"/><Relationship Id="rId630" Type="http://schemas.openxmlformats.org/officeDocument/2006/relationships/hyperlink" Target="https://github.com/cloudwarriors-ai/tesseract-frontend/issues/69" TargetMode="External"/><Relationship Id="rId811" Type="http://schemas.openxmlformats.org/officeDocument/2006/relationships/hyperlink" Target="https://github.com/cloudwarriors-ai/Project-Pulse/issues/12" TargetMode="External"/><Relationship Id="rId810" Type="http://schemas.openxmlformats.org/officeDocument/2006/relationships/hyperlink" Target="https://github.com/cloudwarriors-ai/Project-Pulse/issues/13" TargetMode="External"/><Relationship Id="rId815" Type="http://schemas.openxmlformats.org/officeDocument/2006/relationships/drawing" Target="../drawings/drawing2.xml"/><Relationship Id="rId814" Type="http://schemas.openxmlformats.org/officeDocument/2006/relationships/hyperlink" Target="https://github.com/cloudwarriors-ai/tesseract-platform/issues/1" TargetMode="External"/><Relationship Id="rId813" Type="http://schemas.openxmlformats.org/officeDocument/2006/relationships/hyperlink" Target="https://github.com/cloudwarriors-ai/tesseract-platform/issues/8" TargetMode="External"/><Relationship Id="rId812" Type="http://schemas.openxmlformats.org/officeDocument/2006/relationships/hyperlink" Target="https://github.com/cloudwarriors-ai/tesseract-platform/issues/11" TargetMode="External"/><Relationship Id="rId609" Type="http://schemas.openxmlformats.org/officeDocument/2006/relationships/hyperlink" Target="https://github.com/cloudwarriors-ai/tesseract-frontend/issues/122" TargetMode="External"/><Relationship Id="rId608" Type="http://schemas.openxmlformats.org/officeDocument/2006/relationships/hyperlink" Target="https://github.com/cloudwarriors-ai/tesseract-frontend/issues/123" TargetMode="External"/><Relationship Id="rId607" Type="http://schemas.openxmlformats.org/officeDocument/2006/relationships/hyperlink" Target="https://github.com/cloudwarriors-ai/tesseract-frontend/issues/130" TargetMode="External"/><Relationship Id="rId602" Type="http://schemas.openxmlformats.org/officeDocument/2006/relationships/hyperlink" Target="https://github.com/cloudwarriors-ai/tesseract-frontend/issues/181" TargetMode="External"/><Relationship Id="rId601" Type="http://schemas.openxmlformats.org/officeDocument/2006/relationships/hyperlink" Target="https://github.com/cloudwarriors-ai/QA_Selenium_Tester/issues/3" TargetMode="External"/><Relationship Id="rId600" Type="http://schemas.openxmlformats.org/officeDocument/2006/relationships/hyperlink" Target="https://github.com/cloudwarriors-ai/QA_Selenium_Tester/issues/4" TargetMode="External"/><Relationship Id="rId606" Type="http://schemas.openxmlformats.org/officeDocument/2006/relationships/hyperlink" Target="https://github.com/cloudwarriors-ai/tesseract-frontend/issues/132" TargetMode="External"/><Relationship Id="rId605" Type="http://schemas.openxmlformats.org/officeDocument/2006/relationships/hyperlink" Target="https://github.com/cloudwarriors-ai/tesseract-frontend/issues/146" TargetMode="External"/><Relationship Id="rId604" Type="http://schemas.openxmlformats.org/officeDocument/2006/relationships/hyperlink" Target="https://github.com/cloudwarriors-ai/tesseract-frontend/issues/152" TargetMode="External"/><Relationship Id="rId603" Type="http://schemas.openxmlformats.org/officeDocument/2006/relationships/hyperlink" Target="https://github.com/cloudwarriors-ai/tesseract-frontend/issues/162" TargetMode="External"/><Relationship Id="rId228" Type="http://schemas.openxmlformats.org/officeDocument/2006/relationships/hyperlink" Target="https://github.com/cloudwarriors-ai/zoom_presales_django/issues/111" TargetMode="External"/><Relationship Id="rId227" Type="http://schemas.openxmlformats.org/officeDocument/2006/relationships/hyperlink" Target="https://github.com/cloudwarriors-ai/zoom_presales_django/issues/112" TargetMode="External"/><Relationship Id="rId469" Type="http://schemas.openxmlformats.org/officeDocument/2006/relationships/hyperlink" Target="https://github.com/cloudwarriors-ai/rapture-frontend/issues/96" TargetMode="External"/><Relationship Id="rId226" Type="http://schemas.openxmlformats.org/officeDocument/2006/relationships/hyperlink" Target="https://github.com/cloudwarriors-ai/zoom_presales_django/issues/113" TargetMode="External"/><Relationship Id="rId468" Type="http://schemas.openxmlformats.org/officeDocument/2006/relationships/hyperlink" Target="https://github.com/cloudwarriors-ai/rapture-frontend/issues/97" TargetMode="External"/><Relationship Id="rId225" Type="http://schemas.openxmlformats.org/officeDocument/2006/relationships/hyperlink" Target="https://github.com/cloudwarriors-ai/zoom_presales_django/issues/114" TargetMode="External"/><Relationship Id="rId467" Type="http://schemas.openxmlformats.org/officeDocument/2006/relationships/hyperlink" Target="https://github.com/cloudwarriors-ai/rapture-frontend/issues/98" TargetMode="External"/><Relationship Id="rId229" Type="http://schemas.openxmlformats.org/officeDocument/2006/relationships/hyperlink" Target="https://github.com/cloudwarriors-ai/zoom_presales_django/issues/110" TargetMode="External"/><Relationship Id="rId220" Type="http://schemas.openxmlformats.org/officeDocument/2006/relationships/hyperlink" Target="https://github.com/cloudwarriors-ai/zoom_presales_django/issues/119" TargetMode="External"/><Relationship Id="rId462" Type="http://schemas.openxmlformats.org/officeDocument/2006/relationships/hyperlink" Target="https://github.com/cloudwarriors-ai/rapture-frontend/issues/110" TargetMode="External"/><Relationship Id="rId461" Type="http://schemas.openxmlformats.org/officeDocument/2006/relationships/hyperlink" Target="https://github.com/cloudwarriors-ai/rapture-frontend/issues/111" TargetMode="External"/><Relationship Id="rId460" Type="http://schemas.openxmlformats.org/officeDocument/2006/relationships/hyperlink" Target="https://github.com/cloudwarriors-ai/rapture-frontend/issues/113" TargetMode="External"/><Relationship Id="rId224" Type="http://schemas.openxmlformats.org/officeDocument/2006/relationships/hyperlink" Target="https://github.com/cloudwarriors-ai/zoom_presales_django/issues/115" TargetMode="External"/><Relationship Id="rId466" Type="http://schemas.openxmlformats.org/officeDocument/2006/relationships/hyperlink" Target="https://github.com/cloudwarriors-ai/rapture-frontend/issues/100" TargetMode="External"/><Relationship Id="rId223" Type="http://schemas.openxmlformats.org/officeDocument/2006/relationships/hyperlink" Target="https://github.com/cloudwarriors-ai/zoom_presales_django/issues/116" TargetMode="External"/><Relationship Id="rId465" Type="http://schemas.openxmlformats.org/officeDocument/2006/relationships/hyperlink" Target="https://github.com/cloudwarriors-ai/rapture-frontend/issues/102" TargetMode="External"/><Relationship Id="rId222" Type="http://schemas.openxmlformats.org/officeDocument/2006/relationships/hyperlink" Target="https://github.com/cloudwarriors-ai/zoom_presales_django/issues/117" TargetMode="External"/><Relationship Id="rId464" Type="http://schemas.openxmlformats.org/officeDocument/2006/relationships/hyperlink" Target="https://github.com/cloudwarriors-ai/rapture-frontend/issues/108" TargetMode="External"/><Relationship Id="rId221" Type="http://schemas.openxmlformats.org/officeDocument/2006/relationships/hyperlink" Target="https://github.com/cloudwarriors-ai/zoom_presales_django/issues/118" TargetMode="External"/><Relationship Id="rId463" Type="http://schemas.openxmlformats.org/officeDocument/2006/relationships/hyperlink" Target="https://github.com/cloudwarriors-ai/rapture-frontend/issues/109" TargetMode="External"/><Relationship Id="rId217" Type="http://schemas.openxmlformats.org/officeDocument/2006/relationships/hyperlink" Target="https://github.com/cloudwarriors-ai/zoom_presales_django/issues/122" TargetMode="External"/><Relationship Id="rId459" Type="http://schemas.openxmlformats.org/officeDocument/2006/relationships/hyperlink" Target="https://github.com/cloudwarriors-ai/rapture-frontend/issues/114" TargetMode="External"/><Relationship Id="rId216" Type="http://schemas.openxmlformats.org/officeDocument/2006/relationships/hyperlink" Target="https://github.com/cloudwarriors-ai/zoom_presales_django/issues/123" TargetMode="External"/><Relationship Id="rId458" Type="http://schemas.openxmlformats.org/officeDocument/2006/relationships/hyperlink" Target="https://github.com/cloudwarriors-ai/rapture-frontend/issues/115" TargetMode="External"/><Relationship Id="rId215" Type="http://schemas.openxmlformats.org/officeDocument/2006/relationships/hyperlink" Target="https://github.com/cloudwarriors-ai/zoom_presales_django/issues/124" TargetMode="External"/><Relationship Id="rId457" Type="http://schemas.openxmlformats.org/officeDocument/2006/relationships/hyperlink" Target="https://github.com/cloudwarriors-ai/rapture-frontend/issues/116" TargetMode="External"/><Relationship Id="rId699" Type="http://schemas.openxmlformats.org/officeDocument/2006/relationships/hyperlink" Target="https://github.com/cloudwarriors-ai/zoomwarriors_2/issues/167" TargetMode="External"/><Relationship Id="rId214" Type="http://schemas.openxmlformats.org/officeDocument/2006/relationships/hyperlink" Target="https://github.com/cloudwarriors-ai/zoom_presales_django/issues/125" TargetMode="External"/><Relationship Id="rId456" Type="http://schemas.openxmlformats.org/officeDocument/2006/relationships/hyperlink" Target="https://github.com/cloudwarriors-ai/rapture-frontend/issues/117" TargetMode="External"/><Relationship Id="rId698" Type="http://schemas.openxmlformats.org/officeDocument/2006/relationships/hyperlink" Target="https://github.com/cloudwarriors-ai/zoomwarriors_2/issues/170" TargetMode="External"/><Relationship Id="rId219" Type="http://schemas.openxmlformats.org/officeDocument/2006/relationships/hyperlink" Target="https://github.com/cloudwarriors-ai/zoom_presales_django/issues/120" TargetMode="External"/><Relationship Id="rId218" Type="http://schemas.openxmlformats.org/officeDocument/2006/relationships/hyperlink" Target="https://github.com/cloudwarriors-ai/zoom_presales_django/issues/121" TargetMode="External"/><Relationship Id="rId451" Type="http://schemas.openxmlformats.org/officeDocument/2006/relationships/hyperlink" Target="https://github.com/cloudwarriors-ai/rapture-frontend/issues/136" TargetMode="External"/><Relationship Id="rId693" Type="http://schemas.openxmlformats.org/officeDocument/2006/relationships/hyperlink" Target="https://github.com/cloudwarriors-ai/zoomwarriors_2/issues/187" TargetMode="External"/><Relationship Id="rId450" Type="http://schemas.openxmlformats.org/officeDocument/2006/relationships/hyperlink" Target="https://github.com/cloudwarriors-ai/rapture-frontend/issues/137" TargetMode="External"/><Relationship Id="rId692" Type="http://schemas.openxmlformats.org/officeDocument/2006/relationships/hyperlink" Target="https://github.com/cloudwarriors-ai/zoomwarriors_2/issues/192" TargetMode="External"/><Relationship Id="rId691" Type="http://schemas.openxmlformats.org/officeDocument/2006/relationships/hyperlink" Target="https://github.com/cloudwarriors-ai/zoomwarriors_2/issues/193" TargetMode="External"/><Relationship Id="rId690" Type="http://schemas.openxmlformats.org/officeDocument/2006/relationships/hyperlink" Target="https://github.com/cloudwarriors-ai/zoomwarriors_2/issues/194" TargetMode="External"/><Relationship Id="rId213" Type="http://schemas.openxmlformats.org/officeDocument/2006/relationships/hyperlink" Target="https://github.com/cloudwarriors-ai/zoom_presales_django/issues/126" TargetMode="External"/><Relationship Id="rId455" Type="http://schemas.openxmlformats.org/officeDocument/2006/relationships/hyperlink" Target="https://github.com/cloudwarriors-ai/rapture-frontend/issues/119" TargetMode="External"/><Relationship Id="rId697" Type="http://schemas.openxmlformats.org/officeDocument/2006/relationships/hyperlink" Target="https://github.com/cloudwarriors-ai/zoomwarriors_2/issues/171" TargetMode="External"/><Relationship Id="rId212" Type="http://schemas.openxmlformats.org/officeDocument/2006/relationships/hyperlink" Target="https://github.com/cloudwarriors-ai/zoom_presales_django/issues/127" TargetMode="External"/><Relationship Id="rId454" Type="http://schemas.openxmlformats.org/officeDocument/2006/relationships/hyperlink" Target="https://github.com/cloudwarriors-ai/rapture-frontend/issues/120" TargetMode="External"/><Relationship Id="rId696" Type="http://schemas.openxmlformats.org/officeDocument/2006/relationships/hyperlink" Target="https://github.com/cloudwarriors-ai/zoomwarriors_2/issues/173" TargetMode="External"/><Relationship Id="rId211" Type="http://schemas.openxmlformats.org/officeDocument/2006/relationships/hyperlink" Target="https://github.com/cloudwarriors-ai/zoom_presales_django/issues/128" TargetMode="External"/><Relationship Id="rId453" Type="http://schemas.openxmlformats.org/officeDocument/2006/relationships/hyperlink" Target="https://github.com/cloudwarriors-ai/rapture-frontend/issues/126" TargetMode="External"/><Relationship Id="rId695" Type="http://schemas.openxmlformats.org/officeDocument/2006/relationships/hyperlink" Target="https://github.com/cloudwarriors-ai/zoomwarriors_2/issues/176" TargetMode="External"/><Relationship Id="rId210" Type="http://schemas.openxmlformats.org/officeDocument/2006/relationships/hyperlink" Target="https://github.com/cloudwarriors-ai/zoom_presales_django/issues/129" TargetMode="External"/><Relationship Id="rId452" Type="http://schemas.openxmlformats.org/officeDocument/2006/relationships/hyperlink" Target="https://github.com/cloudwarriors-ai/rapture-frontend/issues/131" TargetMode="External"/><Relationship Id="rId694" Type="http://schemas.openxmlformats.org/officeDocument/2006/relationships/hyperlink" Target="https://github.com/cloudwarriors-ai/zoomwarriors_2/issues/183" TargetMode="External"/><Relationship Id="rId491" Type="http://schemas.openxmlformats.org/officeDocument/2006/relationships/hyperlink" Target="https://github.com/cloudwarriors-ai/rapture-frontend/issues/34" TargetMode="External"/><Relationship Id="rId490" Type="http://schemas.openxmlformats.org/officeDocument/2006/relationships/hyperlink" Target="https://github.com/cloudwarriors-ai/rapture-frontend/issues/35" TargetMode="External"/><Relationship Id="rId249" Type="http://schemas.openxmlformats.org/officeDocument/2006/relationships/hyperlink" Target="https://github.com/cloudwarriors-ai/zoom_presales_django/issues/76" TargetMode="External"/><Relationship Id="rId248" Type="http://schemas.openxmlformats.org/officeDocument/2006/relationships/hyperlink" Target="https://github.com/cloudwarriors-ai/zoom_presales_django/issues/77" TargetMode="External"/><Relationship Id="rId247" Type="http://schemas.openxmlformats.org/officeDocument/2006/relationships/hyperlink" Target="https://github.com/cloudwarriors-ai/zoom_presales_django/issues/78" TargetMode="External"/><Relationship Id="rId489" Type="http://schemas.openxmlformats.org/officeDocument/2006/relationships/hyperlink" Target="https://github.com/cloudwarriors-ai/rapture-frontend/issues/36" TargetMode="External"/><Relationship Id="rId242" Type="http://schemas.openxmlformats.org/officeDocument/2006/relationships/hyperlink" Target="https://github.com/cloudwarriors-ai/zoom_presales_django/issues/84" TargetMode="External"/><Relationship Id="rId484" Type="http://schemas.openxmlformats.org/officeDocument/2006/relationships/hyperlink" Target="https://github.com/cloudwarriors-ai/rapture-frontend/issues/52" TargetMode="External"/><Relationship Id="rId241" Type="http://schemas.openxmlformats.org/officeDocument/2006/relationships/hyperlink" Target="https://github.com/cloudwarriors-ai/zoom_presales_django/issues/88" TargetMode="External"/><Relationship Id="rId483" Type="http://schemas.openxmlformats.org/officeDocument/2006/relationships/hyperlink" Target="https://github.com/cloudwarriors-ai/rapture-frontend/issues/55" TargetMode="External"/><Relationship Id="rId240" Type="http://schemas.openxmlformats.org/officeDocument/2006/relationships/hyperlink" Target="https://github.com/cloudwarriors-ai/zoom_presales_django/issues/90" TargetMode="External"/><Relationship Id="rId482" Type="http://schemas.openxmlformats.org/officeDocument/2006/relationships/hyperlink" Target="https://github.com/cloudwarriors-ai/rapture-frontend/issues/75" TargetMode="External"/><Relationship Id="rId481" Type="http://schemas.openxmlformats.org/officeDocument/2006/relationships/hyperlink" Target="https://github.com/cloudwarriors-ai/rapture-frontend/issues/76" TargetMode="External"/><Relationship Id="rId246" Type="http://schemas.openxmlformats.org/officeDocument/2006/relationships/hyperlink" Target="https://github.com/cloudwarriors-ai/zoom_presales_django/issues/79" TargetMode="External"/><Relationship Id="rId488" Type="http://schemas.openxmlformats.org/officeDocument/2006/relationships/hyperlink" Target="https://github.com/cloudwarriors-ai/rapture-frontend/issues/37" TargetMode="External"/><Relationship Id="rId245" Type="http://schemas.openxmlformats.org/officeDocument/2006/relationships/hyperlink" Target="https://github.com/cloudwarriors-ai/zoom_presales_django/issues/80" TargetMode="External"/><Relationship Id="rId487" Type="http://schemas.openxmlformats.org/officeDocument/2006/relationships/hyperlink" Target="https://github.com/cloudwarriors-ai/rapture-frontend/issues/40" TargetMode="External"/><Relationship Id="rId244" Type="http://schemas.openxmlformats.org/officeDocument/2006/relationships/hyperlink" Target="https://github.com/cloudwarriors-ai/zoom_presales_django/issues/81" TargetMode="External"/><Relationship Id="rId486" Type="http://schemas.openxmlformats.org/officeDocument/2006/relationships/hyperlink" Target="https://github.com/cloudwarriors-ai/rapture-frontend/issues/44" TargetMode="External"/><Relationship Id="rId243" Type="http://schemas.openxmlformats.org/officeDocument/2006/relationships/hyperlink" Target="https://github.com/cloudwarriors-ai/zoom_presales_django/issues/82" TargetMode="External"/><Relationship Id="rId485" Type="http://schemas.openxmlformats.org/officeDocument/2006/relationships/hyperlink" Target="https://github.com/cloudwarriors-ai/rapture-frontend/issues/45" TargetMode="External"/><Relationship Id="rId480" Type="http://schemas.openxmlformats.org/officeDocument/2006/relationships/hyperlink" Target="https://github.com/cloudwarriors-ai/rapture-frontend/issues/77" TargetMode="External"/><Relationship Id="rId239" Type="http://schemas.openxmlformats.org/officeDocument/2006/relationships/hyperlink" Target="https://github.com/cloudwarriors-ai/zoom_presales_django/issues/91" TargetMode="External"/><Relationship Id="rId238" Type="http://schemas.openxmlformats.org/officeDocument/2006/relationships/hyperlink" Target="https://github.com/cloudwarriors-ai/zoom_presales_django/issues/94" TargetMode="External"/><Relationship Id="rId237" Type="http://schemas.openxmlformats.org/officeDocument/2006/relationships/hyperlink" Target="https://github.com/cloudwarriors-ai/zoom_presales_django/issues/95" TargetMode="External"/><Relationship Id="rId479" Type="http://schemas.openxmlformats.org/officeDocument/2006/relationships/hyperlink" Target="https://github.com/cloudwarriors-ai/rapture-frontend/issues/78" TargetMode="External"/><Relationship Id="rId236" Type="http://schemas.openxmlformats.org/officeDocument/2006/relationships/hyperlink" Target="https://github.com/cloudwarriors-ai/zoom_presales_django/issues/96" TargetMode="External"/><Relationship Id="rId478" Type="http://schemas.openxmlformats.org/officeDocument/2006/relationships/hyperlink" Target="https://github.com/cloudwarriors-ai/rapture-frontend/issues/79" TargetMode="External"/><Relationship Id="rId231" Type="http://schemas.openxmlformats.org/officeDocument/2006/relationships/hyperlink" Target="https://github.com/cloudwarriors-ai/zoom_presales_django/issues/101" TargetMode="External"/><Relationship Id="rId473" Type="http://schemas.openxmlformats.org/officeDocument/2006/relationships/hyperlink" Target="https://github.com/cloudwarriors-ai/rapture-frontend/issues/92" TargetMode="External"/><Relationship Id="rId230" Type="http://schemas.openxmlformats.org/officeDocument/2006/relationships/hyperlink" Target="https://github.com/cloudwarriors-ai/zoom_presales_django/issues/106" TargetMode="External"/><Relationship Id="rId472" Type="http://schemas.openxmlformats.org/officeDocument/2006/relationships/hyperlink" Target="https://github.com/cloudwarriors-ai/rapture-frontend/issues/93" TargetMode="External"/><Relationship Id="rId471" Type="http://schemas.openxmlformats.org/officeDocument/2006/relationships/hyperlink" Target="https://github.com/cloudwarriors-ai/rapture-frontend/issues/94" TargetMode="External"/><Relationship Id="rId470" Type="http://schemas.openxmlformats.org/officeDocument/2006/relationships/hyperlink" Target="https://github.com/cloudwarriors-ai/rapture-frontend/issues/95" TargetMode="External"/><Relationship Id="rId235" Type="http://schemas.openxmlformats.org/officeDocument/2006/relationships/hyperlink" Target="https://github.com/cloudwarriors-ai/zoom_presales_django/issues/97" TargetMode="External"/><Relationship Id="rId477" Type="http://schemas.openxmlformats.org/officeDocument/2006/relationships/hyperlink" Target="https://github.com/cloudwarriors-ai/rapture-frontend/issues/83" TargetMode="External"/><Relationship Id="rId234" Type="http://schemas.openxmlformats.org/officeDocument/2006/relationships/hyperlink" Target="https://github.com/cloudwarriors-ai/zoom_presales_django/issues/98" TargetMode="External"/><Relationship Id="rId476" Type="http://schemas.openxmlformats.org/officeDocument/2006/relationships/hyperlink" Target="https://github.com/cloudwarriors-ai/rapture-frontend/issues/89" TargetMode="External"/><Relationship Id="rId233" Type="http://schemas.openxmlformats.org/officeDocument/2006/relationships/hyperlink" Target="https://github.com/cloudwarriors-ai/zoom_presales_django/issues/99" TargetMode="External"/><Relationship Id="rId475" Type="http://schemas.openxmlformats.org/officeDocument/2006/relationships/hyperlink" Target="https://github.com/cloudwarriors-ai/rapture-frontend/issues/90" TargetMode="External"/><Relationship Id="rId232" Type="http://schemas.openxmlformats.org/officeDocument/2006/relationships/hyperlink" Target="https://github.com/cloudwarriors-ai/zoom_presales_django/issues/100" TargetMode="External"/><Relationship Id="rId474" Type="http://schemas.openxmlformats.org/officeDocument/2006/relationships/hyperlink" Target="https://github.com/cloudwarriors-ai/rapture-frontend/issues/91" TargetMode="External"/><Relationship Id="rId426" Type="http://schemas.openxmlformats.org/officeDocument/2006/relationships/hyperlink" Target="https://github.com/cloudwarriors-ai/rapture-frontend/issues/191" TargetMode="External"/><Relationship Id="rId668" Type="http://schemas.openxmlformats.org/officeDocument/2006/relationships/hyperlink" Target="https://github.com/cloudwarriors-ai/PSO-Quoting-Tool/issues/19" TargetMode="External"/><Relationship Id="rId425" Type="http://schemas.openxmlformats.org/officeDocument/2006/relationships/hyperlink" Target="https://github.com/cloudwarriors-ai/rapture-frontend/issues/192" TargetMode="External"/><Relationship Id="rId667" Type="http://schemas.openxmlformats.org/officeDocument/2006/relationships/hyperlink" Target="https://github.com/cloudwarriors-ai/PSO-Quoting-Tool/issues/35" TargetMode="External"/><Relationship Id="rId424" Type="http://schemas.openxmlformats.org/officeDocument/2006/relationships/hyperlink" Target="https://github.com/cloudwarriors-ai/rapture-frontend/issues/193" TargetMode="External"/><Relationship Id="rId666" Type="http://schemas.openxmlformats.org/officeDocument/2006/relationships/hyperlink" Target="https://github.com/cloudwarriors-ai/github_issues_tracker/issues/1" TargetMode="External"/><Relationship Id="rId423" Type="http://schemas.openxmlformats.org/officeDocument/2006/relationships/hyperlink" Target="https://github.com/cloudwarriors-ai/rapture-frontend/issues/194" TargetMode="External"/><Relationship Id="rId665" Type="http://schemas.openxmlformats.org/officeDocument/2006/relationships/hyperlink" Target="https://github.com/cloudwarriors-ai/github_issues_tracker/issues/2" TargetMode="External"/><Relationship Id="rId429" Type="http://schemas.openxmlformats.org/officeDocument/2006/relationships/hyperlink" Target="https://github.com/cloudwarriors-ai/rapture-frontend/issues/188" TargetMode="External"/><Relationship Id="rId428" Type="http://schemas.openxmlformats.org/officeDocument/2006/relationships/hyperlink" Target="https://github.com/cloudwarriors-ai/rapture-frontend/issues/189" TargetMode="External"/><Relationship Id="rId427" Type="http://schemas.openxmlformats.org/officeDocument/2006/relationships/hyperlink" Target="https://github.com/cloudwarriors-ai/rapture-frontend/issues/190" TargetMode="External"/><Relationship Id="rId669" Type="http://schemas.openxmlformats.org/officeDocument/2006/relationships/hyperlink" Target="https://github.com/cloudwarriors-ai/PSO-Quoting-Tool/issues/18" TargetMode="External"/><Relationship Id="rId660" Type="http://schemas.openxmlformats.org/officeDocument/2006/relationships/hyperlink" Target="https://github.com/cloudwarriors-ai/tesseract-frontend/issues/6" TargetMode="External"/><Relationship Id="rId422" Type="http://schemas.openxmlformats.org/officeDocument/2006/relationships/hyperlink" Target="https://github.com/cloudwarriors-ai/rapture-frontend/issues/195" TargetMode="External"/><Relationship Id="rId664" Type="http://schemas.openxmlformats.org/officeDocument/2006/relationships/hyperlink" Target="https://github.com/cloudwarriors-ai/github_issues_tracker/issues/3" TargetMode="External"/><Relationship Id="rId421" Type="http://schemas.openxmlformats.org/officeDocument/2006/relationships/hyperlink" Target="https://github.com/cloudwarriors-ai/rapture-frontend/issues/197" TargetMode="External"/><Relationship Id="rId663" Type="http://schemas.openxmlformats.org/officeDocument/2006/relationships/hyperlink" Target="https://github.com/cloudwarriors-ai/tesseract-frontend/issues/3" TargetMode="External"/><Relationship Id="rId420" Type="http://schemas.openxmlformats.org/officeDocument/2006/relationships/hyperlink" Target="https://github.com/cloudwarriors-ai/rapture-frontend/issues/201" TargetMode="External"/><Relationship Id="rId662" Type="http://schemas.openxmlformats.org/officeDocument/2006/relationships/hyperlink" Target="https://github.com/cloudwarriors-ai/tesseract-frontend/issues/4" TargetMode="External"/><Relationship Id="rId661" Type="http://schemas.openxmlformats.org/officeDocument/2006/relationships/hyperlink" Target="https://github.com/cloudwarriors-ai/tesseract-frontend/issues/5" TargetMode="External"/><Relationship Id="rId415" Type="http://schemas.openxmlformats.org/officeDocument/2006/relationships/hyperlink" Target="https://github.com/cloudwarriors-ai/rapture-frontend/issues/206" TargetMode="External"/><Relationship Id="rId657" Type="http://schemas.openxmlformats.org/officeDocument/2006/relationships/hyperlink" Target="https://github.com/cloudwarriors-ai/tesseract-frontend/issues/10" TargetMode="External"/><Relationship Id="rId414" Type="http://schemas.openxmlformats.org/officeDocument/2006/relationships/hyperlink" Target="https://github.com/cloudwarriors-ai/rapture-frontend/issues/211" TargetMode="External"/><Relationship Id="rId656" Type="http://schemas.openxmlformats.org/officeDocument/2006/relationships/hyperlink" Target="https://github.com/cloudwarriors-ai/tesseract-frontend/issues/11" TargetMode="External"/><Relationship Id="rId413" Type="http://schemas.openxmlformats.org/officeDocument/2006/relationships/hyperlink" Target="https://github.com/cloudwarriors-ai/rapture-frontend/issues/212" TargetMode="External"/><Relationship Id="rId655" Type="http://schemas.openxmlformats.org/officeDocument/2006/relationships/hyperlink" Target="https://github.com/cloudwarriors-ai/tesseract-frontend/issues/12" TargetMode="External"/><Relationship Id="rId412" Type="http://schemas.openxmlformats.org/officeDocument/2006/relationships/hyperlink" Target="https://github.com/cloudwarriors-ai/rapture-frontend/issues/213" TargetMode="External"/><Relationship Id="rId654" Type="http://schemas.openxmlformats.org/officeDocument/2006/relationships/hyperlink" Target="https://github.com/cloudwarriors-ai/tesseract-frontend/issues/13" TargetMode="External"/><Relationship Id="rId419" Type="http://schemas.openxmlformats.org/officeDocument/2006/relationships/hyperlink" Target="https://github.com/cloudwarriors-ai/rapture-frontend/issues/202" TargetMode="External"/><Relationship Id="rId418" Type="http://schemas.openxmlformats.org/officeDocument/2006/relationships/hyperlink" Target="https://github.com/cloudwarriors-ai/rapture-frontend/issues/203" TargetMode="External"/><Relationship Id="rId417" Type="http://schemas.openxmlformats.org/officeDocument/2006/relationships/hyperlink" Target="https://github.com/cloudwarriors-ai/rapture-frontend/issues/204" TargetMode="External"/><Relationship Id="rId659" Type="http://schemas.openxmlformats.org/officeDocument/2006/relationships/hyperlink" Target="https://github.com/cloudwarriors-ai/tesseract-frontend/issues/7" TargetMode="External"/><Relationship Id="rId416" Type="http://schemas.openxmlformats.org/officeDocument/2006/relationships/hyperlink" Target="https://github.com/cloudwarriors-ai/rapture-frontend/issues/205" TargetMode="External"/><Relationship Id="rId658" Type="http://schemas.openxmlformats.org/officeDocument/2006/relationships/hyperlink" Target="https://github.com/cloudwarriors-ai/tesseract-frontend/issues/9" TargetMode="External"/><Relationship Id="rId411" Type="http://schemas.openxmlformats.org/officeDocument/2006/relationships/hyperlink" Target="https://github.com/cloudwarriors-ai/rapture-frontend/issues/214" TargetMode="External"/><Relationship Id="rId653" Type="http://schemas.openxmlformats.org/officeDocument/2006/relationships/hyperlink" Target="https://github.com/cloudwarriors-ai/tesseract-frontend/issues/17" TargetMode="External"/><Relationship Id="rId410" Type="http://schemas.openxmlformats.org/officeDocument/2006/relationships/hyperlink" Target="https://github.com/cloudwarriors-ai/rapture-frontend/issues/218" TargetMode="External"/><Relationship Id="rId652" Type="http://schemas.openxmlformats.org/officeDocument/2006/relationships/hyperlink" Target="https://github.com/cloudwarriors-ai/tesseract-frontend/issues/20" TargetMode="External"/><Relationship Id="rId651" Type="http://schemas.openxmlformats.org/officeDocument/2006/relationships/hyperlink" Target="https://github.com/cloudwarriors-ai/tesseract-frontend/issues/21" TargetMode="External"/><Relationship Id="rId650" Type="http://schemas.openxmlformats.org/officeDocument/2006/relationships/hyperlink" Target="https://github.com/cloudwarriors-ai/tesseract-frontend/issues/22" TargetMode="External"/><Relationship Id="rId206" Type="http://schemas.openxmlformats.org/officeDocument/2006/relationships/hyperlink" Target="https://github.com/cloudwarriors-ai/zoom_presales_django/issues/139" TargetMode="External"/><Relationship Id="rId448" Type="http://schemas.openxmlformats.org/officeDocument/2006/relationships/hyperlink" Target="https://github.com/cloudwarriors-ai/rapture-frontend/issues/155" TargetMode="External"/><Relationship Id="rId205" Type="http://schemas.openxmlformats.org/officeDocument/2006/relationships/hyperlink" Target="https://github.com/cloudwarriors-ai/zoom_presales_django/issues/140" TargetMode="External"/><Relationship Id="rId447" Type="http://schemas.openxmlformats.org/officeDocument/2006/relationships/hyperlink" Target="https://github.com/cloudwarriors-ai/rapture-frontend/issues/166" TargetMode="External"/><Relationship Id="rId689" Type="http://schemas.openxmlformats.org/officeDocument/2006/relationships/hyperlink" Target="https://github.com/cloudwarriors-ai/zoomwarriors_2/issues/199" TargetMode="External"/><Relationship Id="rId204" Type="http://schemas.openxmlformats.org/officeDocument/2006/relationships/hyperlink" Target="https://github.com/cloudwarriors-ai/zoom_presales_django/issues/141" TargetMode="External"/><Relationship Id="rId446" Type="http://schemas.openxmlformats.org/officeDocument/2006/relationships/hyperlink" Target="https://github.com/cloudwarriors-ai/rapture-frontend/issues/167" TargetMode="External"/><Relationship Id="rId688" Type="http://schemas.openxmlformats.org/officeDocument/2006/relationships/hyperlink" Target="https://github.com/cloudwarriors-ai/zoomwarriors_2/issues/200" TargetMode="External"/><Relationship Id="rId203" Type="http://schemas.openxmlformats.org/officeDocument/2006/relationships/hyperlink" Target="https://github.com/cloudwarriors-ai/zoom_presales_django/issues/142" TargetMode="External"/><Relationship Id="rId445" Type="http://schemas.openxmlformats.org/officeDocument/2006/relationships/hyperlink" Target="https://github.com/cloudwarriors-ai/rapture-frontend/issues/168" TargetMode="External"/><Relationship Id="rId687" Type="http://schemas.openxmlformats.org/officeDocument/2006/relationships/hyperlink" Target="https://github.com/cloudwarriors-ai/zoomwarriors_2/issues/202" TargetMode="External"/><Relationship Id="rId209" Type="http://schemas.openxmlformats.org/officeDocument/2006/relationships/hyperlink" Target="https://github.com/cloudwarriors-ai/zoom_presales_django/issues/130" TargetMode="External"/><Relationship Id="rId208" Type="http://schemas.openxmlformats.org/officeDocument/2006/relationships/hyperlink" Target="https://github.com/cloudwarriors-ai/zoom_presales_django/issues/131" TargetMode="External"/><Relationship Id="rId207" Type="http://schemas.openxmlformats.org/officeDocument/2006/relationships/hyperlink" Target="https://github.com/cloudwarriors-ai/zoom_presales_django/issues/132" TargetMode="External"/><Relationship Id="rId449" Type="http://schemas.openxmlformats.org/officeDocument/2006/relationships/hyperlink" Target="https://github.com/cloudwarriors-ai/rapture-frontend/issues/148" TargetMode="External"/><Relationship Id="rId440" Type="http://schemas.openxmlformats.org/officeDocument/2006/relationships/hyperlink" Target="https://github.com/cloudwarriors-ai/rapture-frontend/issues/174" TargetMode="External"/><Relationship Id="rId682" Type="http://schemas.openxmlformats.org/officeDocument/2006/relationships/hyperlink" Target="https://github.com/cloudwarriors-ai/PSO-Quoting-Tool/issues/4" TargetMode="External"/><Relationship Id="rId681" Type="http://schemas.openxmlformats.org/officeDocument/2006/relationships/hyperlink" Target="https://github.com/cloudwarriors-ai/PSO-Quoting-Tool/issues/5" TargetMode="External"/><Relationship Id="rId680" Type="http://schemas.openxmlformats.org/officeDocument/2006/relationships/hyperlink" Target="https://github.com/cloudwarriors-ai/PSO-Quoting-Tool/issues/6" TargetMode="External"/><Relationship Id="rId202" Type="http://schemas.openxmlformats.org/officeDocument/2006/relationships/hyperlink" Target="https://github.com/cloudwarriors-ai/zoom_presales_django/issues/143" TargetMode="External"/><Relationship Id="rId444" Type="http://schemas.openxmlformats.org/officeDocument/2006/relationships/hyperlink" Target="https://github.com/cloudwarriors-ai/rapture-frontend/issues/169" TargetMode="External"/><Relationship Id="rId686" Type="http://schemas.openxmlformats.org/officeDocument/2006/relationships/hyperlink" Target="https://github.com/cloudwarriors-ai/zoomwarriors_2/issues/215" TargetMode="External"/><Relationship Id="rId201" Type="http://schemas.openxmlformats.org/officeDocument/2006/relationships/hyperlink" Target="https://github.com/cloudwarriors-ai/zoom_presales_django/issues/144" TargetMode="External"/><Relationship Id="rId443" Type="http://schemas.openxmlformats.org/officeDocument/2006/relationships/hyperlink" Target="https://github.com/cloudwarriors-ai/rapture-frontend/issues/170" TargetMode="External"/><Relationship Id="rId685" Type="http://schemas.openxmlformats.org/officeDocument/2006/relationships/hyperlink" Target="https://github.com/cloudwarriors-ai/PSO-Quoting-Tool/issues/1" TargetMode="External"/><Relationship Id="rId200" Type="http://schemas.openxmlformats.org/officeDocument/2006/relationships/hyperlink" Target="https://github.com/cloudwarriors-ai/zoom_presales_django/issues/148" TargetMode="External"/><Relationship Id="rId442" Type="http://schemas.openxmlformats.org/officeDocument/2006/relationships/hyperlink" Target="https://github.com/cloudwarriors-ai/rapture-frontend/issues/171" TargetMode="External"/><Relationship Id="rId684" Type="http://schemas.openxmlformats.org/officeDocument/2006/relationships/hyperlink" Target="https://github.com/cloudwarriors-ai/PSO-Quoting-Tool/issues/2" TargetMode="External"/><Relationship Id="rId441" Type="http://schemas.openxmlformats.org/officeDocument/2006/relationships/hyperlink" Target="https://github.com/cloudwarriors-ai/rapture-frontend/issues/172" TargetMode="External"/><Relationship Id="rId683" Type="http://schemas.openxmlformats.org/officeDocument/2006/relationships/hyperlink" Target="https://github.com/cloudwarriors-ai/PSO-Quoting-Tool/issues/3" TargetMode="External"/><Relationship Id="rId437" Type="http://schemas.openxmlformats.org/officeDocument/2006/relationships/hyperlink" Target="https://github.com/cloudwarriors-ai/rapture-frontend/issues/177" TargetMode="External"/><Relationship Id="rId679" Type="http://schemas.openxmlformats.org/officeDocument/2006/relationships/hyperlink" Target="https://github.com/cloudwarriors-ai/PSO-Quoting-Tool/issues/7" TargetMode="External"/><Relationship Id="rId436" Type="http://schemas.openxmlformats.org/officeDocument/2006/relationships/hyperlink" Target="https://github.com/cloudwarriors-ai/rapture-frontend/issues/179" TargetMode="External"/><Relationship Id="rId678" Type="http://schemas.openxmlformats.org/officeDocument/2006/relationships/hyperlink" Target="https://github.com/cloudwarriors-ai/PSO-Quoting-Tool/issues/8" TargetMode="External"/><Relationship Id="rId435" Type="http://schemas.openxmlformats.org/officeDocument/2006/relationships/hyperlink" Target="https://github.com/cloudwarriors-ai/rapture-frontend/issues/180" TargetMode="External"/><Relationship Id="rId677" Type="http://schemas.openxmlformats.org/officeDocument/2006/relationships/hyperlink" Target="https://github.com/cloudwarriors-ai/PSO-Quoting-Tool/issues/9" TargetMode="External"/><Relationship Id="rId434" Type="http://schemas.openxmlformats.org/officeDocument/2006/relationships/hyperlink" Target="https://github.com/cloudwarriors-ai/rapture-frontend/issues/181" TargetMode="External"/><Relationship Id="rId676" Type="http://schemas.openxmlformats.org/officeDocument/2006/relationships/hyperlink" Target="https://github.com/cloudwarriors-ai/PSO-Quoting-Tool/issues/10" TargetMode="External"/><Relationship Id="rId439" Type="http://schemas.openxmlformats.org/officeDocument/2006/relationships/hyperlink" Target="https://github.com/cloudwarriors-ai/rapture-frontend/issues/175" TargetMode="External"/><Relationship Id="rId438" Type="http://schemas.openxmlformats.org/officeDocument/2006/relationships/hyperlink" Target="https://github.com/cloudwarriors-ai/rapture-frontend/issues/176" TargetMode="External"/><Relationship Id="rId671" Type="http://schemas.openxmlformats.org/officeDocument/2006/relationships/hyperlink" Target="https://github.com/cloudwarriors-ai/PSO-Quoting-Tool/issues/16" TargetMode="External"/><Relationship Id="rId670" Type="http://schemas.openxmlformats.org/officeDocument/2006/relationships/hyperlink" Target="https://github.com/cloudwarriors-ai/PSO-Quoting-Tool/issues/17" TargetMode="External"/><Relationship Id="rId433" Type="http://schemas.openxmlformats.org/officeDocument/2006/relationships/hyperlink" Target="https://github.com/cloudwarriors-ai/rapture-frontend/issues/182" TargetMode="External"/><Relationship Id="rId675" Type="http://schemas.openxmlformats.org/officeDocument/2006/relationships/hyperlink" Target="https://github.com/cloudwarriors-ai/PSO-Quoting-Tool/issues/11" TargetMode="External"/><Relationship Id="rId432" Type="http://schemas.openxmlformats.org/officeDocument/2006/relationships/hyperlink" Target="https://github.com/cloudwarriors-ai/rapture-frontend/issues/183" TargetMode="External"/><Relationship Id="rId674" Type="http://schemas.openxmlformats.org/officeDocument/2006/relationships/hyperlink" Target="https://github.com/cloudwarriors-ai/PSO-Quoting-Tool/issues/12" TargetMode="External"/><Relationship Id="rId431" Type="http://schemas.openxmlformats.org/officeDocument/2006/relationships/hyperlink" Target="https://github.com/cloudwarriors-ai/rapture-frontend/issues/186" TargetMode="External"/><Relationship Id="rId673" Type="http://schemas.openxmlformats.org/officeDocument/2006/relationships/hyperlink" Target="https://github.com/cloudwarriors-ai/PSO-Quoting-Tool/issues/14" TargetMode="External"/><Relationship Id="rId430" Type="http://schemas.openxmlformats.org/officeDocument/2006/relationships/hyperlink" Target="https://github.com/cloudwarriors-ai/rapture-frontend/issues/187" TargetMode="External"/><Relationship Id="rId672" Type="http://schemas.openxmlformats.org/officeDocument/2006/relationships/hyperlink" Target="https://github.com/cloudwarriors-ai/PSO-Quoting-Tool/issues/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23.14"/>
    <col customWidth="1" min="3" max="5" width="8.71"/>
    <col customWidth="1" min="6" max="6" width="12.57"/>
    <col customWidth="1" min="7" max="7" width="8.14"/>
    <col customWidth="1" hidden="1" min="8" max="8" width="8.71"/>
    <col customWidth="1" hidden="1" min="9" max="9" width="12.86"/>
    <col customWidth="1" hidden="1" min="10" max="12" width="8.71"/>
    <col customWidth="1" min="13" max="13" width="10.86"/>
    <col customWidth="1" min="14" max="14" width="11.57"/>
    <col customWidth="1" min="15" max="15" width="12.57"/>
    <col customWidth="1" min="16" max="16" width="13.57"/>
    <col customWidth="1" min="17" max="17" width="5.57"/>
    <col customWidth="1" min="18" max="18" width="5.0"/>
    <col customWidth="1" min="19" max="19" width="22.0"/>
    <col customWidth="1" min="20" max="20" width="11.43"/>
    <col customWidth="1" min="21" max="35" width="8.14"/>
    <col customWidth="1" min="36" max="36" width="19.29"/>
    <col customWidth="1" min="37" max="37" width="25.43"/>
    <col customWidth="1" min="38" max="48" width="8.71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1" t="s">
        <v>1</v>
      </c>
      <c r="N1" s="2"/>
      <c r="O1" s="2"/>
      <c r="P1" s="3"/>
      <c r="S1" s="1" t="s">
        <v>2</v>
      </c>
      <c r="T1" s="2"/>
      <c r="U1" s="2"/>
      <c r="V1" s="2"/>
      <c r="W1" s="2"/>
      <c r="X1" s="2"/>
      <c r="Y1" s="2"/>
      <c r="Z1" s="2"/>
      <c r="AA1" s="2"/>
      <c r="AB1" s="2"/>
      <c r="AC1" s="3"/>
      <c r="AD1" s="5"/>
      <c r="AE1" s="5"/>
    </row>
    <row r="2">
      <c r="A2" s="6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S2" s="6" t="s">
        <v>4</v>
      </c>
      <c r="T2" s="2"/>
      <c r="U2" s="2"/>
      <c r="V2" s="2"/>
      <c r="W2" s="2"/>
      <c r="X2" s="2"/>
      <c r="Y2" s="2"/>
      <c r="Z2" s="2"/>
      <c r="AA2" s="2"/>
      <c r="AB2" s="2"/>
      <c r="AC2" s="3"/>
      <c r="AD2" s="7"/>
      <c r="AE2" s="7"/>
    </row>
    <row r="3">
      <c r="A3" s="8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4"/>
      <c r="I3" s="4"/>
      <c r="J3" s="4"/>
      <c r="K3" s="4"/>
      <c r="L3" s="4"/>
      <c r="M3" s="8" t="s">
        <v>12</v>
      </c>
      <c r="N3" s="9" t="s">
        <v>13</v>
      </c>
      <c r="O3" s="9" t="s">
        <v>14</v>
      </c>
      <c r="P3" s="9" t="s">
        <v>15</v>
      </c>
      <c r="S3" s="10" t="s">
        <v>16</v>
      </c>
      <c r="T3" s="9" t="s">
        <v>17</v>
      </c>
      <c r="U3" s="9" t="s">
        <v>18</v>
      </c>
      <c r="V3" s="9" t="s">
        <v>19</v>
      </c>
      <c r="W3" s="9" t="s">
        <v>20</v>
      </c>
      <c r="X3" s="9" t="s">
        <v>21</v>
      </c>
      <c r="Y3" s="9" t="s">
        <v>22</v>
      </c>
      <c r="Z3" s="9" t="s">
        <v>23</v>
      </c>
      <c r="AA3" s="9" t="s">
        <v>24</v>
      </c>
      <c r="AB3" s="9" t="s">
        <v>25</v>
      </c>
      <c r="AC3" s="11" t="s">
        <v>26</v>
      </c>
      <c r="AD3" s="9" t="s">
        <v>27</v>
      </c>
      <c r="AE3" s="9" t="s">
        <v>28</v>
      </c>
      <c r="AF3" s="9" t="s">
        <v>29</v>
      </c>
      <c r="AG3" s="9" t="s">
        <v>30</v>
      </c>
    </row>
    <row r="4">
      <c r="A4" s="12" t="s">
        <v>31</v>
      </c>
      <c r="B4" s="12" t="s">
        <v>32</v>
      </c>
      <c r="C4" s="12">
        <f>COUNTIFS('All Issues'!B:B, "*Tesseract - Backend*", 'All Issues'!E:E, "open")</f>
        <v>14</v>
      </c>
      <c r="D4" s="12">
        <f>COUNTIFS('All Issues'!B:B, "*Tesseract - Backend*", 'All Issues'!E:E, "closed")</f>
        <v>66</v>
      </c>
      <c r="E4" s="12">
        <f>COUNTIF('All Issues'!B:B, "*Tesseract - Backend*")</f>
        <v>80</v>
      </c>
      <c r="F4" s="13">
        <f>D4/$E$4</f>
        <v>0.825</v>
      </c>
      <c r="G4" s="14" t="s">
        <v>33</v>
      </c>
      <c r="H4" s="4"/>
      <c r="I4" s="4"/>
      <c r="J4" s="4"/>
      <c r="K4" s="4"/>
      <c r="L4" s="4"/>
      <c r="M4" s="12">
        <f>COUNTIFS('All Issues'!B:B, "*Tesseract - Backend*", 'All Issues'!E:E, "open", 'All Issues'!M:M, "Task")</f>
        <v>13</v>
      </c>
      <c r="N4" s="12">
        <f>COUNTIFS('All Issues'!B:B, "*Tesseract - Backend*", 'All Issues'!E:E, "open", 'All Issues'!M:M, "Bug")</f>
        <v>1</v>
      </c>
      <c r="O4" s="12">
        <f>COUNTIFS('All Issues'!B:B, "*Tesseract - Backend*", 'All Issues'!E:E, "open", 'All Issues'!M:M, "Feature")</f>
        <v>0</v>
      </c>
      <c r="P4" s="12">
        <f>COUNTIFS('All Issues'!B:B, "*Tesseract - Backend*", 'All Issues'!E:E, "open", 'All Issues'!M:M, "Not Specified")</f>
        <v>0</v>
      </c>
      <c r="S4" s="15" t="s">
        <v>34</v>
      </c>
      <c r="T4" s="16">
        <f>COUNTIFS('All Issues'!E:E, "open", 'All Issues'!O:O, "*voipin*")</f>
        <v>0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7"/>
      <c r="AF4" s="17"/>
      <c r="AG4" s="12"/>
    </row>
    <row r="5">
      <c r="A5" s="12" t="s">
        <v>35</v>
      </c>
      <c r="B5" s="12" t="s">
        <v>36</v>
      </c>
      <c r="C5" s="12">
        <f>COUNTIFS('All Issues'!B:B, "*Tesseract - Frontend*", 'All Issues'!E:E, "open")</f>
        <v>4</v>
      </c>
      <c r="D5" s="12">
        <f>COUNTIFS('All Issues'!B:B, "*Tesseract - Frontend*", 'All Issues'!E:E, "closed")</f>
        <v>58</v>
      </c>
      <c r="E5" s="12">
        <f>COUNTIF('All Issues'!B:B, "*Tesseract - Frontend*")</f>
        <v>62</v>
      </c>
      <c r="F5" s="13">
        <f t="shared" ref="F5:F6" si="1">D5/$E$5</f>
        <v>0.935483871</v>
      </c>
      <c r="G5" s="14" t="s">
        <v>33</v>
      </c>
      <c r="H5" s="4"/>
      <c r="I5" s="4"/>
      <c r="J5" s="4"/>
      <c r="K5" s="4"/>
      <c r="L5" s="4"/>
      <c r="M5" s="12">
        <f>COUNTIFS('All Issues'!B:B, "*Tesseract - Frontend*", 'All Issues'!E:E, "open", 'All Issues'!M:M, "Task")</f>
        <v>1</v>
      </c>
      <c r="N5" s="12">
        <f>COUNTIFS('All Issues'!B:B, "*Tesseract - Frontend*", 'All Issues'!E:E, "open", 'All Issues'!M:M, "Bug")</f>
        <v>2</v>
      </c>
      <c r="O5" s="12">
        <f>COUNTIFS('All Issues'!B:B, "*Tesseract - Frontend*", 'All Issues'!E:E, "open", 'All Issues'!M:M, "Feature")</f>
        <v>1</v>
      </c>
      <c r="P5" s="12">
        <f>COUNTIFS('All Issues'!B:B, "*Tesseract - Frontend*", 'All Issues'!E:E, "open", 'All Issues'!M:M, "Not Specified")</f>
        <v>0</v>
      </c>
      <c r="S5" s="15" t="s">
        <v>37</v>
      </c>
      <c r="T5" s="16">
        <f>COUNTIFS('All Issues'!E:E, "open", 'All Issues'!O:O, "*Chaddacus*")</f>
        <v>13</v>
      </c>
      <c r="U5" s="12"/>
      <c r="V5" s="12"/>
      <c r="W5" s="12"/>
      <c r="X5" s="18">
        <v>1.0</v>
      </c>
      <c r="Y5" s="18">
        <v>10.0</v>
      </c>
      <c r="Z5" s="12"/>
      <c r="AA5" s="12"/>
      <c r="AB5" s="12"/>
      <c r="AC5" s="12"/>
      <c r="AD5" s="18">
        <v>2.0</v>
      </c>
      <c r="AE5" s="17"/>
      <c r="AF5" s="17"/>
      <c r="AG5" s="12"/>
    </row>
    <row r="6">
      <c r="A6" s="12" t="s">
        <v>38</v>
      </c>
      <c r="B6" s="12" t="s">
        <v>39</v>
      </c>
      <c r="C6" s="12">
        <f>COUNTIFS('All Issues'!B:B, "*Tesseract Platform*", 'All Issues'!E:E, "open")</f>
        <v>2</v>
      </c>
      <c r="D6" s="12">
        <f>COUNTIFS('All Issues'!B:B, "*Tesseract Platform*", 'All Issues'!E:E, "closed")</f>
        <v>1</v>
      </c>
      <c r="E6" s="12">
        <f>COUNTIF('All Issues'!B:B, "*Tesseract Platform*")</f>
        <v>3</v>
      </c>
      <c r="F6" s="13">
        <f t="shared" si="1"/>
        <v>0.01612903226</v>
      </c>
      <c r="G6" s="19" t="s">
        <v>40</v>
      </c>
      <c r="H6" s="4"/>
      <c r="I6" s="4"/>
      <c r="J6" s="4"/>
      <c r="K6" s="4"/>
      <c r="L6" s="4"/>
      <c r="M6" s="12">
        <f>COUNTIFS('All Issues'!B:B, "*Tesseract Platform*", 'All Issues'!E:E, "open", 'All Issues'!M:M, "Task")</f>
        <v>1</v>
      </c>
      <c r="N6" s="12">
        <f>COUNTIFS('All Issues'!B:B, "*Tesseract Platform*", 'All Issues'!E:E, "open", 'All Issues'!M:M, "Bug")</f>
        <v>0</v>
      </c>
      <c r="O6" s="12">
        <f>COUNTIFS('All Issues'!B:B, "*Tesseract Platform*", 'All Issues'!E:E, "open", 'All Issues'!M:M, "Feature")</f>
        <v>0</v>
      </c>
      <c r="P6" s="12">
        <f>COUNTIFS('All Issues'!B:B, "*Tesseract Platform*", 'All Issues'!E:E, "open", 'All Issues'!M:M, "Not Specified")</f>
        <v>1</v>
      </c>
      <c r="S6" s="20" t="s">
        <v>41</v>
      </c>
      <c r="T6" s="16">
        <f>COUNTIFS('All Issues'!E:E, "open", 'All Issues'!O:O, "*trentcharlton*")</f>
        <v>14</v>
      </c>
      <c r="U6" s="18">
        <v>4.0</v>
      </c>
      <c r="V6" s="18">
        <v>1.0</v>
      </c>
      <c r="W6" s="18">
        <v>2.0</v>
      </c>
      <c r="X6" s="12"/>
      <c r="Y6" s="18">
        <v>7.0</v>
      </c>
      <c r="Z6" s="12"/>
      <c r="AA6" s="12"/>
      <c r="AB6" s="12"/>
      <c r="AC6" s="12"/>
      <c r="AD6" s="12"/>
      <c r="AE6" s="17"/>
      <c r="AF6" s="17"/>
      <c r="AG6" s="12"/>
    </row>
    <row r="7">
      <c r="A7" s="12" t="s">
        <v>42</v>
      </c>
      <c r="B7" s="12" t="s">
        <v>43</v>
      </c>
      <c r="C7" s="12">
        <f>COUNTIFS('All Issues'!B:B, "*MACD - Rapture*", 'All Issues'!E:E, "open")</f>
        <v>2</v>
      </c>
      <c r="D7" s="12">
        <f>COUNTIFS('All Issues'!B:B, "*MACD - Rapture*", 'All Issues'!E:E, "closed")</f>
        <v>28</v>
      </c>
      <c r="E7" s="12">
        <f>COUNTIF('All Issues'!B:B, "*MACD - Rapture*")</f>
        <v>30</v>
      </c>
      <c r="F7" s="13">
        <f t="shared" ref="F7:F15" si="2">D7/E7</f>
        <v>0.9333333333</v>
      </c>
      <c r="G7" s="14" t="s">
        <v>33</v>
      </c>
      <c r="H7" s="4"/>
      <c r="I7" s="4"/>
      <c r="J7" s="4"/>
      <c r="K7" s="4"/>
      <c r="L7" s="4"/>
      <c r="M7" s="12">
        <f>COUNTIFS('All Issues'!B:B, "*MACD - Rapture*", 'All Issues'!E:E, "open", 'All Issues'!M:M, "Task")</f>
        <v>0</v>
      </c>
      <c r="N7" s="12">
        <f>COUNTIFS('All Issues'!B:B, "*MACD - Rapture*", 'All Issues'!E:E, "open", 'All Issues'!M:M, "Bug")</f>
        <v>1</v>
      </c>
      <c r="O7" s="12">
        <f>COUNTIFS('All Issues'!B:B, "*MACD - Rapture*", 'All Issues'!E:E, "open", 'All Issues'!M:M, "Feature")</f>
        <v>1</v>
      </c>
      <c r="P7" s="12">
        <f>COUNTIFS('All Issues'!B:B, "*MACD - Rapture*", 'All Issues'!E:E, "open", 'All Issues'!M:M, "Not Specified")</f>
        <v>0</v>
      </c>
      <c r="S7" s="15" t="s">
        <v>44</v>
      </c>
      <c r="T7" s="16">
        <f>COUNTIFS('All Issues'!E:E, "open", 'All Issues'!O:O, "*Jeffrey-Searcy*")</f>
        <v>6</v>
      </c>
      <c r="U7" s="18">
        <v>6.0</v>
      </c>
      <c r="V7" s="12"/>
      <c r="W7" s="12"/>
      <c r="X7" s="12"/>
      <c r="Y7" s="12"/>
      <c r="Z7" s="12"/>
      <c r="AA7" s="12"/>
      <c r="AB7" s="12"/>
      <c r="AC7" s="12"/>
      <c r="AD7" s="12"/>
      <c r="AE7" s="17"/>
      <c r="AF7" s="17"/>
      <c r="AG7" s="12"/>
    </row>
    <row r="8">
      <c r="A8" s="12" t="s">
        <v>45</v>
      </c>
      <c r="B8" s="12" t="s">
        <v>46</v>
      </c>
      <c r="C8" s="12">
        <f>COUNTIFS('All Issues'!B:B, "*MACD - PSCX Frontend*", 'All Issues'!E:E, "open")</f>
        <v>19</v>
      </c>
      <c r="D8" s="12">
        <f>COUNTIFS('All Issues'!B:B, "*MACD - PSCX Frontend*", 'All Issues'!E:E, "closed")</f>
        <v>86</v>
      </c>
      <c r="E8" s="12">
        <f>COUNTIF('All Issues'!B:B, "*MACD - PSCX Frontend*")</f>
        <v>105</v>
      </c>
      <c r="F8" s="13">
        <f t="shared" si="2"/>
        <v>0.819047619</v>
      </c>
      <c r="G8" s="14" t="s">
        <v>33</v>
      </c>
      <c r="H8" s="4"/>
      <c r="I8" s="4"/>
      <c r="J8" s="4"/>
      <c r="K8" s="4"/>
      <c r="L8" s="4"/>
      <c r="M8" s="12">
        <f>COUNTIFS('All Issues'!B:B, "*MACD - PSCX Frontend*", 'All Issues'!E:E, "open", 'All Issues'!M:M, "Task")</f>
        <v>5</v>
      </c>
      <c r="N8" s="12">
        <f>COUNTIFS('All Issues'!B:B, "*MACD - PSCX Frontend*", 'All Issues'!E:E, "open", 'All Issues'!M:M, "Bug")</f>
        <v>3</v>
      </c>
      <c r="O8" s="12">
        <f>COUNTIFS('All Issues'!B:B, "*MACD - PSCX Frontend*", 'All Issues'!E:E, "open", 'All Issues'!M:M, "Feature")</f>
        <v>11</v>
      </c>
      <c r="P8" s="12">
        <f>COUNTIFS('All Issues'!B:B, "*MACD - PSCX Frontend*", 'All Issues'!E:E, "open", 'All Issues'!M:M, "Not Specified")</f>
        <v>0</v>
      </c>
      <c r="S8" s="20" t="s">
        <v>47</v>
      </c>
      <c r="T8" s="16">
        <f>COUNTIFS('All Issues'!E:E, "open", 'All Issues'!O:O, "*jvitato1*")</f>
        <v>4</v>
      </c>
      <c r="U8" s="12"/>
      <c r="V8" s="18">
        <v>1.0</v>
      </c>
      <c r="W8" s="18">
        <v>1.0</v>
      </c>
      <c r="X8" s="12"/>
      <c r="Y8" s="12"/>
      <c r="Z8" s="12"/>
      <c r="AA8" s="12"/>
      <c r="AB8" s="18">
        <v>2.0</v>
      </c>
      <c r="AC8" s="12"/>
      <c r="AD8" s="12"/>
      <c r="AE8" s="17"/>
      <c r="AF8" s="17"/>
      <c r="AG8" s="12"/>
    </row>
    <row r="9">
      <c r="A9" s="12" t="s">
        <v>48</v>
      </c>
      <c r="B9" s="12" t="s">
        <v>49</v>
      </c>
      <c r="C9" s="12">
        <f>COUNTIFS('All Issues'!B:B, "*PSO Tool*", 'All Issues'!E:E, "open")</f>
        <v>2</v>
      </c>
      <c r="D9" s="12">
        <f>COUNTIFS('All Issues'!B:B, "*PSO Tool*", 'All Issues'!E:E, "closed")</f>
        <v>17</v>
      </c>
      <c r="E9" s="12">
        <f>COUNTIF('All Issues'!B:B, "*PSO Tool*")</f>
        <v>19</v>
      </c>
      <c r="F9" s="13">
        <f t="shared" si="2"/>
        <v>0.8947368421</v>
      </c>
      <c r="G9" s="17" t="s">
        <v>50</v>
      </c>
      <c r="H9" s="4"/>
      <c r="I9" s="4"/>
      <c r="J9" s="4"/>
      <c r="K9" s="4"/>
      <c r="L9" s="4"/>
      <c r="M9" s="12">
        <f>COUNTIFS('All Issues'!B:B, "*PSO Tool*", 'All Issues'!E:E, "open", 'All Issues'!M:M, "Task")</f>
        <v>1</v>
      </c>
      <c r="N9" s="12">
        <f>COUNTIFS('All Issues'!B:B, "*PSO Tool*", 'All Issues'!E:E, "open", 'All Issues'!M:M, "Bug")</f>
        <v>0</v>
      </c>
      <c r="O9" s="12">
        <f>COUNTIFS('All Issues'!B:B, "*PSO Tool*", 'All Issues'!E:E, "open", 'All Issues'!M:M, "Feature")</f>
        <v>1</v>
      </c>
      <c r="P9" s="12">
        <f>COUNTIFS('All Issues'!B:B, "*PSO Tool*", 'All Issues'!E:E, "open", 'All Issues'!M:M, "Not Specified")</f>
        <v>0</v>
      </c>
      <c r="S9" s="21" t="s">
        <v>51</v>
      </c>
      <c r="T9" s="16">
        <f>COUNTIFS('All Issues'!E:E, "open", 'All Issues'!O:O, "*Matt-Keuning*")</f>
        <v>14</v>
      </c>
      <c r="U9" s="18">
        <v>7.0</v>
      </c>
      <c r="V9" s="18">
        <v>1.0</v>
      </c>
      <c r="W9" s="12"/>
      <c r="X9" s="12"/>
      <c r="Y9" s="12"/>
      <c r="Z9" s="12"/>
      <c r="AA9" s="18">
        <v>6.0</v>
      </c>
      <c r="AB9" s="12"/>
      <c r="AC9" s="12"/>
      <c r="AD9" s="12"/>
      <c r="AE9" s="17"/>
      <c r="AF9" s="17"/>
      <c r="AG9" s="12"/>
    </row>
    <row r="10">
      <c r="A10" s="12" t="s">
        <v>52</v>
      </c>
      <c r="B10" s="12" t="s">
        <v>53</v>
      </c>
      <c r="C10" s="12">
        <f>COUNTIFS('All Issues'!B:B, "*Zoom Warriors*", 'All Issues'!E:E, "open")</f>
        <v>6</v>
      </c>
      <c r="D10" s="12">
        <f>COUNTIFS('All Issues'!B:B, "*Zoom Warriors*", 'All Issues'!E:E, "closed")</f>
        <v>100</v>
      </c>
      <c r="E10" s="12">
        <f>COUNTIF('All Issues'!B:B, "*Zoom Warriors*")</f>
        <v>106</v>
      </c>
      <c r="F10" s="13">
        <f t="shared" si="2"/>
        <v>0.9433962264</v>
      </c>
      <c r="G10" s="19" t="s">
        <v>40</v>
      </c>
      <c r="H10" s="4"/>
      <c r="I10" s="4"/>
      <c r="J10" s="4"/>
      <c r="K10" s="4"/>
      <c r="L10" s="4"/>
      <c r="M10" s="12">
        <f>COUNTIFS('All Issues'!B:B, "*Zoom Warriors*", 'All Issues'!E:E, "open", 'All Issues'!M:M, "Task")</f>
        <v>1</v>
      </c>
      <c r="N10" s="12">
        <f>COUNTIFS('All Issues'!B:B, "*Zoom Warriors*", 'All Issues'!E:E, "open", 'All Issues'!M:M, "Bug")</f>
        <v>0</v>
      </c>
      <c r="O10" s="12">
        <f>COUNTIFS('All Issues'!B:B, "*Zoom Warriors*", 'All Issues'!E:E, "open", 'All Issues'!M:M, "Feature")</f>
        <v>5</v>
      </c>
      <c r="P10" s="12">
        <f>COUNTIFS('All Issues'!B:B, "*Zoom Warriors*", 'All Issues'!E:E, "open", 'All Issues'!M:M, "Not Specified")</f>
        <v>0</v>
      </c>
      <c r="S10" s="22" t="s">
        <v>54</v>
      </c>
      <c r="T10" s="16">
        <f>COUNTIFS('All Issues'!E:E, "open", 'All Issues'!O:O, "*campbellayers*")</f>
        <v>4</v>
      </c>
      <c r="U10" s="12"/>
      <c r="V10" s="12"/>
      <c r="W10" s="12"/>
      <c r="X10" s="12"/>
      <c r="Y10" s="12"/>
      <c r="Z10" s="18">
        <v>2.0</v>
      </c>
      <c r="AA10" s="12"/>
      <c r="AB10" s="18">
        <v>2.0</v>
      </c>
      <c r="AC10" s="12"/>
      <c r="AD10" s="12"/>
      <c r="AE10" s="17"/>
      <c r="AF10" s="17"/>
      <c r="AG10" s="12"/>
    </row>
    <row r="11">
      <c r="A11" s="12" t="s">
        <v>55</v>
      </c>
      <c r="B11" s="12" t="s">
        <v>56</v>
      </c>
      <c r="C11" s="12">
        <f>COUNTIFS('All Issues'!B:B, "*GitHub Issues Tracker*", 'All Issues'!E:E, "open")</f>
        <v>2</v>
      </c>
      <c r="D11" s="12">
        <f>COUNTIFS('All Issues'!B:B, "*GitHub Issues Tracker*", 'All Issues'!E:E, "closed")</f>
        <v>1</v>
      </c>
      <c r="E11" s="12">
        <f>COUNTIF('All Issues'!B:B, "*GitHub Issues Tracker*")</f>
        <v>3</v>
      </c>
      <c r="F11" s="13">
        <f t="shared" si="2"/>
        <v>0.3333333333</v>
      </c>
      <c r="G11" s="14" t="s">
        <v>33</v>
      </c>
      <c r="H11" s="4"/>
      <c r="I11" s="4"/>
      <c r="J11" s="4"/>
      <c r="K11" s="4"/>
      <c r="L11" s="4"/>
      <c r="M11" s="12">
        <f>COUNTIFS('All Issues'!B:B, "*GitHub Issues Tracker*", 'All Issues'!E:E, "open", 'All Issues'!M:M, "Task")</f>
        <v>0</v>
      </c>
      <c r="N11" s="12">
        <f>COUNTIFS('All Issues'!B:B, "*GitHub Issues Tracker*", 'All Issues'!E:E, "open", 'All Issues'!M:M, "Bug")</f>
        <v>0</v>
      </c>
      <c r="O11" s="12">
        <f>COUNTIFS('All Issues'!B:B, "*GitHub Issues Tracker*", 'All Issues'!E:E, "open", 'All Issues'!M:M, "Feature")</f>
        <v>2</v>
      </c>
      <c r="P11" s="12">
        <f>COUNTIFS('All Issues'!B:B, "*GitHub Issues Tracker*", 'All Issues'!E:E, "open", 'All Issues'!M:M, "Not Specified")</f>
        <v>0</v>
      </c>
      <c r="S11" s="22" t="s">
        <v>57</v>
      </c>
      <c r="T11" s="16">
        <f>COUNTIFS('All Issues'!E:E, "open", 'All Issues'!O:O, "*rebecca-cichy*")</f>
        <v>7</v>
      </c>
      <c r="U11" s="12"/>
      <c r="V11" s="18">
        <v>1.0</v>
      </c>
      <c r="W11" s="18">
        <v>1.0</v>
      </c>
      <c r="X11" s="18">
        <v>2.0</v>
      </c>
      <c r="Y11" s="18">
        <v>2.0</v>
      </c>
      <c r="Z11" s="12"/>
      <c r="AA11" s="12"/>
      <c r="AB11" s="18"/>
      <c r="AC11" s="18">
        <v>1.0</v>
      </c>
      <c r="AD11" s="12"/>
      <c r="AE11" s="17"/>
      <c r="AF11" s="17"/>
      <c r="AG11" s="12"/>
    </row>
    <row r="12">
      <c r="A12" s="23" t="s">
        <v>58</v>
      </c>
      <c r="B12" s="18" t="s">
        <v>59</v>
      </c>
      <c r="C12" s="12">
        <f>COUNTIFS('All Issues'!B:B, "*Project Pulse*", 'All Issues'!E:E, "open")</f>
        <v>2</v>
      </c>
      <c r="D12" s="12">
        <f>COUNTIFS('All Issues'!B:B, "*Project Pulse*", 'All Issues'!E:E, "closed")</f>
        <v>0</v>
      </c>
      <c r="E12" s="12">
        <f>COUNTIF('All Issues'!B:B, "*Project Pulse*")</f>
        <v>2</v>
      </c>
      <c r="F12" s="13">
        <f t="shared" si="2"/>
        <v>0</v>
      </c>
      <c r="G12" s="14" t="s">
        <v>33</v>
      </c>
      <c r="H12" s="4"/>
      <c r="I12" s="4"/>
      <c r="J12" s="4"/>
      <c r="K12" s="4"/>
      <c r="L12" s="4"/>
      <c r="M12" s="12">
        <f>COUNTIFS('All Issues'!B:B, "*Project Pulse*", 'All Issues'!E:E, "open", 'All Issues'!M:M, "Task")</f>
        <v>1</v>
      </c>
      <c r="N12" s="12">
        <f>COUNTIFS('All Issues'!B:B, "*Project Pulse*", 'All Issues'!E:E, "open", 'All Issues'!M:M, "Bug")</f>
        <v>0</v>
      </c>
      <c r="O12" s="12">
        <f>COUNTIFS('All Issues'!B:B, "*Project Pulse*", 'All Issues'!E:E, "open", 'All Issues'!M:M, "Feature")</f>
        <v>1</v>
      </c>
      <c r="P12" s="12">
        <f>COUNTIFS('All Issues'!B:B, "*Project Pulse*", 'All Issues'!E:E, "open", 'All Issues'!M:M, "Not Specified")</f>
        <v>0</v>
      </c>
      <c r="S12" s="22" t="s">
        <v>60</v>
      </c>
      <c r="T12" s="16">
        <f>COUNTIFS('All Issues'!E:E, "open", 'All Issues'!O:O, "*DsuarezCW*")</f>
        <v>2</v>
      </c>
      <c r="U12" s="12"/>
      <c r="V12" s="12"/>
      <c r="W12" s="12"/>
      <c r="X12" s="12"/>
      <c r="Y12" s="12"/>
      <c r="Z12" s="12"/>
      <c r="AA12" s="18">
        <v>2.0</v>
      </c>
      <c r="AB12" s="12"/>
      <c r="AC12" s="12"/>
      <c r="AD12" s="12"/>
      <c r="AE12" s="17"/>
      <c r="AF12" s="17"/>
      <c r="AG12" s="12"/>
    </row>
    <row r="13">
      <c r="A13" s="24" t="s">
        <v>61</v>
      </c>
      <c r="B13" s="12" t="s">
        <v>62</v>
      </c>
      <c r="C13" s="12">
        <f>COUNTIFS('All Issues'!B:B, "*Automation Station*", 'All Issues'!E:E, "open")</f>
        <v>2</v>
      </c>
      <c r="D13" s="12">
        <f>COUNTIFS('All Issues'!B:B, "*Automation Station*", 'All Issues'!E:E, "closed")</f>
        <v>18</v>
      </c>
      <c r="E13" s="12">
        <f>COUNTIF('All Issues'!B:B, "*Automation Station*")</f>
        <v>20</v>
      </c>
      <c r="F13" s="13">
        <f t="shared" si="2"/>
        <v>0.9</v>
      </c>
      <c r="G13" s="14" t="s">
        <v>33</v>
      </c>
      <c r="H13" s="4"/>
      <c r="I13" s="4"/>
      <c r="J13" s="4"/>
      <c r="K13" s="4"/>
      <c r="L13" s="4"/>
      <c r="M13" s="12">
        <f>COUNTIFS('All Issues'!B:B, "*Automation Station*", 'All Issues'!E:E, "open", 'All Issues'!M:M, "Task")</f>
        <v>0</v>
      </c>
      <c r="N13" s="12">
        <f>COUNTIFS('All Issues'!B:B, "*Automation Station*", 'All Issues'!E:E, "open", 'All Issues'!M:M, "Bug")</f>
        <v>0</v>
      </c>
      <c r="O13" s="12">
        <f>COUNTIFS('All Issues'!B:B, "*Automation Station*", 'All Issues'!E:E, "open", 'All Issues'!M:M, "Feature")</f>
        <v>2</v>
      </c>
      <c r="P13" s="12">
        <f>COUNTIFS('All Issues'!B:B, "*Automation Station*", 'All Issues'!E:E, "open", 'All Issues'!M:M, "Not Specified")</f>
        <v>0</v>
      </c>
      <c r="S13" s="25" t="s">
        <v>63</v>
      </c>
      <c r="T13" s="16">
        <f>COUNTIFS('All Issues'!E:E, "open", 'All Issues'!O:O, "*JStab7*")</f>
        <v>1</v>
      </c>
      <c r="U13" s="12"/>
      <c r="V13" s="12"/>
      <c r="W13" s="12"/>
      <c r="X13" s="12"/>
      <c r="Y13" s="12"/>
      <c r="Z13" s="12"/>
      <c r="AA13" s="12"/>
      <c r="AB13" s="12"/>
      <c r="AC13" s="18">
        <v>1.0</v>
      </c>
      <c r="AD13" s="12"/>
      <c r="AE13" s="17"/>
      <c r="AF13" s="17"/>
      <c r="AG13" s="12"/>
    </row>
    <row r="14">
      <c r="A14" s="24" t="s">
        <v>64</v>
      </c>
      <c r="B14" s="12" t="s">
        <v>65</v>
      </c>
      <c r="C14" s="12">
        <f>COUNTIFS('All Issues'!B:B, "*Zoom Workbook*", 'All Issues'!E:E, "open")</f>
        <v>12</v>
      </c>
      <c r="D14" s="12">
        <f>COUNTIFS('All Issues'!B:B, "*Zoom Workbook*", 'All Issues'!E:E, "closed")</f>
        <v>58</v>
      </c>
      <c r="E14" s="12">
        <f>COUNTIF('All Issues'!B:B, "*Zoom Workbook*")</f>
        <v>70</v>
      </c>
      <c r="F14" s="13">
        <f t="shared" si="2"/>
        <v>0.8285714286</v>
      </c>
      <c r="G14" s="14" t="s">
        <v>33</v>
      </c>
      <c r="H14" s="4"/>
      <c r="I14" s="4"/>
      <c r="J14" s="4"/>
      <c r="K14" s="4"/>
      <c r="L14" s="4"/>
      <c r="M14" s="12">
        <f>COUNTIFS('All Issues'!B:B, "*Zoom Workbook*", 'All Issues'!E:E, "open", 'All Issues'!M:M, "Task")</f>
        <v>5</v>
      </c>
      <c r="N14" s="12">
        <f>COUNTIFS('All Issues'!B:B, "*Zoom Workbook*", 'All Issues'!E:E, "open", 'All Issues'!M:M, "Bug")</f>
        <v>0</v>
      </c>
      <c r="O14" s="12">
        <f>COUNTIFS('All Issues'!B:B, "*Zoom Workbook*", 'All Issues'!E:E, "open", 'All Issues'!M:M, "Feature")</f>
        <v>7</v>
      </c>
      <c r="P14" s="12">
        <f>COUNTIFS('All Issues'!B:B, "*Zoom Workbook*", 'All Issues'!E:E, "open", 'All Issues'!M:M, "Not Specified")</f>
        <v>0</v>
      </c>
      <c r="S14" s="26"/>
      <c r="T14" s="16"/>
      <c r="U14" s="12"/>
      <c r="V14" s="12"/>
      <c r="W14" s="12"/>
      <c r="X14" s="12"/>
      <c r="Y14" s="12"/>
      <c r="Z14" s="12"/>
      <c r="AA14" s="12"/>
      <c r="AB14" s="12"/>
      <c r="AC14" s="18"/>
      <c r="AD14" s="12"/>
      <c r="AE14" s="17"/>
      <c r="AF14" s="17"/>
      <c r="AG14" s="12"/>
    </row>
    <row r="15">
      <c r="A15" s="27" t="s">
        <v>66</v>
      </c>
      <c r="B15" s="12" t="s">
        <v>67</v>
      </c>
      <c r="C15" s="12">
        <f>COUNTIFS('All Issues'!B:B, "*GitHub Review Build*", 'All Issues'!E:E, "open")</f>
        <v>16</v>
      </c>
      <c r="D15" s="12">
        <f>COUNTIFS('All Issues'!B:B, "*GitHub Review Build*", 'All Issues'!E:E, "closed")</f>
        <v>0</v>
      </c>
      <c r="E15" s="12">
        <f>COUNTIF('All Issues'!B:B, "*GitHub Review Build*")</f>
        <v>16</v>
      </c>
      <c r="F15" s="13">
        <f t="shared" si="2"/>
        <v>0</v>
      </c>
      <c r="G15" s="14" t="s">
        <v>33</v>
      </c>
      <c r="H15" s="4"/>
      <c r="I15" s="4"/>
      <c r="J15" s="4"/>
      <c r="K15" s="4"/>
      <c r="L15" s="4"/>
      <c r="M15" s="12">
        <f>COUNTIFS('All Issues'!B:B, "*GitHub Review Build*", 'All Issues'!E:E, "open", 'All Issues'!M:M, "Task")</f>
        <v>0</v>
      </c>
      <c r="N15" s="12">
        <f>COUNTIFS('All Issues'!B:B, "*GitHub Review Build*", 'All Issues'!E:E, "open", 'All Issues'!M:M, "Bug")</f>
        <v>0</v>
      </c>
      <c r="O15" s="12">
        <f>COUNTIFS('All Issues'!B:B, "*GitHub Review Build*", 'All Issues'!E:E, "open", 'All Issues'!M:M, "Feature")</f>
        <v>0</v>
      </c>
      <c r="P15" s="12">
        <f>COUNTIFS('All Issues'!B:B, "*GitHub Review Build*", 'All Issues'!E:E, "open", 'All Issues'!M:M, "Not Specified")</f>
        <v>16</v>
      </c>
      <c r="S15" s="21" t="s">
        <v>68</v>
      </c>
      <c r="T15" s="21">
        <f t="shared" ref="T15:AF15" si="3">SUM(T4:T14)</f>
        <v>65</v>
      </c>
      <c r="U15" s="21">
        <f t="shared" si="3"/>
        <v>17</v>
      </c>
      <c r="V15" s="21">
        <f t="shared" si="3"/>
        <v>4</v>
      </c>
      <c r="W15" s="21">
        <f t="shared" si="3"/>
        <v>4</v>
      </c>
      <c r="X15" s="21">
        <f t="shared" si="3"/>
        <v>3</v>
      </c>
      <c r="Y15" s="21">
        <f t="shared" si="3"/>
        <v>19</v>
      </c>
      <c r="Z15" s="21">
        <f t="shared" si="3"/>
        <v>2</v>
      </c>
      <c r="AA15" s="21">
        <f t="shared" si="3"/>
        <v>8</v>
      </c>
      <c r="AB15" s="21">
        <f t="shared" si="3"/>
        <v>4</v>
      </c>
      <c r="AC15" s="21">
        <f t="shared" si="3"/>
        <v>2</v>
      </c>
      <c r="AD15" s="21">
        <f t="shared" si="3"/>
        <v>2</v>
      </c>
      <c r="AE15" s="21">
        <f t="shared" si="3"/>
        <v>0</v>
      </c>
      <c r="AF15" s="21">
        <f t="shared" si="3"/>
        <v>0</v>
      </c>
      <c r="AG15" s="21"/>
    </row>
    <row r="16">
      <c r="A16" s="27"/>
      <c r="B16" s="12"/>
      <c r="C16" s="12"/>
      <c r="D16" s="12"/>
      <c r="E16" s="12"/>
      <c r="F16" s="13"/>
      <c r="G16" s="12"/>
      <c r="H16" s="4"/>
      <c r="I16" s="4"/>
      <c r="J16" s="4"/>
      <c r="K16" s="4"/>
      <c r="L16" s="4"/>
      <c r="M16" s="12"/>
      <c r="N16" s="12"/>
      <c r="O16" s="12"/>
      <c r="P16" s="12"/>
    </row>
    <row r="17">
      <c r="A17" s="27"/>
      <c r="B17" s="12"/>
      <c r="C17" s="12"/>
      <c r="D17" s="12"/>
      <c r="E17" s="12"/>
      <c r="F17" s="13"/>
      <c r="G17" s="12"/>
      <c r="H17" s="4"/>
      <c r="I17" s="4"/>
      <c r="J17" s="4"/>
      <c r="K17" s="4"/>
      <c r="L17" s="4"/>
      <c r="M17" s="12"/>
      <c r="N17" s="12"/>
      <c r="O17" s="12"/>
      <c r="P17" s="12"/>
    </row>
    <row r="18">
      <c r="A18" s="28"/>
      <c r="G18" s="29"/>
      <c r="M18" s="29"/>
      <c r="N18" s="29"/>
      <c r="O18" s="29"/>
      <c r="P18" s="29"/>
    </row>
    <row r="19">
      <c r="A19" s="30"/>
      <c r="C19" s="19" t="s">
        <v>40</v>
      </c>
      <c r="D19" s="14" t="s">
        <v>33</v>
      </c>
      <c r="E19" s="17" t="s">
        <v>50</v>
      </c>
      <c r="F19" s="31" t="s">
        <v>69</v>
      </c>
      <c r="J19" s="29"/>
      <c r="M19" s="29"/>
      <c r="N19" s="29"/>
      <c r="O19" s="29"/>
      <c r="P19" s="29"/>
      <c r="AD19" s="7"/>
    </row>
    <row r="20">
      <c r="C20" s="30" t="s">
        <v>70</v>
      </c>
      <c r="G20" s="29"/>
      <c r="J20" s="29"/>
      <c r="M20" s="29"/>
      <c r="N20" s="29"/>
      <c r="O20" s="29"/>
      <c r="P20" s="29"/>
      <c r="AD20" s="7"/>
    </row>
    <row r="21">
      <c r="A21" s="28"/>
      <c r="D21" s="29"/>
      <c r="J21" s="29"/>
      <c r="M21" s="29"/>
      <c r="N21" s="29"/>
      <c r="O21" s="29"/>
      <c r="P21" s="29"/>
      <c r="AD21" s="7"/>
    </row>
    <row r="22">
      <c r="A22" s="28"/>
      <c r="D22" s="29"/>
      <c r="J22" s="29"/>
      <c r="M22" s="29"/>
      <c r="N22" s="29"/>
      <c r="O22" s="29"/>
      <c r="P22" s="29"/>
      <c r="AD22" s="7"/>
    </row>
    <row r="23">
      <c r="A23" s="32" t="s">
        <v>71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S23" s="6" t="s">
        <v>72</v>
      </c>
      <c r="T23" s="2"/>
      <c r="U23" s="2"/>
      <c r="V23" s="2"/>
      <c r="W23" s="2"/>
      <c r="X23" s="2"/>
      <c r="Y23" s="2"/>
      <c r="Z23" s="2"/>
      <c r="AA23" s="2"/>
      <c r="AB23" s="2"/>
      <c r="AC23" s="3"/>
      <c r="AD23" s="7"/>
      <c r="AE23" s="7"/>
    </row>
    <row r="24">
      <c r="A24" s="8" t="s">
        <v>5</v>
      </c>
      <c r="B24" s="9" t="s">
        <v>6</v>
      </c>
      <c r="C24" s="9" t="s">
        <v>7</v>
      </c>
      <c r="D24" s="9" t="s">
        <v>8</v>
      </c>
      <c r="E24" s="9" t="s">
        <v>9</v>
      </c>
      <c r="F24" s="9" t="s">
        <v>10</v>
      </c>
      <c r="G24" s="9" t="s">
        <v>11</v>
      </c>
      <c r="H24" s="12"/>
      <c r="I24" s="12"/>
      <c r="J24" s="12"/>
      <c r="K24" s="12"/>
      <c r="L24" s="12"/>
      <c r="M24" s="8" t="s">
        <v>12</v>
      </c>
      <c r="N24" s="9" t="s">
        <v>13</v>
      </c>
      <c r="O24" s="9" t="s">
        <v>14</v>
      </c>
      <c r="P24" s="9" t="s">
        <v>15</v>
      </c>
      <c r="Q24" s="33"/>
      <c r="R24" s="33"/>
      <c r="S24" s="10" t="s">
        <v>16</v>
      </c>
      <c r="T24" s="9" t="s">
        <v>17</v>
      </c>
      <c r="U24" s="9" t="s">
        <v>18</v>
      </c>
      <c r="V24" s="9" t="s">
        <v>19</v>
      </c>
      <c r="W24" s="9" t="s">
        <v>20</v>
      </c>
      <c r="X24" s="9" t="s">
        <v>21</v>
      </c>
      <c r="Y24" s="9" t="s">
        <v>22</v>
      </c>
      <c r="Z24" s="9" t="s">
        <v>23</v>
      </c>
      <c r="AA24" s="9" t="s">
        <v>24</v>
      </c>
      <c r="AB24" s="9" t="s">
        <v>25</v>
      </c>
      <c r="AC24" s="9" t="s">
        <v>27</v>
      </c>
      <c r="AD24" s="9" t="s">
        <v>28</v>
      </c>
      <c r="AE24" s="9" t="s">
        <v>29</v>
      </c>
      <c r="AF24" s="9" t="s">
        <v>73</v>
      </c>
      <c r="AG24" s="9" t="s">
        <v>74</v>
      </c>
      <c r="AH24" s="9" t="s">
        <v>30</v>
      </c>
    </row>
    <row r="25">
      <c r="A25" s="12" t="s">
        <v>31</v>
      </c>
      <c r="B25" s="34" t="s">
        <v>32</v>
      </c>
      <c r="C25" s="34">
        <v>14.0</v>
      </c>
      <c r="D25" s="12">
        <v>66.0</v>
      </c>
      <c r="E25" s="34">
        <v>80.0</v>
      </c>
      <c r="F25" s="35">
        <v>0.825</v>
      </c>
      <c r="G25" s="14" t="s">
        <v>33</v>
      </c>
      <c r="H25" s="34"/>
      <c r="I25" s="34"/>
      <c r="J25" s="12"/>
      <c r="K25" s="34"/>
      <c r="L25" s="34"/>
      <c r="M25" s="12">
        <v>13.0</v>
      </c>
      <c r="N25" s="12">
        <v>1.0</v>
      </c>
      <c r="O25" s="12">
        <v>0.0</v>
      </c>
      <c r="P25" s="12">
        <v>0.0</v>
      </c>
      <c r="Q25" s="33"/>
      <c r="R25" s="33"/>
      <c r="S25" s="34" t="s">
        <v>34</v>
      </c>
      <c r="T25" s="34">
        <v>0.0</v>
      </c>
      <c r="U25" s="34"/>
      <c r="V25" s="34"/>
      <c r="W25" s="34"/>
      <c r="X25" s="34"/>
      <c r="Y25" s="34"/>
      <c r="Z25" s="34"/>
      <c r="AA25" s="34"/>
      <c r="AB25" s="34"/>
      <c r="AC25" s="34"/>
      <c r="AD25" s="36"/>
      <c r="AE25" s="34"/>
      <c r="AF25" s="34"/>
      <c r="AG25" s="34"/>
      <c r="AH25" s="34"/>
    </row>
    <row r="26">
      <c r="A26" s="12" t="s">
        <v>35</v>
      </c>
      <c r="B26" s="34" t="s">
        <v>36</v>
      </c>
      <c r="C26" s="34">
        <v>4.0</v>
      </c>
      <c r="D26" s="12">
        <v>58.0</v>
      </c>
      <c r="E26" s="34">
        <v>62.0</v>
      </c>
      <c r="F26" s="35">
        <v>0.9354838709677419</v>
      </c>
      <c r="G26" s="14" t="s">
        <v>33</v>
      </c>
      <c r="H26" s="34"/>
      <c r="I26" s="34"/>
      <c r="J26" s="12"/>
      <c r="K26" s="34"/>
      <c r="L26" s="34"/>
      <c r="M26" s="12">
        <v>1.0</v>
      </c>
      <c r="N26" s="12">
        <v>2.0</v>
      </c>
      <c r="O26" s="12">
        <v>1.0</v>
      </c>
      <c r="P26" s="12">
        <v>0.0</v>
      </c>
      <c r="Q26" s="33"/>
      <c r="R26" s="33"/>
      <c r="S26" s="34" t="s">
        <v>37</v>
      </c>
      <c r="T26" s="34">
        <v>13.0</v>
      </c>
      <c r="U26" s="34"/>
      <c r="V26" s="34"/>
      <c r="W26" s="34"/>
      <c r="X26" s="34">
        <v>1.0</v>
      </c>
      <c r="Y26" s="34">
        <v>10.0</v>
      </c>
      <c r="Z26" s="34"/>
      <c r="AA26" s="34"/>
      <c r="AB26" s="34"/>
      <c r="AC26" s="34">
        <v>2.0</v>
      </c>
      <c r="AD26" s="36"/>
      <c r="AE26" s="34"/>
      <c r="AF26" s="34"/>
      <c r="AG26" s="34"/>
      <c r="AH26" s="34"/>
    </row>
    <row r="27">
      <c r="A27" s="12" t="s">
        <v>38</v>
      </c>
      <c r="B27" s="34" t="s">
        <v>39</v>
      </c>
      <c r="C27" s="34">
        <v>2.0</v>
      </c>
      <c r="D27" s="12">
        <v>0.0</v>
      </c>
      <c r="E27" s="34">
        <v>2.0</v>
      </c>
      <c r="F27" s="35">
        <v>0.0</v>
      </c>
      <c r="G27" s="14" t="s">
        <v>33</v>
      </c>
      <c r="H27" s="34"/>
      <c r="I27" s="34"/>
      <c r="J27" s="12"/>
      <c r="K27" s="34"/>
      <c r="L27" s="34"/>
      <c r="M27" s="12">
        <v>1.0</v>
      </c>
      <c r="N27" s="12">
        <v>1.0</v>
      </c>
      <c r="O27" s="12">
        <v>0.0</v>
      </c>
      <c r="P27" s="12">
        <v>0.0</v>
      </c>
      <c r="Q27" s="33"/>
      <c r="R27" s="33"/>
      <c r="S27" s="34" t="s">
        <v>41</v>
      </c>
      <c r="T27" s="34">
        <v>13.0</v>
      </c>
      <c r="U27" s="34">
        <v>4.0</v>
      </c>
      <c r="V27" s="34">
        <v>1.0</v>
      </c>
      <c r="W27" s="34">
        <v>1.0</v>
      </c>
      <c r="X27" s="34"/>
      <c r="Y27" s="34">
        <v>7.0</v>
      </c>
      <c r="Z27" s="34"/>
      <c r="AA27" s="34"/>
      <c r="AB27" s="34"/>
      <c r="AC27" s="34"/>
      <c r="AD27" s="36"/>
      <c r="AE27" s="34"/>
      <c r="AF27" s="34"/>
      <c r="AG27" s="34"/>
      <c r="AH27" s="34"/>
    </row>
    <row r="28">
      <c r="A28" s="12" t="s">
        <v>42</v>
      </c>
      <c r="B28" s="34" t="s">
        <v>43</v>
      </c>
      <c r="C28" s="34">
        <v>2.0</v>
      </c>
      <c r="D28" s="12">
        <v>28.0</v>
      </c>
      <c r="E28" s="34">
        <v>30.0</v>
      </c>
      <c r="F28" s="35">
        <v>0.9333333333333333</v>
      </c>
      <c r="G28" s="14" t="s">
        <v>33</v>
      </c>
      <c r="H28" s="34"/>
      <c r="I28" s="34"/>
      <c r="J28" s="12"/>
      <c r="K28" s="34"/>
      <c r="L28" s="34"/>
      <c r="M28" s="12">
        <v>0.0</v>
      </c>
      <c r="N28" s="12">
        <v>1.0</v>
      </c>
      <c r="O28" s="12">
        <v>1.0</v>
      </c>
      <c r="P28" s="12">
        <v>0.0</v>
      </c>
      <c r="Q28" s="33"/>
      <c r="R28" s="33"/>
      <c r="S28" s="34" t="s">
        <v>44</v>
      </c>
      <c r="T28" s="34">
        <v>7.0</v>
      </c>
      <c r="U28" s="34">
        <v>6.0</v>
      </c>
      <c r="V28" s="34"/>
      <c r="W28" s="34">
        <v>1.0</v>
      </c>
      <c r="X28" s="34"/>
      <c r="Y28" s="34"/>
      <c r="Z28" s="34"/>
      <c r="AA28" s="34"/>
      <c r="AB28" s="34"/>
      <c r="AC28" s="34"/>
      <c r="AD28" s="36"/>
      <c r="AE28" s="34"/>
      <c r="AF28" s="34"/>
      <c r="AG28" s="34"/>
      <c r="AH28" s="34"/>
    </row>
    <row r="29">
      <c r="A29" s="12" t="s">
        <v>45</v>
      </c>
      <c r="B29" s="34" t="s">
        <v>46</v>
      </c>
      <c r="C29" s="34">
        <v>19.0</v>
      </c>
      <c r="D29" s="12">
        <v>86.0</v>
      </c>
      <c r="E29" s="34">
        <v>105.0</v>
      </c>
      <c r="F29" s="35">
        <v>0.819047619047619</v>
      </c>
      <c r="G29" s="14" t="s">
        <v>33</v>
      </c>
      <c r="H29" s="34"/>
      <c r="I29" s="34"/>
      <c r="J29" s="12"/>
      <c r="K29" s="34"/>
      <c r="L29" s="34"/>
      <c r="M29" s="12">
        <v>5.0</v>
      </c>
      <c r="N29" s="12">
        <v>3.0</v>
      </c>
      <c r="O29" s="12">
        <v>11.0</v>
      </c>
      <c r="P29" s="12">
        <v>0.0</v>
      </c>
      <c r="Q29" s="33"/>
      <c r="R29" s="33"/>
      <c r="S29" s="34" t="s">
        <v>47</v>
      </c>
      <c r="T29" s="34">
        <v>3.0</v>
      </c>
      <c r="U29" s="34"/>
      <c r="V29" s="34">
        <v>1.0</v>
      </c>
      <c r="W29" s="34"/>
      <c r="X29" s="34"/>
      <c r="Y29" s="34"/>
      <c r="Z29" s="34"/>
      <c r="AA29" s="34"/>
      <c r="AB29" s="34">
        <v>2.0</v>
      </c>
      <c r="AC29" s="34"/>
      <c r="AD29" s="36"/>
      <c r="AE29" s="34"/>
      <c r="AF29" s="34"/>
      <c r="AG29" s="34"/>
      <c r="AH29" s="34"/>
    </row>
    <row r="30">
      <c r="A30" s="12" t="s">
        <v>48</v>
      </c>
      <c r="B30" s="34" t="s">
        <v>49</v>
      </c>
      <c r="C30" s="34">
        <v>2.0</v>
      </c>
      <c r="D30" s="12">
        <v>16.0</v>
      </c>
      <c r="E30" s="34">
        <v>18.0</v>
      </c>
      <c r="F30" s="35">
        <v>0.8888888888888888</v>
      </c>
      <c r="G30" s="14" t="s">
        <v>33</v>
      </c>
      <c r="H30" s="34"/>
      <c r="I30" s="34"/>
      <c r="J30" s="12"/>
      <c r="K30" s="34"/>
      <c r="L30" s="34"/>
      <c r="M30" s="12">
        <v>2.0</v>
      </c>
      <c r="N30" s="12">
        <v>0.0</v>
      </c>
      <c r="O30" s="12">
        <v>0.0</v>
      </c>
      <c r="P30" s="12">
        <v>0.0</v>
      </c>
      <c r="Q30" s="33"/>
      <c r="R30" s="33"/>
      <c r="S30" s="34" t="s">
        <v>51</v>
      </c>
      <c r="T30" s="34">
        <v>14.0</v>
      </c>
      <c r="U30" s="34">
        <v>7.0</v>
      </c>
      <c r="V30" s="34">
        <v>1.0</v>
      </c>
      <c r="W30" s="34"/>
      <c r="X30" s="34"/>
      <c r="Y30" s="34"/>
      <c r="Z30" s="34"/>
      <c r="AA30" s="34">
        <v>6.0</v>
      </c>
      <c r="AB30" s="34"/>
      <c r="AC30" s="34"/>
      <c r="AD30" s="36"/>
      <c r="AE30" s="34"/>
      <c r="AF30" s="34"/>
      <c r="AG30" s="34"/>
      <c r="AH30" s="34"/>
    </row>
    <row r="31">
      <c r="A31" s="12" t="s">
        <v>52</v>
      </c>
      <c r="B31" s="34" t="s">
        <v>53</v>
      </c>
      <c r="C31" s="34">
        <v>6.0</v>
      </c>
      <c r="D31" s="12">
        <v>100.0</v>
      </c>
      <c r="E31" s="34">
        <v>106.0</v>
      </c>
      <c r="F31" s="35">
        <v>0.9433962264150944</v>
      </c>
      <c r="G31" s="19" t="s">
        <v>40</v>
      </c>
      <c r="H31" s="34"/>
      <c r="I31" s="34"/>
      <c r="J31" s="12"/>
      <c r="K31" s="34"/>
      <c r="L31" s="34"/>
      <c r="M31" s="12">
        <v>1.0</v>
      </c>
      <c r="N31" s="12">
        <v>0.0</v>
      </c>
      <c r="O31" s="12">
        <v>5.0</v>
      </c>
      <c r="P31" s="12">
        <v>0.0</v>
      </c>
      <c r="Q31" s="33"/>
      <c r="R31" s="33"/>
      <c r="S31" s="34" t="s">
        <v>54</v>
      </c>
      <c r="T31" s="34">
        <v>2.0</v>
      </c>
      <c r="U31" s="34"/>
      <c r="V31" s="34"/>
      <c r="W31" s="34"/>
      <c r="X31" s="34"/>
      <c r="Y31" s="34"/>
      <c r="Z31" s="34">
        <v>2.0</v>
      </c>
      <c r="AA31" s="34"/>
      <c r="AB31" s="34"/>
      <c r="AC31" s="34"/>
      <c r="AD31" s="36"/>
      <c r="AE31" s="34"/>
      <c r="AF31" s="34"/>
      <c r="AG31" s="34"/>
      <c r="AH31" s="34"/>
    </row>
    <row r="32">
      <c r="A32" s="12" t="s">
        <v>55</v>
      </c>
      <c r="B32" s="34" t="s">
        <v>56</v>
      </c>
      <c r="C32" s="34">
        <v>2.0</v>
      </c>
      <c r="D32" s="12">
        <v>1.0</v>
      </c>
      <c r="E32" s="34">
        <v>3.0</v>
      </c>
      <c r="F32" s="35">
        <v>0.3333333333333333</v>
      </c>
      <c r="G32" s="14" t="s">
        <v>33</v>
      </c>
      <c r="H32" s="34"/>
      <c r="I32" s="34"/>
      <c r="J32" s="12"/>
      <c r="K32" s="34"/>
      <c r="L32" s="34"/>
      <c r="M32" s="12">
        <v>0.0</v>
      </c>
      <c r="N32" s="12">
        <v>0.0</v>
      </c>
      <c r="O32" s="12">
        <v>2.0</v>
      </c>
      <c r="P32" s="12">
        <v>0.0</v>
      </c>
      <c r="Q32" s="33"/>
      <c r="R32" s="33"/>
      <c r="S32" s="34" t="s">
        <v>57</v>
      </c>
      <c r="T32" s="34">
        <v>6.0</v>
      </c>
      <c r="U32" s="34"/>
      <c r="V32" s="34">
        <v>1.0</v>
      </c>
      <c r="W32" s="34">
        <v>1.0</v>
      </c>
      <c r="X32" s="34">
        <v>2.0</v>
      </c>
      <c r="Y32" s="34">
        <v>2.0</v>
      </c>
      <c r="Z32" s="34"/>
      <c r="AA32" s="34"/>
      <c r="AB32" s="34"/>
      <c r="AC32" s="34"/>
      <c r="AD32" s="36"/>
      <c r="AE32" s="34"/>
      <c r="AF32" s="34"/>
      <c r="AG32" s="34"/>
      <c r="AH32" s="34"/>
    </row>
    <row r="33">
      <c r="A33" s="12" t="s">
        <v>61</v>
      </c>
      <c r="B33" s="34" t="s">
        <v>62</v>
      </c>
      <c r="C33" s="34">
        <v>2.0</v>
      </c>
      <c r="D33" s="12">
        <v>18.0</v>
      </c>
      <c r="E33" s="34">
        <v>20.0</v>
      </c>
      <c r="F33" s="35">
        <v>0.9</v>
      </c>
      <c r="G33" s="14" t="s">
        <v>33</v>
      </c>
      <c r="H33" s="34"/>
      <c r="I33" s="34"/>
      <c r="J33" s="12"/>
      <c r="K33" s="34"/>
      <c r="L33" s="34"/>
      <c r="M33" s="12">
        <v>0.0</v>
      </c>
      <c r="N33" s="12">
        <v>0.0</v>
      </c>
      <c r="O33" s="12">
        <v>2.0</v>
      </c>
      <c r="P33" s="12">
        <v>0.0</v>
      </c>
      <c r="Q33" s="33"/>
      <c r="R33" s="33"/>
      <c r="S33" s="34" t="s">
        <v>60</v>
      </c>
      <c r="T33" s="34">
        <v>2.0</v>
      </c>
      <c r="U33" s="34"/>
      <c r="V33" s="34"/>
      <c r="W33" s="34"/>
      <c r="X33" s="34"/>
      <c r="Y33" s="34"/>
      <c r="Z33" s="34"/>
      <c r="AA33" s="34">
        <v>2.0</v>
      </c>
      <c r="AB33" s="34"/>
      <c r="AC33" s="34"/>
      <c r="AD33" s="36"/>
      <c r="AE33" s="34"/>
      <c r="AF33" s="34"/>
      <c r="AG33" s="34"/>
      <c r="AH33" s="34"/>
    </row>
    <row r="34">
      <c r="A34" s="12" t="s">
        <v>64</v>
      </c>
      <c r="B34" s="34" t="s">
        <v>65</v>
      </c>
      <c r="C34" s="34">
        <v>12.0</v>
      </c>
      <c r="D34" s="12">
        <v>58.0</v>
      </c>
      <c r="E34" s="34">
        <v>70.0</v>
      </c>
      <c r="F34" s="35">
        <v>0.8285714285714286</v>
      </c>
      <c r="G34" s="14" t="s">
        <v>33</v>
      </c>
      <c r="H34" s="34"/>
      <c r="I34" s="34"/>
      <c r="J34" s="12"/>
      <c r="K34" s="34"/>
      <c r="L34" s="34"/>
      <c r="M34" s="12">
        <v>5.0</v>
      </c>
      <c r="N34" s="12">
        <v>0.0</v>
      </c>
      <c r="O34" s="12">
        <v>7.0</v>
      </c>
      <c r="P34" s="12">
        <v>0.0</v>
      </c>
      <c r="Q34" s="33"/>
      <c r="R34" s="33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6"/>
      <c r="AE34" s="34"/>
      <c r="AF34" s="34"/>
      <c r="AG34" s="34"/>
      <c r="AH34" s="34"/>
    </row>
    <row r="35">
      <c r="A35" s="12" t="s">
        <v>66</v>
      </c>
      <c r="B35" s="34" t="s">
        <v>67</v>
      </c>
      <c r="C35" s="34">
        <v>16.0</v>
      </c>
      <c r="D35" s="12">
        <v>0.0</v>
      </c>
      <c r="E35" s="34">
        <v>16.0</v>
      </c>
      <c r="F35" s="35">
        <v>0.0</v>
      </c>
      <c r="G35" s="14" t="s">
        <v>33</v>
      </c>
      <c r="H35" s="34"/>
      <c r="I35" s="34"/>
      <c r="J35" s="12"/>
      <c r="K35" s="34"/>
      <c r="L35" s="34"/>
      <c r="M35" s="12">
        <v>0.0</v>
      </c>
      <c r="N35" s="12">
        <v>0.0</v>
      </c>
      <c r="O35" s="12">
        <v>3.0</v>
      </c>
      <c r="P35" s="12">
        <v>13.0</v>
      </c>
      <c r="Q35" s="33"/>
      <c r="R35" s="33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6"/>
      <c r="AE35" s="34"/>
      <c r="AF35" s="34"/>
      <c r="AG35" s="34"/>
      <c r="AH35" s="34"/>
    </row>
    <row r="36">
      <c r="A36" s="12" t="s">
        <v>75</v>
      </c>
      <c r="B36" s="34" t="s">
        <v>76</v>
      </c>
      <c r="C36" s="34">
        <v>1.0</v>
      </c>
      <c r="D36" s="12">
        <v>0.0</v>
      </c>
      <c r="E36" s="34">
        <v>1.0</v>
      </c>
      <c r="F36" s="35">
        <v>0.0</v>
      </c>
      <c r="G36" s="14" t="s">
        <v>33</v>
      </c>
      <c r="H36" s="34"/>
      <c r="I36" s="34"/>
      <c r="J36" s="12"/>
      <c r="K36" s="34"/>
      <c r="L36" s="34"/>
      <c r="M36" s="12">
        <v>0.0</v>
      </c>
      <c r="N36" s="12">
        <v>1.0</v>
      </c>
      <c r="O36" s="12">
        <v>0.0</v>
      </c>
      <c r="P36" s="12">
        <v>0.0</v>
      </c>
      <c r="Q36" s="33"/>
      <c r="R36" s="33"/>
      <c r="S36" s="34" t="s">
        <v>68</v>
      </c>
      <c r="T36" s="34">
        <v>60.0</v>
      </c>
      <c r="U36" s="34">
        <v>17.0</v>
      </c>
      <c r="V36" s="34">
        <v>4.0</v>
      </c>
      <c r="W36" s="34">
        <v>3.0</v>
      </c>
      <c r="X36" s="34">
        <v>3.0</v>
      </c>
      <c r="Y36" s="34">
        <v>19.0</v>
      </c>
      <c r="Z36" s="34">
        <v>2.0</v>
      </c>
      <c r="AA36" s="34">
        <v>8.0</v>
      </c>
      <c r="AB36" s="34">
        <v>2.0</v>
      </c>
      <c r="AC36" s="34">
        <v>2.0</v>
      </c>
      <c r="AD36" s="12">
        <v>0.0</v>
      </c>
      <c r="AE36" s="34">
        <v>0.0</v>
      </c>
      <c r="AF36" s="34">
        <v>0.0</v>
      </c>
      <c r="AG36" s="34">
        <v>0.0</v>
      </c>
      <c r="AH36" s="34"/>
    </row>
    <row r="37">
      <c r="A37" s="12" t="s">
        <v>77</v>
      </c>
      <c r="B37" s="34" t="s">
        <v>78</v>
      </c>
      <c r="C37" s="34">
        <v>1.0</v>
      </c>
      <c r="D37" s="12">
        <v>0.0</v>
      </c>
      <c r="E37" s="34">
        <v>1.0</v>
      </c>
      <c r="F37" s="35">
        <v>0.0</v>
      </c>
      <c r="G37" s="14" t="s">
        <v>33</v>
      </c>
      <c r="H37" s="34"/>
      <c r="I37" s="34"/>
      <c r="J37" s="12"/>
      <c r="K37" s="34"/>
      <c r="L37" s="34"/>
      <c r="M37" s="12">
        <v>0.0</v>
      </c>
      <c r="N37" s="12">
        <v>0.0</v>
      </c>
      <c r="O37" s="12">
        <v>0.0</v>
      </c>
      <c r="P37" s="12">
        <v>1.0</v>
      </c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7"/>
      <c r="AE37" s="33"/>
      <c r="AF37" s="33"/>
      <c r="AG37" s="33"/>
      <c r="AH37" s="33"/>
      <c r="AI37" s="33"/>
    </row>
    <row r="38">
      <c r="A38" s="28"/>
      <c r="D38" s="29"/>
      <c r="J38" s="29"/>
      <c r="M38" s="29"/>
      <c r="N38" s="29"/>
      <c r="O38" s="29"/>
      <c r="P38" s="29"/>
      <c r="AD38" s="7"/>
    </row>
    <row r="39">
      <c r="A39" s="28"/>
      <c r="D39" s="29"/>
      <c r="J39" s="29"/>
      <c r="M39" s="29"/>
      <c r="N39" s="29"/>
      <c r="O39" s="29"/>
      <c r="P39" s="29"/>
      <c r="AD39" s="7"/>
    </row>
    <row r="40">
      <c r="A40" s="32" t="s">
        <v>79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S40" s="32" t="s">
        <v>80</v>
      </c>
      <c r="T40" s="2"/>
      <c r="U40" s="2"/>
      <c r="V40" s="2"/>
      <c r="W40" s="2"/>
      <c r="X40" s="2"/>
      <c r="Y40" s="2"/>
      <c r="Z40" s="2"/>
      <c r="AA40" s="2"/>
      <c r="AB40" s="2"/>
      <c r="AC40" s="3"/>
      <c r="AD40" s="7"/>
      <c r="AE40" s="7"/>
    </row>
    <row r="41">
      <c r="A41" s="8" t="s">
        <v>5</v>
      </c>
      <c r="B41" s="9" t="s">
        <v>6</v>
      </c>
      <c r="C41" s="9" t="s">
        <v>7</v>
      </c>
      <c r="D41" s="9" t="s">
        <v>8</v>
      </c>
      <c r="E41" s="9" t="s">
        <v>9</v>
      </c>
      <c r="F41" s="9" t="s">
        <v>10</v>
      </c>
      <c r="G41" s="9" t="s">
        <v>11</v>
      </c>
      <c r="H41" s="4"/>
      <c r="I41" s="4"/>
      <c r="J41" s="4"/>
      <c r="K41" s="4"/>
      <c r="L41" s="4"/>
      <c r="M41" s="8" t="s">
        <v>12</v>
      </c>
      <c r="N41" s="9" t="s">
        <v>13</v>
      </c>
      <c r="O41" s="9" t="s">
        <v>14</v>
      </c>
      <c r="P41" s="9" t="s">
        <v>15</v>
      </c>
      <c r="S41" s="10" t="s">
        <v>16</v>
      </c>
      <c r="T41" s="9" t="s">
        <v>17</v>
      </c>
      <c r="U41" s="9" t="s">
        <v>18</v>
      </c>
      <c r="V41" s="9" t="s">
        <v>19</v>
      </c>
      <c r="W41" s="9"/>
      <c r="X41" s="9" t="s">
        <v>21</v>
      </c>
      <c r="Y41" s="9" t="s">
        <v>22</v>
      </c>
      <c r="Z41" s="9" t="s">
        <v>23</v>
      </c>
      <c r="AA41" s="9" t="s">
        <v>24</v>
      </c>
      <c r="AB41" s="9" t="s">
        <v>25</v>
      </c>
      <c r="AC41" s="9" t="s">
        <v>27</v>
      </c>
      <c r="AD41" s="9" t="s">
        <v>28</v>
      </c>
      <c r="AE41" s="9" t="s">
        <v>29</v>
      </c>
      <c r="AF41" s="9" t="s">
        <v>73</v>
      </c>
      <c r="AG41" s="9" t="s">
        <v>74</v>
      </c>
      <c r="AH41" s="9" t="s">
        <v>81</v>
      </c>
      <c r="AI41" s="9" t="s">
        <v>30</v>
      </c>
    </row>
    <row r="42">
      <c r="A42" s="12" t="s">
        <v>31</v>
      </c>
      <c r="B42" s="12" t="s">
        <v>32</v>
      </c>
      <c r="C42" s="12">
        <v>14.0</v>
      </c>
      <c r="D42" s="12">
        <v>66.0</v>
      </c>
      <c r="E42" s="12">
        <v>80.0</v>
      </c>
      <c r="F42" s="13">
        <v>0.825</v>
      </c>
      <c r="G42" s="17" t="s">
        <v>40</v>
      </c>
      <c r="H42" s="12"/>
      <c r="I42" s="12"/>
      <c r="J42" s="12"/>
      <c r="K42" s="12"/>
      <c r="L42" s="12"/>
      <c r="M42" s="12">
        <v>13.0</v>
      </c>
      <c r="N42" s="12">
        <v>1.0</v>
      </c>
      <c r="O42" s="12">
        <v>0.0</v>
      </c>
      <c r="P42" s="12">
        <v>0.0</v>
      </c>
      <c r="S42" s="12" t="s">
        <v>34</v>
      </c>
      <c r="T42" s="12">
        <v>0.0</v>
      </c>
      <c r="U42" s="12"/>
      <c r="V42" s="12"/>
      <c r="W42" s="12"/>
      <c r="X42" s="12"/>
      <c r="Y42" s="12"/>
      <c r="Z42" s="12"/>
      <c r="AA42" s="12"/>
      <c r="AB42" s="12"/>
      <c r="AC42" s="12"/>
      <c r="AD42" s="36"/>
      <c r="AE42" s="12"/>
      <c r="AF42" s="12"/>
      <c r="AG42" s="12"/>
      <c r="AH42" s="12"/>
      <c r="AI42" s="12"/>
    </row>
    <row r="43">
      <c r="A43" s="12" t="s">
        <v>35</v>
      </c>
      <c r="B43" s="12" t="s">
        <v>36</v>
      </c>
      <c r="C43" s="12">
        <v>4.0</v>
      </c>
      <c r="D43" s="12">
        <v>58.0</v>
      </c>
      <c r="E43" s="12">
        <v>62.0</v>
      </c>
      <c r="F43" s="13">
        <v>0.9354838709677419</v>
      </c>
      <c r="G43" s="14" t="s">
        <v>33</v>
      </c>
      <c r="H43" s="12"/>
      <c r="I43" s="12"/>
      <c r="J43" s="12"/>
      <c r="K43" s="12"/>
      <c r="L43" s="12"/>
      <c r="M43" s="12">
        <v>1.0</v>
      </c>
      <c r="N43" s="12">
        <v>2.0</v>
      </c>
      <c r="O43" s="12">
        <v>1.0</v>
      </c>
      <c r="P43" s="12">
        <v>0.0</v>
      </c>
      <c r="S43" s="12" t="s">
        <v>37</v>
      </c>
      <c r="T43" s="12">
        <v>13.0</v>
      </c>
      <c r="U43" s="12"/>
      <c r="V43" s="12"/>
      <c r="W43" s="12"/>
      <c r="X43" s="12">
        <v>1.0</v>
      </c>
      <c r="Y43" s="12">
        <v>10.0</v>
      </c>
      <c r="Z43" s="12"/>
      <c r="AA43" s="12"/>
      <c r="AB43" s="12"/>
      <c r="AC43" s="12">
        <v>2.0</v>
      </c>
      <c r="AD43" s="36"/>
      <c r="AE43" s="12"/>
      <c r="AF43" s="12"/>
      <c r="AG43" s="12"/>
      <c r="AH43" s="12"/>
      <c r="AI43" s="12"/>
    </row>
    <row r="44">
      <c r="A44" s="12" t="s">
        <v>42</v>
      </c>
      <c r="B44" s="12" t="s">
        <v>43</v>
      </c>
      <c r="C44" s="12">
        <v>2.0</v>
      </c>
      <c r="D44" s="12">
        <v>28.0</v>
      </c>
      <c r="E44" s="12">
        <v>30.0</v>
      </c>
      <c r="F44" s="13">
        <v>0.9333333333333333</v>
      </c>
      <c r="G44" s="14" t="s">
        <v>33</v>
      </c>
      <c r="H44" s="12"/>
      <c r="I44" s="12"/>
      <c r="J44" s="12"/>
      <c r="K44" s="12"/>
      <c r="L44" s="12"/>
      <c r="M44" s="12">
        <v>0.0</v>
      </c>
      <c r="N44" s="12">
        <v>1.0</v>
      </c>
      <c r="O44" s="12">
        <v>1.0</v>
      </c>
      <c r="P44" s="12">
        <v>0.0</v>
      </c>
      <c r="S44" s="12" t="s">
        <v>41</v>
      </c>
      <c r="T44" s="12">
        <v>12.0</v>
      </c>
      <c r="U44" s="12">
        <v>4.0</v>
      </c>
      <c r="V44" s="12">
        <v>1.0</v>
      </c>
      <c r="W44" s="12"/>
      <c r="X44" s="12"/>
      <c r="Y44" s="12">
        <v>7.0</v>
      </c>
      <c r="Z44" s="12"/>
      <c r="AA44" s="12"/>
      <c r="AB44" s="12"/>
      <c r="AC44" s="12"/>
      <c r="AD44" s="36"/>
      <c r="AE44" s="12"/>
      <c r="AF44" s="12"/>
      <c r="AG44" s="12"/>
      <c r="AH44" s="12"/>
      <c r="AI44" s="12"/>
    </row>
    <row r="45">
      <c r="A45" s="12" t="s">
        <v>45</v>
      </c>
      <c r="B45" s="12" t="s">
        <v>46</v>
      </c>
      <c r="C45" s="12">
        <v>19.0</v>
      </c>
      <c r="D45" s="12">
        <v>86.0</v>
      </c>
      <c r="E45" s="12">
        <v>105.0</v>
      </c>
      <c r="F45" s="13">
        <v>0.819047619047619</v>
      </c>
      <c r="G45" s="14" t="s">
        <v>33</v>
      </c>
      <c r="H45" s="12"/>
      <c r="I45" s="12"/>
      <c r="J45" s="12"/>
      <c r="K45" s="12"/>
      <c r="L45" s="12"/>
      <c r="M45" s="12">
        <v>5.0</v>
      </c>
      <c r="N45" s="12">
        <v>3.0</v>
      </c>
      <c r="O45" s="12">
        <v>11.0</v>
      </c>
      <c r="P45" s="12">
        <v>0.0</v>
      </c>
      <c r="S45" s="12" t="s">
        <v>44</v>
      </c>
      <c r="T45" s="12">
        <v>6.0</v>
      </c>
      <c r="U45" s="12">
        <v>6.0</v>
      </c>
      <c r="V45" s="12"/>
      <c r="W45" s="12"/>
      <c r="X45" s="12"/>
      <c r="Y45" s="12"/>
      <c r="Z45" s="12"/>
      <c r="AA45" s="12"/>
      <c r="AB45" s="12"/>
      <c r="AC45" s="12"/>
      <c r="AD45" s="36"/>
      <c r="AE45" s="12"/>
      <c r="AF45" s="12"/>
      <c r="AG45" s="12"/>
      <c r="AH45" s="12"/>
      <c r="AI45" s="12"/>
    </row>
    <row r="46">
      <c r="A46" s="12" t="s">
        <v>48</v>
      </c>
      <c r="B46" s="12" t="s">
        <v>49</v>
      </c>
      <c r="C46" s="12">
        <v>2.0</v>
      </c>
      <c r="D46" s="12">
        <v>16.0</v>
      </c>
      <c r="E46" s="12">
        <v>18.0</v>
      </c>
      <c r="F46" s="13">
        <v>0.8888888888888888</v>
      </c>
      <c r="G46" s="14" t="s">
        <v>33</v>
      </c>
      <c r="H46" s="12"/>
      <c r="I46" s="12"/>
      <c r="J46" s="12"/>
      <c r="K46" s="12"/>
      <c r="L46" s="12"/>
      <c r="M46" s="12">
        <v>2.0</v>
      </c>
      <c r="N46" s="12">
        <v>0.0</v>
      </c>
      <c r="O46" s="12">
        <v>0.0</v>
      </c>
      <c r="P46" s="12">
        <v>0.0</v>
      </c>
      <c r="S46" s="12" t="s">
        <v>47</v>
      </c>
      <c r="T46" s="12">
        <v>3.0</v>
      </c>
      <c r="U46" s="12"/>
      <c r="V46" s="12">
        <v>1.0</v>
      </c>
      <c r="W46" s="12"/>
      <c r="X46" s="12"/>
      <c r="Y46" s="12"/>
      <c r="Z46" s="12"/>
      <c r="AA46" s="12"/>
      <c r="AB46" s="12">
        <v>2.0</v>
      </c>
      <c r="AC46" s="12"/>
      <c r="AD46" s="36"/>
      <c r="AE46" s="12"/>
      <c r="AF46" s="12"/>
      <c r="AG46" s="12"/>
      <c r="AH46" s="12"/>
      <c r="AI46" s="12"/>
    </row>
    <row r="47">
      <c r="A47" s="12" t="s">
        <v>82</v>
      </c>
      <c r="B47" s="12" t="s">
        <v>53</v>
      </c>
      <c r="C47" s="12">
        <v>11.0</v>
      </c>
      <c r="D47" s="12">
        <v>94.0</v>
      </c>
      <c r="E47" s="12">
        <v>105.0</v>
      </c>
      <c r="F47" s="13">
        <v>0.8952380952380953</v>
      </c>
      <c r="G47" s="17" t="s">
        <v>40</v>
      </c>
      <c r="H47" s="12"/>
      <c r="I47" s="12"/>
      <c r="J47" s="12"/>
      <c r="K47" s="12"/>
      <c r="L47" s="12"/>
      <c r="M47" s="12">
        <v>3.0</v>
      </c>
      <c r="N47" s="12">
        <v>0.0</v>
      </c>
      <c r="O47" s="12">
        <v>8.0</v>
      </c>
      <c r="P47" s="12">
        <v>0.0</v>
      </c>
      <c r="S47" s="12" t="s">
        <v>51</v>
      </c>
      <c r="T47" s="12">
        <v>19.0</v>
      </c>
      <c r="U47" s="12">
        <v>7.0</v>
      </c>
      <c r="V47" s="12">
        <v>1.0</v>
      </c>
      <c r="W47" s="12"/>
      <c r="X47" s="12"/>
      <c r="Y47" s="12"/>
      <c r="Z47" s="12"/>
      <c r="AA47" s="12">
        <v>11.0</v>
      </c>
      <c r="AB47" s="12"/>
      <c r="AC47" s="12"/>
      <c r="AD47" s="36"/>
      <c r="AE47" s="12"/>
      <c r="AF47" s="12"/>
      <c r="AG47" s="12"/>
      <c r="AH47" s="12"/>
      <c r="AI47" s="12"/>
    </row>
    <row r="48">
      <c r="A48" s="12" t="s">
        <v>55</v>
      </c>
      <c r="B48" s="12" t="s">
        <v>56</v>
      </c>
      <c r="C48" s="12">
        <v>2.0</v>
      </c>
      <c r="D48" s="12">
        <v>1.0</v>
      </c>
      <c r="E48" s="12">
        <v>3.0</v>
      </c>
      <c r="F48" s="13">
        <v>0.3333333333333333</v>
      </c>
      <c r="G48" s="14" t="s">
        <v>33</v>
      </c>
      <c r="H48" s="12"/>
      <c r="I48" s="12"/>
      <c r="J48" s="12"/>
      <c r="K48" s="12"/>
      <c r="L48" s="12"/>
      <c r="M48" s="12">
        <v>0.0</v>
      </c>
      <c r="N48" s="12">
        <v>0.0</v>
      </c>
      <c r="O48" s="12">
        <v>2.0</v>
      </c>
      <c r="P48" s="12">
        <v>0.0</v>
      </c>
      <c r="S48" s="12" t="s">
        <v>54</v>
      </c>
      <c r="T48" s="12">
        <v>2.0</v>
      </c>
      <c r="U48" s="12"/>
      <c r="V48" s="12"/>
      <c r="W48" s="12"/>
      <c r="X48" s="12"/>
      <c r="Y48" s="12"/>
      <c r="Z48" s="12">
        <v>2.0</v>
      </c>
      <c r="AA48" s="12"/>
      <c r="AB48" s="12"/>
      <c r="AC48" s="12"/>
      <c r="AD48" s="36"/>
      <c r="AE48" s="12"/>
      <c r="AF48" s="12"/>
      <c r="AG48" s="12"/>
      <c r="AH48" s="12"/>
      <c r="AI48" s="12"/>
    </row>
    <row r="49">
      <c r="A49" s="12" t="s">
        <v>61</v>
      </c>
      <c r="B49" s="12" t="s">
        <v>62</v>
      </c>
      <c r="C49" s="12">
        <v>2.0</v>
      </c>
      <c r="D49" s="12">
        <v>18.0</v>
      </c>
      <c r="E49" s="12">
        <v>20.0</v>
      </c>
      <c r="F49" s="13">
        <v>0.9</v>
      </c>
      <c r="G49" s="14" t="s">
        <v>33</v>
      </c>
      <c r="H49" s="12"/>
      <c r="I49" s="12"/>
      <c r="J49" s="12"/>
      <c r="K49" s="12"/>
      <c r="L49" s="12"/>
      <c r="M49" s="12">
        <v>0.0</v>
      </c>
      <c r="N49" s="12">
        <v>0.0</v>
      </c>
      <c r="O49" s="12">
        <v>2.0</v>
      </c>
      <c r="P49" s="12">
        <v>0.0</v>
      </c>
      <c r="S49" s="12" t="s">
        <v>57</v>
      </c>
      <c r="T49" s="12">
        <v>6.0</v>
      </c>
      <c r="U49" s="12"/>
      <c r="V49" s="12">
        <v>1.0</v>
      </c>
      <c r="W49" s="12"/>
      <c r="X49" s="12">
        <v>2.0</v>
      </c>
      <c r="Y49" s="12">
        <v>2.0</v>
      </c>
      <c r="Z49" s="12"/>
      <c r="AA49" s="12">
        <v>1.0</v>
      </c>
      <c r="AB49" s="12"/>
      <c r="AC49" s="12"/>
      <c r="AD49" s="36"/>
      <c r="AE49" s="12"/>
      <c r="AF49" s="12"/>
      <c r="AG49" s="12"/>
      <c r="AH49" s="12"/>
      <c r="AI49" s="12"/>
    </row>
    <row r="50">
      <c r="A50" s="12" t="s">
        <v>64</v>
      </c>
      <c r="B50" s="12" t="s">
        <v>65</v>
      </c>
      <c r="C50" s="12">
        <v>12.0</v>
      </c>
      <c r="D50" s="12">
        <v>58.0</v>
      </c>
      <c r="E50" s="12">
        <v>70.0</v>
      </c>
      <c r="F50" s="13">
        <v>0.8285714285714286</v>
      </c>
      <c r="G50" s="14" t="s">
        <v>33</v>
      </c>
      <c r="H50" s="12"/>
      <c r="I50" s="12"/>
      <c r="J50" s="12"/>
      <c r="K50" s="12"/>
      <c r="L50" s="12"/>
      <c r="M50" s="12">
        <v>5.0</v>
      </c>
      <c r="N50" s="12">
        <v>0.0</v>
      </c>
      <c r="O50" s="12">
        <v>7.0</v>
      </c>
      <c r="P50" s="12">
        <v>0.0</v>
      </c>
      <c r="S50" s="12" t="s">
        <v>83</v>
      </c>
      <c r="T50" s="12">
        <v>0.0</v>
      </c>
      <c r="U50" s="12"/>
      <c r="V50" s="12"/>
      <c r="W50" s="12"/>
      <c r="X50" s="12"/>
      <c r="Y50" s="12"/>
      <c r="Z50" s="12"/>
      <c r="AA50" s="12"/>
      <c r="AB50" s="12"/>
      <c r="AC50" s="12"/>
      <c r="AD50" s="36"/>
      <c r="AE50" s="12"/>
      <c r="AF50" s="12"/>
      <c r="AG50" s="12"/>
      <c r="AH50" s="12"/>
      <c r="AI50" s="12"/>
    </row>
    <row r="51">
      <c r="A51" s="12" t="s">
        <v>66</v>
      </c>
      <c r="B51" s="12" t="s">
        <v>67</v>
      </c>
      <c r="C51" s="12">
        <v>16.0</v>
      </c>
      <c r="D51" s="12">
        <v>0.0</v>
      </c>
      <c r="E51" s="12">
        <v>16.0</v>
      </c>
      <c r="F51" s="13">
        <v>0.0</v>
      </c>
      <c r="G51" s="14" t="s">
        <v>33</v>
      </c>
      <c r="H51" s="12"/>
      <c r="I51" s="12"/>
      <c r="J51" s="12"/>
      <c r="K51" s="12"/>
      <c r="L51" s="12"/>
      <c r="M51" s="12">
        <v>0.0</v>
      </c>
      <c r="N51" s="12">
        <v>0.0</v>
      </c>
      <c r="O51" s="12">
        <v>0.0</v>
      </c>
      <c r="P51" s="12">
        <v>16.0</v>
      </c>
      <c r="S51" s="12" t="s">
        <v>84</v>
      </c>
      <c r="T51" s="12">
        <v>0.0</v>
      </c>
      <c r="U51" s="12"/>
      <c r="V51" s="12"/>
      <c r="W51" s="12"/>
      <c r="X51" s="12"/>
      <c r="Y51" s="12"/>
      <c r="Z51" s="12"/>
      <c r="AA51" s="12"/>
      <c r="AB51" s="12"/>
      <c r="AC51" s="12"/>
      <c r="AD51" s="36"/>
      <c r="AE51" s="12"/>
      <c r="AF51" s="12"/>
      <c r="AG51" s="12"/>
      <c r="AH51" s="12"/>
      <c r="AI51" s="12"/>
    </row>
    <row r="52">
      <c r="A52" s="12" t="s">
        <v>75</v>
      </c>
      <c r="B52" s="12" t="s">
        <v>76</v>
      </c>
      <c r="C52" s="12">
        <v>1.0</v>
      </c>
      <c r="D52" s="12">
        <v>0.0</v>
      </c>
      <c r="E52" s="12">
        <v>1.0</v>
      </c>
      <c r="F52" s="13">
        <v>0.0</v>
      </c>
      <c r="G52" s="14" t="s">
        <v>33</v>
      </c>
      <c r="H52" s="12"/>
      <c r="I52" s="12"/>
      <c r="J52" s="12"/>
      <c r="K52" s="12"/>
      <c r="L52" s="12"/>
      <c r="M52" s="12">
        <v>0.0</v>
      </c>
      <c r="N52" s="12">
        <v>0.0</v>
      </c>
      <c r="O52" s="12">
        <v>0.0</v>
      </c>
      <c r="P52" s="12">
        <v>1.0</v>
      </c>
      <c r="S52" s="12" t="s">
        <v>60</v>
      </c>
      <c r="T52" s="12">
        <v>5.0</v>
      </c>
      <c r="U52" s="12"/>
      <c r="V52" s="12"/>
      <c r="W52" s="12"/>
      <c r="X52" s="12"/>
      <c r="Y52" s="12"/>
      <c r="Z52" s="12"/>
      <c r="AA52" s="12">
        <v>5.0</v>
      </c>
      <c r="AB52" s="12"/>
      <c r="AC52" s="12"/>
      <c r="AD52" s="36"/>
      <c r="AE52" s="12"/>
      <c r="AF52" s="12"/>
      <c r="AG52" s="12"/>
      <c r="AH52" s="12"/>
      <c r="AI52" s="12"/>
    </row>
    <row r="53">
      <c r="A53" s="12" t="s">
        <v>77</v>
      </c>
      <c r="B53" s="12" t="s">
        <v>78</v>
      </c>
      <c r="C53" s="12">
        <v>1.0</v>
      </c>
      <c r="D53" s="12">
        <v>0.0</v>
      </c>
      <c r="E53" s="12">
        <v>1.0</v>
      </c>
      <c r="F53" s="13">
        <v>0.0</v>
      </c>
      <c r="G53" s="14" t="s">
        <v>33</v>
      </c>
      <c r="H53" s="12"/>
      <c r="I53" s="12"/>
      <c r="J53" s="12"/>
      <c r="K53" s="12"/>
      <c r="L53" s="12"/>
      <c r="M53" s="12">
        <v>0.0</v>
      </c>
      <c r="N53" s="12">
        <v>0.0</v>
      </c>
      <c r="O53" s="12">
        <v>0.0</v>
      </c>
      <c r="P53" s="12">
        <v>1.0</v>
      </c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36"/>
      <c r="AE53" s="12"/>
      <c r="AF53" s="12"/>
      <c r="AG53" s="12"/>
      <c r="AH53" s="12"/>
      <c r="AI53" s="12"/>
    </row>
    <row r="54">
      <c r="A54" s="12" t="s">
        <v>38</v>
      </c>
      <c r="B54" s="12" t="s">
        <v>85</v>
      </c>
      <c r="C54" s="12">
        <v>1.0</v>
      </c>
      <c r="D54" s="12">
        <v>0.0</v>
      </c>
      <c r="E54" s="12">
        <v>1.0</v>
      </c>
      <c r="F54" s="13">
        <v>0.0</v>
      </c>
      <c r="G54" s="14" t="s">
        <v>33</v>
      </c>
      <c r="H54" s="12"/>
      <c r="I54" s="12"/>
      <c r="J54" s="12"/>
      <c r="K54" s="12"/>
      <c r="L54" s="12"/>
      <c r="M54" s="12">
        <v>0.0</v>
      </c>
      <c r="N54" s="12">
        <v>0.0</v>
      </c>
      <c r="O54" s="12">
        <v>0.0</v>
      </c>
      <c r="P54" s="12">
        <v>0.0</v>
      </c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36"/>
      <c r="AE54" s="12"/>
      <c r="AF54" s="12"/>
      <c r="AG54" s="12"/>
      <c r="AH54" s="12"/>
      <c r="AI54" s="12"/>
    </row>
    <row r="55">
      <c r="A55" s="28"/>
      <c r="D55" s="29"/>
      <c r="G55" s="28"/>
      <c r="J55" s="29"/>
      <c r="M55" s="29"/>
      <c r="N55" s="29"/>
      <c r="O55" s="29"/>
      <c r="P55" s="29"/>
      <c r="S55" s="12" t="s">
        <v>68</v>
      </c>
      <c r="T55" s="12">
        <v>66.0</v>
      </c>
      <c r="U55" s="12">
        <v>17.0</v>
      </c>
      <c r="V55" s="12">
        <v>4.0</v>
      </c>
      <c r="W55" s="12"/>
      <c r="X55" s="12">
        <v>3.0</v>
      </c>
      <c r="Y55" s="12">
        <v>19.0</v>
      </c>
      <c r="Z55" s="12">
        <v>2.0</v>
      </c>
      <c r="AA55" s="12">
        <v>17.0</v>
      </c>
      <c r="AB55" s="12">
        <v>2.0</v>
      </c>
      <c r="AC55" s="12">
        <v>2.0</v>
      </c>
      <c r="AD55" s="36">
        <v>0.0</v>
      </c>
      <c r="AE55" s="12">
        <v>0.0</v>
      </c>
      <c r="AF55" s="12">
        <v>0.0</v>
      </c>
      <c r="AG55" s="12">
        <v>0.0</v>
      </c>
      <c r="AH55" s="12">
        <v>0.0</v>
      </c>
      <c r="AI55" s="12"/>
    </row>
    <row r="56">
      <c r="A56" s="28"/>
      <c r="D56" s="29"/>
      <c r="J56" s="29"/>
      <c r="M56" s="29"/>
      <c r="N56" s="29"/>
      <c r="O56" s="29"/>
      <c r="P56" s="29"/>
      <c r="AD56" s="7"/>
    </row>
    <row r="57">
      <c r="A57" s="28"/>
      <c r="D57" s="29"/>
      <c r="J57" s="29"/>
      <c r="M57" s="29"/>
      <c r="N57" s="29"/>
      <c r="O57" s="29"/>
      <c r="P57" s="29"/>
      <c r="S57" s="28"/>
      <c r="AF57" s="7"/>
      <c r="AG57" s="7"/>
      <c r="AH57" s="7"/>
      <c r="AI57" s="7"/>
    </row>
    <row r="58">
      <c r="A58" s="32" t="s">
        <v>86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S58" s="32" t="s">
        <v>87</v>
      </c>
      <c r="T58" s="2"/>
      <c r="U58" s="2"/>
      <c r="V58" s="2"/>
      <c r="W58" s="2"/>
      <c r="X58" s="2"/>
      <c r="Y58" s="2"/>
      <c r="Z58" s="2"/>
      <c r="AA58" s="2"/>
      <c r="AB58" s="2"/>
      <c r="AC58" s="3"/>
      <c r="AF58" s="7"/>
      <c r="AG58" s="7"/>
      <c r="AH58" s="7"/>
      <c r="AI58" s="7"/>
    </row>
    <row r="59">
      <c r="A59" s="8" t="s">
        <v>5</v>
      </c>
      <c r="B59" s="9" t="s">
        <v>6</v>
      </c>
      <c r="C59" s="9" t="s">
        <v>7</v>
      </c>
      <c r="D59" s="9" t="s">
        <v>8</v>
      </c>
      <c r="E59" s="9" t="s">
        <v>9</v>
      </c>
      <c r="F59" s="9" t="s">
        <v>10</v>
      </c>
      <c r="G59" s="9" t="s">
        <v>11</v>
      </c>
      <c r="H59" s="4"/>
      <c r="I59" s="4"/>
      <c r="J59" s="4"/>
      <c r="K59" s="4"/>
      <c r="L59" s="4"/>
      <c r="M59" s="8" t="s">
        <v>12</v>
      </c>
      <c r="N59" s="9" t="s">
        <v>13</v>
      </c>
      <c r="O59" s="9" t="s">
        <v>14</v>
      </c>
      <c r="P59" s="9" t="s">
        <v>15</v>
      </c>
      <c r="S59" s="10" t="s">
        <v>16</v>
      </c>
      <c r="T59" s="9" t="s">
        <v>17</v>
      </c>
      <c r="U59" s="9" t="s">
        <v>18</v>
      </c>
      <c r="V59" s="9" t="s">
        <v>19</v>
      </c>
      <c r="W59" s="9"/>
      <c r="X59" s="9" t="s">
        <v>21</v>
      </c>
      <c r="Y59" s="9" t="s">
        <v>22</v>
      </c>
      <c r="Z59" s="9" t="s">
        <v>23</v>
      </c>
      <c r="AA59" s="9" t="s">
        <v>24</v>
      </c>
      <c r="AB59" s="9" t="s">
        <v>25</v>
      </c>
      <c r="AC59" s="9" t="s">
        <v>30</v>
      </c>
      <c r="AF59" s="7"/>
      <c r="AG59" s="7"/>
      <c r="AH59" s="7"/>
      <c r="AI59" s="7"/>
    </row>
    <row r="60">
      <c r="A60" s="12" t="s">
        <v>31</v>
      </c>
      <c r="B60" s="12" t="s">
        <v>32</v>
      </c>
      <c r="C60" s="12">
        <v>14.0</v>
      </c>
      <c r="D60" s="12">
        <v>67.0</v>
      </c>
      <c r="E60" s="12">
        <v>81.0</v>
      </c>
      <c r="F60" s="13">
        <v>0.8271604938271605</v>
      </c>
      <c r="G60" s="19" t="s">
        <v>50</v>
      </c>
      <c r="H60" s="12"/>
      <c r="I60" s="12"/>
      <c r="J60" s="12"/>
      <c r="K60" s="12"/>
      <c r="L60" s="12"/>
      <c r="M60" s="12">
        <v>13.0</v>
      </c>
      <c r="N60" s="12">
        <v>1.0</v>
      </c>
      <c r="O60" s="12">
        <v>0.0</v>
      </c>
      <c r="P60" s="12">
        <v>0.0</v>
      </c>
      <c r="S60" s="12" t="s">
        <v>34</v>
      </c>
      <c r="T60" s="12">
        <v>0.0</v>
      </c>
      <c r="U60" s="12"/>
      <c r="V60" s="12"/>
      <c r="W60" s="12"/>
      <c r="X60" s="12"/>
      <c r="Y60" s="12"/>
      <c r="Z60" s="12"/>
      <c r="AA60" s="12"/>
      <c r="AB60" s="12"/>
      <c r="AC60" s="12"/>
      <c r="AF60" s="7"/>
      <c r="AG60" s="7"/>
      <c r="AH60" s="7"/>
      <c r="AI60" s="7"/>
    </row>
    <row r="61">
      <c r="A61" s="12" t="s">
        <v>35</v>
      </c>
      <c r="B61" s="12" t="s">
        <v>36</v>
      </c>
      <c r="C61" s="12">
        <v>4.0</v>
      </c>
      <c r="D61" s="12">
        <v>58.0</v>
      </c>
      <c r="E61" s="12">
        <v>62.0</v>
      </c>
      <c r="F61" s="13">
        <v>0.9354838709677419</v>
      </c>
      <c r="G61" s="14" t="s">
        <v>33</v>
      </c>
      <c r="H61" s="12"/>
      <c r="I61" s="12"/>
      <c r="J61" s="12"/>
      <c r="K61" s="12"/>
      <c r="L61" s="12"/>
      <c r="M61" s="12">
        <v>1.0</v>
      </c>
      <c r="N61" s="12">
        <v>2.0</v>
      </c>
      <c r="O61" s="12">
        <v>1.0</v>
      </c>
      <c r="P61" s="12">
        <v>0.0</v>
      </c>
      <c r="S61" s="12" t="s">
        <v>37</v>
      </c>
      <c r="T61" s="12">
        <v>11.0</v>
      </c>
      <c r="U61" s="12"/>
      <c r="V61" s="12"/>
      <c r="W61" s="12"/>
      <c r="X61" s="12">
        <v>1.0</v>
      </c>
      <c r="Y61" s="12">
        <v>10.0</v>
      </c>
      <c r="Z61" s="12"/>
      <c r="AA61" s="12"/>
      <c r="AB61" s="12"/>
      <c r="AC61" s="12"/>
      <c r="AF61" s="7"/>
      <c r="AG61" s="7"/>
      <c r="AH61" s="7"/>
      <c r="AI61" s="7"/>
    </row>
    <row r="62">
      <c r="A62" s="12" t="s">
        <v>42</v>
      </c>
      <c r="B62" s="12" t="s">
        <v>43</v>
      </c>
      <c r="C62" s="12">
        <v>2.0</v>
      </c>
      <c r="D62" s="12">
        <v>28.0</v>
      </c>
      <c r="E62" s="12">
        <v>30.0</v>
      </c>
      <c r="F62" s="13">
        <v>0.9333333333333333</v>
      </c>
      <c r="G62" s="14" t="s">
        <v>33</v>
      </c>
      <c r="H62" s="12"/>
      <c r="I62" s="12"/>
      <c r="J62" s="12"/>
      <c r="K62" s="12"/>
      <c r="L62" s="12"/>
      <c r="M62" s="12">
        <v>0.0</v>
      </c>
      <c r="N62" s="12">
        <v>1.0</v>
      </c>
      <c r="O62" s="12">
        <v>1.0</v>
      </c>
      <c r="P62" s="12">
        <v>0.0</v>
      </c>
      <c r="S62" s="12" t="s">
        <v>41</v>
      </c>
      <c r="T62" s="12">
        <v>10.0</v>
      </c>
      <c r="U62" s="12">
        <v>4.0</v>
      </c>
      <c r="V62" s="12">
        <v>1.0</v>
      </c>
      <c r="W62" s="12"/>
      <c r="X62" s="12"/>
      <c r="Y62" s="12">
        <v>5.0</v>
      </c>
      <c r="Z62" s="12"/>
      <c r="AA62" s="12"/>
      <c r="AB62" s="12"/>
      <c r="AC62" s="12"/>
      <c r="AF62" s="7"/>
      <c r="AG62" s="7"/>
      <c r="AH62" s="7"/>
      <c r="AI62" s="7"/>
    </row>
    <row r="63">
      <c r="A63" s="12" t="s">
        <v>45</v>
      </c>
      <c r="B63" s="12" t="s">
        <v>46</v>
      </c>
      <c r="C63" s="12">
        <v>19.0</v>
      </c>
      <c r="D63" s="12">
        <v>86.0</v>
      </c>
      <c r="E63" s="12">
        <v>105.0</v>
      </c>
      <c r="F63" s="13">
        <v>0.819047619047619</v>
      </c>
      <c r="G63" s="14" t="s">
        <v>33</v>
      </c>
      <c r="H63" s="12"/>
      <c r="I63" s="12"/>
      <c r="J63" s="12"/>
      <c r="K63" s="12"/>
      <c r="L63" s="12"/>
      <c r="M63" s="12">
        <v>5.0</v>
      </c>
      <c r="N63" s="12">
        <v>3.0</v>
      </c>
      <c r="O63" s="12">
        <v>11.0</v>
      </c>
      <c r="P63" s="12">
        <v>0.0</v>
      </c>
      <c r="S63" s="12" t="s">
        <v>44</v>
      </c>
      <c r="T63" s="12">
        <v>6.0</v>
      </c>
      <c r="U63" s="12">
        <v>6.0</v>
      </c>
      <c r="V63" s="12"/>
      <c r="W63" s="12"/>
      <c r="X63" s="12"/>
      <c r="Y63" s="12"/>
      <c r="Z63" s="12"/>
      <c r="AA63" s="12"/>
      <c r="AB63" s="12"/>
      <c r="AC63" s="12"/>
      <c r="AF63" s="7"/>
      <c r="AG63" s="7"/>
      <c r="AH63" s="7"/>
      <c r="AI63" s="7"/>
    </row>
    <row r="64">
      <c r="A64" s="12" t="s">
        <v>48</v>
      </c>
      <c r="B64" s="12" t="s">
        <v>49</v>
      </c>
      <c r="C64" s="12">
        <v>2.0</v>
      </c>
      <c r="D64" s="12">
        <v>16.0</v>
      </c>
      <c r="E64" s="12">
        <v>18.0</v>
      </c>
      <c r="F64" s="13">
        <v>0.8888888888888888</v>
      </c>
      <c r="G64" s="19" t="s">
        <v>50</v>
      </c>
      <c r="H64" s="12"/>
      <c r="I64" s="12"/>
      <c r="J64" s="12"/>
      <c r="K64" s="12"/>
      <c r="L64" s="12"/>
      <c r="M64" s="12">
        <v>2.0</v>
      </c>
      <c r="N64" s="12">
        <v>0.0</v>
      </c>
      <c r="O64" s="12">
        <v>0.0</v>
      </c>
      <c r="P64" s="12">
        <v>0.0</v>
      </c>
      <c r="S64" s="12" t="s">
        <v>47</v>
      </c>
      <c r="T64" s="12">
        <v>3.0</v>
      </c>
      <c r="U64" s="12"/>
      <c r="V64" s="12">
        <v>1.0</v>
      </c>
      <c r="W64" s="12"/>
      <c r="X64" s="12"/>
      <c r="Y64" s="12"/>
      <c r="Z64" s="12"/>
      <c r="AA64" s="12"/>
      <c r="AB64" s="12">
        <v>2.0</v>
      </c>
      <c r="AC64" s="12"/>
      <c r="AF64" s="7"/>
      <c r="AG64" s="7"/>
      <c r="AH64" s="7"/>
      <c r="AI64" s="7"/>
    </row>
    <row r="65">
      <c r="A65" s="12" t="s">
        <v>82</v>
      </c>
      <c r="B65" s="12" t="s">
        <v>53</v>
      </c>
      <c r="C65" s="12">
        <v>10.0</v>
      </c>
      <c r="D65" s="12">
        <v>94.0</v>
      </c>
      <c r="E65" s="12">
        <v>104.0</v>
      </c>
      <c r="F65" s="13">
        <v>0.9038461538461539</v>
      </c>
      <c r="G65" s="19" t="s">
        <v>50</v>
      </c>
      <c r="H65" s="12"/>
      <c r="I65" s="12"/>
      <c r="J65" s="12"/>
      <c r="K65" s="12"/>
      <c r="L65" s="12"/>
      <c r="M65" s="12">
        <v>2.0</v>
      </c>
      <c r="N65" s="12">
        <v>0.0</v>
      </c>
      <c r="O65" s="12">
        <v>8.0</v>
      </c>
      <c r="P65" s="12">
        <v>0.0</v>
      </c>
      <c r="S65" s="12" t="s">
        <v>51</v>
      </c>
      <c r="T65" s="12">
        <v>18.0</v>
      </c>
      <c r="U65" s="12">
        <v>7.0</v>
      </c>
      <c r="V65" s="12">
        <v>1.0</v>
      </c>
      <c r="W65" s="12"/>
      <c r="X65" s="12"/>
      <c r="Y65" s="12"/>
      <c r="Z65" s="12"/>
      <c r="AA65" s="12">
        <v>10.0</v>
      </c>
      <c r="AB65" s="12"/>
      <c r="AC65" s="12"/>
      <c r="AF65" s="7"/>
      <c r="AG65" s="7"/>
      <c r="AH65" s="7"/>
      <c r="AI65" s="7"/>
    </row>
    <row r="66">
      <c r="A66" s="12" t="s">
        <v>55</v>
      </c>
      <c r="B66" s="12" t="s">
        <v>56</v>
      </c>
      <c r="C66" s="12">
        <v>2.0</v>
      </c>
      <c r="D66" s="12">
        <v>1.0</v>
      </c>
      <c r="E66" s="12">
        <v>3.0</v>
      </c>
      <c r="F66" s="13">
        <v>0.3333333333333333</v>
      </c>
      <c r="G66" s="17" t="s">
        <v>40</v>
      </c>
      <c r="H66" s="12"/>
      <c r="I66" s="12"/>
      <c r="J66" s="12"/>
      <c r="K66" s="12"/>
      <c r="L66" s="12"/>
      <c r="M66" s="12">
        <v>0.0</v>
      </c>
      <c r="N66" s="12">
        <v>0.0</v>
      </c>
      <c r="O66" s="12">
        <v>2.0</v>
      </c>
      <c r="P66" s="12">
        <v>0.0</v>
      </c>
      <c r="S66" s="12" t="s">
        <v>54</v>
      </c>
      <c r="T66" s="12">
        <v>2.0</v>
      </c>
      <c r="U66" s="12"/>
      <c r="V66" s="12"/>
      <c r="W66" s="12"/>
      <c r="X66" s="12"/>
      <c r="Y66" s="12"/>
      <c r="Z66" s="12">
        <v>2.0</v>
      </c>
      <c r="AA66" s="12"/>
      <c r="AB66" s="12"/>
      <c r="AC66" s="12"/>
      <c r="AF66" s="7"/>
      <c r="AG66" s="7"/>
      <c r="AH66" s="7"/>
      <c r="AI66" s="7"/>
    </row>
    <row r="67">
      <c r="A67" s="12"/>
      <c r="B67" s="12"/>
      <c r="C67" s="12"/>
      <c r="D67" s="12"/>
      <c r="E67" s="12"/>
      <c r="F67" s="13"/>
      <c r="G67" s="12"/>
      <c r="H67" s="12"/>
      <c r="I67" s="12"/>
      <c r="J67" s="12"/>
      <c r="K67" s="12"/>
      <c r="L67" s="12"/>
      <c r="M67" s="12"/>
      <c r="N67" s="12"/>
      <c r="O67" s="12"/>
      <c r="P67" s="12"/>
      <c r="S67" s="12" t="s">
        <v>57</v>
      </c>
      <c r="T67" s="12">
        <v>5.0</v>
      </c>
      <c r="U67" s="12"/>
      <c r="V67" s="12">
        <v>1.0</v>
      </c>
      <c r="W67" s="12"/>
      <c r="X67" s="12">
        <v>2.0</v>
      </c>
      <c r="Y67" s="12">
        <v>2.0</v>
      </c>
      <c r="Z67" s="12"/>
      <c r="AA67" s="12"/>
      <c r="AB67" s="12"/>
      <c r="AC67" s="12"/>
      <c r="AF67" s="7"/>
      <c r="AG67" s="7"/>
      <c r="AH67" s="7"/>
      <c r="AI67" s="7"/>
    </row>
    <row r="68">
      <c r="A68" s="28"/>
      <c r="D68" s="29"/>
      <c r="G68" s="28"/>
      <c r="J68" s="29"/>
      <c r="M68" s="29"/>
      <c r="N68" s="29"/>
      <c r="O68" s="29"/>
      <c r="P68" s="29"/>
      <c r="S68" s="12" t="s">
        <v>83</v>
      </c>
      <c r="T68" s="12">
        <v>0.0</v>
      </c>
      <c r="U68" s="12"/>
      <c r="V68" s="12"/>
      <c r="W68" s="12"/>
      <c r="X68" s="12"/>
      <c r="Y68" s="12"/>
      <c r="Z68" s="12"/>
      <c r="AA68" s="12"/>
      <c r="AB68" s="12"/>
      <c r="AC68" s="12"/>
      <c r="AF68" s="7"/>
      <c r="AG68" s="7"/>
      <c r="AH68" s="7"/>
      <c r="AI68" s="7"/>
    </row>
    <row r="69">
      <c r="A69" s="28"/>
      <c r="C69" s="28"/>
      <c r="D69" s="29"/>
      <c r="E69" s="28"/>
      <c r="F69" s="28"/>
      <c r="J69" s="29"/>
      <c r="M69" s="29"/>
      <c r="N69" s="29"/>
      <c r="O69" s="29"/>
      <c r="P69" s="29"/>
      <c r="S69" s="12" t="s">
        <v>84</v>
      </c>
      <c r="T69" s="12">
        <v>2.0</v>
      </c>
      <c r="U69" s="12"/>
      <c r="V69" s="12"/>
      <c r="W69" s="12"/>
      <c r="X69" s="12"/>
      <c r="Y69" s="12">
        <v>2.0</v>
      </c>
      <c r="Z69" s="12"/>
      <c r="AA69" s="12"/>
      <c r="AB69" s="12"/>
      <c r="AC69" s="12"/>
      <c r="AF69" s="7"/>
      <c r="AG69" s="7"/>
      <c r="AH69" s="7"/>
      <c r="AI69" s="7"/>
    </row>
    <row r="70">
      <c r="A70" s="28"/>
      <c r="C70" s="28"/>
      <c r="D70" s="29"/>
      <c r="G70" s="28"/>
      <c r="J70" s="29"/>
      <c r="M70" s="29"/>
      <c r="N70" s="29"/>
      <c r="O70" s="29"/>
      <c r="P70" s="29"/>
      <c r="S70" s="12" t="s">
        <v>60</v>
      </c>
      <c r="T70" s="12">
        <v>4.0</v>
      </c>
      <c r="U70" s="12"/>
      <c r="V70" s="12"/>
      <c r="W70" s="12"/>
      <c r="X70" s="12"/>
      <c r="Y70" s="12"/>
      <c r="Z70" s="12"/>
      <c r="AA70" s="12">
        <v>4.0</v>
      </c>
      <c r="AB70" s="12"/>
      <c r="AC70" s="12"/>
      <c r="AF70" s="7"/>
      <c r="AG70" s="7"/>
      <c r="AH70" s="7"/>
      <c r="AI70" s="7"/>
    </row>
    <row r="71">
      <c r="A71" s="28"/>
      <c r="D71" s="29"/>
      <c r="J71" s="29"/>
      <c r="M71" s="29"/>
      <c r="N71" s="29"/>
      <c r="O71" s="29"/>
      <c r="P71" s="29"/>
      <c r="S71" s="21" t="s">
        <v>68</v>
      </c>
      <c r="T71" s="21">
        <v>61.0</v>
      </c>
      <c r="U71" s="21">
        <v>17.0</v>
      </c>
      <c r="V71" s="21">
        <v>4.0</v>
      </c>
      <c r="W71" s="21"/>
      <c r="X71" s="21">
        <v>3.0</v>
      </c>
      <c r="Y71" s="21">
        <v>19.0</v>
      </c>
      <c r="Z71" s="21">
        <v>2.0</v>
      </c>
      <c r="AA71" s="21">
        <v>14.0</v>
      </c>
      <c r="AB71" s="21"/>
      <c r="AC71" s="12"/>
      <c r="AF71" s="7"/>
      <c r="AG71" s="7"/>
      <c r="AH71" s="7"/>
      <c r="AI71" s="7"/>
    </row>
    <row r="72">
      <c r="A72" s="28"/>
      <c r="D72" s="29"/>
      <c r="J72" s="29"/>
      <c r="M72" s="29"/>
      <c r="N72" s="29"/>
      <c r="O72" s="29"/>
      <c r="P72" s="29"/>
      <c r="S72" s="28"/>
      <c r="AF72" s="7"/>
      <c r="AG72" s="7"/>
      <c r="AH72" s="7"/>
      <c r="AI72" s="7"/>
    </row>
    <row r="73">
      <c r="A73" s="28"/>
      <c r="D73" s="29"/>
      <c r="J73" s="29"/>
      <c r="M73" s="29"/>
      <c r="N73" s="29"/>
      <c r="O73" s="29"/>
      <c r="P73" s="29"/>
      <c r="S73" s="28"/>
      <c r="AF73" s="7"/>
      <c r="AG73" s="7"/>
      <c r="AH73" s="7"/>
      <c r="AI73" s="7"/>
    </row>
    <row r="74">
      <c r="A74" s="32" t="s">
        <v>88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  <c r="S74" s="32" t="s">
        <v>89</v>
      </c>
      <c r="T74" s="2"/>
      <c r="U74" s="2"/>
      <c r="V74" s="2"/>
      <c r="W74" s="2"/>
      <c r="X74" s="2"/>
      <c r="Y74" s="2"/>
      <c r="Z74" s="2"/>
      <c r="AA74" s="2"/>
      <c r="AB74" s="2"/>
      <c r="AC74" s="3"/>
      <c r="AF74" s="7"/>
      <c r="AG74" s="7"/>
      <c r="AH74" s="7"/>
      <c r="AI74" s="7"/>
    </row>
    <row r="75">
      <c r="A75" s="8" t="s">
        <v>5</v>
      </c>
      <c r="B75" s="9" t="s">
        <v>6</v>
      </c>
      <c r="C75" s="9" t="s">
        <v>7</v>
      </c>
      <c r="D75" s="9" t="s">
        <v>8</v>
      </c>
      <c r="E75" s="9" t="s">
        <v>9</v>
      </c>
      <c r="F75" s="9" t="s">
        <v>10</v>
      </c>
      <c r="G75" s="9" t="s">
        <v>11</v>
      </c>
      <c r="H75" s="12"/>
      <c r="I75" s="12"/>
      <c r="J75" s="12"/>
      <c r="K75" s="12"/>
      <c r="L75" s="12"/>
      <c r="M75" s="8" t="s">
        <v>12</v>
      </c>
      <c r="N75" s="9" t="s">
        <v>13</v>
      </c>
      <c r="O75" s="9" t="s">
        <v>14</v>
      </c>
      <c r="P75" s="9" t="s">
        <v>15</v>
      </c>
      <c r="S75" s="10" t="s">
        <v>16</v>
      </c>
      <c r="T75" s="9" t="s">
        <v>17</v>
      </c>
      <c r="U75" s="9" t="s">
        <v>18</v>
      </c>
      <c r="V75" s="9" t="s">
        <v>19</v>
      </c>
      <c r="W75" s="9"/>
      <c r="X75" s="9" t="s">
        <v>21</v>
      </c>
      <c r="Y75" s="9" t="s">
        <v>22</v>
      </c>
      <c r="Z75" s="9" t="s">
        <v>23</v>
      </c>
      <c r="AA75" s="9" t="s">
        <v>24</v>
      </c>
      <c r="AB75" s="9" t="s">
        <v>25</v>
      </c>
      <c r="AC75" s="9" t="s">
        <v>30</v>
      </c>
      <c r="AF75" s="7"/>
      <c r="AG75" s="7"/>
      <c r="AH75" s="7"/>
      <c r="AI75" s="7"/>
    </row>
    <row r="76">
      <c r="A76" s="12" t="s">
        <v>31</v>
      </c>
      <c r="B76" s="12" t="s">
        <v>32</v>
      </c>
      <c r="C76" s="12">
        <v>18.0</v>
      </c>
      <c r="D76" s="12">
        <v>62.0</v>
      </c>
      <c r="E76" s="12">
        <v>80.0</v>
      </c>
      <c r="F76" s="13">
        <v>0.775</v>
      </c>
      <c r="G76" s="19" t="s">
        <v>50</v>
      </c>
      <c r="H76" s="12"/>
      <c r="I76" s="12"/>
      <c r="J76" s="12"/>
      <c r="K76" s="12"/>
      <c r="L76" s="12"/>
      <c r="M76" s="12">
        <v>17.0</v>
      </c>
      <c r="N76" s="12">
        <v>1.0</v>
      </c>
      <c r="O76" s="12">
        <v>0.0</v>
      </c>
      <c r="P76" s="12">
        <v>0.0</v>
      </c>
      <c r="S76" s="12" t="s">
        <v>34</v>
      </c>
      <c r="T76" s="12">
        <v>0.0</v>
      </c>
      <c r="U76" s="12"/>
      <c r="V76" s="12"/>
      <c r="W76" s="12"/>
      <c r="X76" s="12"/>
      <c r="Y76" s="12"/>
      <c r="Z76" s="12"/>
      <c r="AA76" s="12"/>
      <c r="AB76" s="12"/>
      <c r="AC76" s="12"/>
      <c r="AF76" s="7"/>
      <c r="AG76" s="7"/>
      <c r="AH76" s="7"/>
      <c r="AI76" s="7"/>
    </row>
    <row r="77">
      <c r="A77" s="12" t="s">
        <v>35</v>
      </c>
      <c r="B77" s="12" t="s">
        <v>36</v>
      </c>
      <c r="C77" s="12">
        <v>4.0</v>
      </c>
      <c r="D77" s="12">
        <v>58.0</v>
      </c>
      <c r="E77" s="12">
        <v>62.0</v>
      </c>
      <c r="F77" s="13">
        <v>0.9354838709677419</v>
      </c>
      <c r="G77" s="19" t="s">
        <v>50</v>
      </c>
      <c r="H77" s="12"/>
      <c r="I77" s="12"/>
      <c r="J77" s="12"/>
      <c r="K77" s="12"/>
      <c r="L77" s="12"/>
      <c r="M77" s="12">
        <v>1.0</v>
      </c>
      <c r="N77" s="12">
        <v>2.0</v>
      </c>
      <c r="O77" s="12">
        <v>1.0</v>
      </c>
      <c r="P77" s="12">
        <v>0.0</v>
      </c>
      <c r="S77" s="12" t="s">
        <v>37</v>
      </c>
      <c r="T77" s="12">
        <v>15.0</v>
      </c>
      <c r="U77" s="12"/>
      <c r="V77" s="12"/>
      <c r="W77" s="12"/>
      <c r="X77" s="12">
        <v>1.0</v>
      </c>
      <c r="Y77" s="12">
        <v>10.0</v>
      </c>
      <c r="Z77" s="12">
        <v>4.0</v>
      </c>
      <c r="AA77" s="12"/>
      <c r="AB77" s="12"/>
      <c r="AC77" s="12"/>
      <c r="AF77" s="7"/>
      <c r="AG77" s="7"/>
      <c r="AH77" s="7"/>
      <c r="AI77" s="7"/>
    </row>
    <row r="78">
      <c r="A78" s="12" t="s">
        <v>42</v>
      </c>
      <c r="B78" s="12" t="s">
        <v>43</v>
      </c>
      <c r="C78" s="12">
        <v>2.0</v>
      </c>
      <c r="D78" s="12">
        <v>28.0</v>
      </c>
      <c r="E78" s="12">
        <v>30.0</v>
      </c>
      <c r="F78" s="13">
        <v>0.9333333333333333</v>
      </c>
      <c r="G78" s="14" t="s">
        <v>33</v>
      </c>
      <c r="H78" s="12"/>
      <c r="I78" s="12"/>
      <c r="J78" s="12"/>
      <c r="K78" s="12"/>
      <c r="L78" s="12"/>
      <c r="M78" s="12">
        <v>0.0</v>
      </c>
      <c r="N78" s="12">
        <v>1.0</v>
      </c>
      <c r="O78" s="12">
        <v>1.0</v>
      </c>
      <c r="P78" s="12">
        <v>0.0</v>
      </c>
      <c r="S78" s="12" t="s">
        <v>41</v>
      </c>
      <c r="T78" s="12">
        <v>14.0</v>
      </c>
      <c r="U78" s="12">
        <v>8.0</v>
      </c>
      <c r="V78" s="12">
        <v>1.0</v>
      </c>
      <c r="W78" s="12"/>
      <c r="X78" s="12"/>
      <c r="Y78" s="12">
        <v>5.0</v>
      </c>
      <c r="Z78" s="12"/>
      <c r="AA78" s="12"/>
      <c r="AB78" s="12"/>
      <c r="AC78" s="12"/>
      <c r="AF78" s="7"/>
      <c r="AG78" s="7"/>
      <c r="AH78" s="7"/>
      <c r="AI78" s="7"/>
    </row>
    <row r="79">
      <c r="A79" s="12" t="s">
        <v>45</v>
      </c>
      <c r="B79" s="12" t="s">
        <v>46</v>
      </c>
      <c r="C79" s="12">
        <v>19.0</v>
      </c>
      <c r="D79" s="12">
        <v>86.0</v>
      </c>
      <c r="E79" s="12">
        <v>105.0</v>
      </c>
      <c r="F79" s="13">
        <v>0.819047619047619</v>
      </c>
      <c r="G79" s="14" t="s">
        <v>33</v>
      </c>
      <c r="H79" s="12"/>
      <c r="I79" s="12"/>
      <c r="J79" s="12"/>
      <c r="K79" s="12"/>
      <c r="L79" s="12"/>
      <c r="M79" s="12">
        <v>5.0</v>
      </c>
      <c r="N79" s="12">
        <v>3.0</v>
      </c>
      <c r="O79" s="12">
        <v>11.0</v>
      </c>
      <c r="P79" s="12">
        <v>0.0</v>
      </c>
      <c r="S79" s="12" t="s">
        <v>44</v>
      </c>
      <c r="T79" s="12">
        <v>10.0</v>
      </c>
      <c r="U79" s="12">
        <v>10.0</v>
      </c>
      <c r="V79" s="12"/>
      <c r="W79" s="12"/>
      <c r="X79" s="12"/>
      <c r="Y79" s="12"/>
      <c r="Z79" s="12"/>
      <c r="AA79" s="12"/>
      <c r="AB79" s="12"/>
      <c r="AC79" s="12"/>
      <c r="AF79" s="7"/>
      <c r="AG79" s="7"/>
      <c r="AH79" s="7"/>
      <c r="AI79" s="7"/>
    </row>
    <row r="80">
      <c r="A80" s="12" t="s">
        <v>48</v>
      </c>
      <c r="B80" s="12" t="s">
        <v>49</v>
      </c>
      <c r="C80" s="12">
        <v>12.0</v>
      </c>
      <c r="D80" s="12">
        <v>6.0</v>
      </c>
      <c r="E80" s="12">
        <v>18.0</v>
      </c>
      <c r="F80" s="13">
        <v>0.3333333333333333</v>
      </c>
      <c r="G80" s="14" t="s">
        <v>33</v>
      </c>
      <c r="H80" s="12"/>
      <c r="I80" s="12"/>
      <c r="J80" s="12"/>
      <c r="K80" s="12"/>
      <c r="L80" s="12"/>
      <c r="M80" s="12">
        <v>4.0</v>
      </c>
      <c r="N80" s="12">
        <v>6.0</v>
      </c>
      <c r="O80" s="12">
        <v>2.0</v>
      </c>
      <c r="P80" s="12">
        <v>0.0</v>
      </c>
      <c r="S80" s="12" t="s">
        <v>47</v>
      </c>
      <c r="T80" s="12">
        <v>2.0</v>
      </c>
      <c r="U80" s="12"/>
      <c r="V80" s="12">
        <v>1.0</v>
      </c>
      <c r="W80" s="12"/>
      <c r="X80" s="12"/>
      <c r="Y80" s="12"/>
      <c r="Z80" s="12"/>
      <c r="AA80" s="12"/>
      <c r="AB80" s="12">
        <v>1.0</v>
      </c>
      <c r="AC80" s="12"/>
      <c r="AF80" s="7"/>
      <c r="AG80" s="7"/>
      <c r="AH80" s="7"/>
      <c r="AI80" s="7"/>
    </row>
    <row r="81">
      <c r="A81" s="12" t="s">
        <v>82</v>
      </c>
      <c r="B81" s="12" t="s">
        <v>53</v>
      </c>
      <c r="C81" s="12">
        <v>15.0</v>
      </c>
      <c r="D81" s="12">
        <v>87.0</v>
      </c>
      <c r="E81" s="12">
        <v>102.0</v>
      </c>
      <c r="F81" s="13">
        <v>0.8529411764705882</v>
      </c>
      <c r="G81" s="19" t="s">
        <v>50</v>
      </c>
      <c r="H81" s="12"/>
      <c r="I81" s="12"/>
      <c r="J81" s="12"/>
      <c r="K81" s="12"/>
      <c r="L81" s="12"/>
      <c r="M81" s="12">
        <v>4.0</v>
      </c>
      <c r="N81" s="12">
        <v>4.0</v>
      </c>
      <c r="O81" s="12">
        <v>7.0</v>
      </c>
      <c r="P81" s="12">
        <v>0.0</v>
      </c>
      <c r="S81" s="12" t="s">
        <v>51</v>
      </c>
      <c r="T81" s="12">
        <v>22.0</v>
      </c>
      <c r="U81" s="12">
        <v>7.0</v>
      </c>
      <c r="V81" s="12">
        <v>1.0</v>
      </c>
      <c r="W81" s="12"/>
      <c r="X81" s="12"/>
      <c r="Y81" s="12"/>
      <c r="Z81" s="12"/>
      <c r="AA81" s="12">
        <v>14.0</v>
      </c>
      <c r="AB81" s="12"/>
      <c r="AC81" s="12"/>
      <c r="AF81" s="7"/>
      <c r="AG81" s="7"/>
      <c r="AH81" s="7"/>
      <c r="AI81" s="7"/>
    </row>
    <row r="82">
      <c r="A82" s="12" t="s">
        <v>55</v>
      </c>
      <c r="B82" s="12" t="s">
        <v>56</v>
      </c>
      <c r="C82" s="12">
        <v>1.0</v>
      </c>
      <c r="D82" s="12">
        <v>0.0</v>
      </c>
      <c r="E82" s="12">
        <v>1.0</v>
      </c>
      <c r="F82" s="13">
        <v>0.0</v>
      </c>
      <c r="G82" s="17" t="s">
        <v>40</v>
      </c>
      <c r="H82" s="12"/>
      <c r="I82" s="12"/>
      <c r="J82" s="12"/>
      <c r="K82" s="12"/>
      <c r="L82" s="12"/>
      <c r="M82" s="12">
        <v>0.0</v>
      </c>
      <c r="N82" s="12">
        <v>1.0</v>
      </c>
      <c r="O82" s="12">
        <v>0.0</v>
      </c>
      <c r="P82" s="12">
        <v>0.0</v>
      </c>
      <c r="S82" s="12" t="s">
        <v>54</v>
      </c>
      <c r="T82" s="12">
        <v>15.0</v>
      </c>
      <c r="U82" s="12"/>
      <c r="V82" s="12"/>
      <c r="W82" s="12"/>
      <c r="X82" s="12"/>
      <c r="Y82" s="12"/>
      <c r="Z82" s="12">
        <v>12.0</v>
      </c>
      <c r="AA82" s="12">
        <v>3.0</v>
      </c>
      <c r="AB82" s="12"/>
      <c r="AC82" s="12"/>
      <c r="AF82" s="7"/>
      <c r="AG82" s="7"/>
      <c r="AH82" s="7"/>
      <c r="AI82" s="7"/>
    </row>
    <row r="83">
      <c r="A83" s="12"/>
      <c r="B83" s="12"/>
      <c r="C83" s="12">
        <v>0.0</v>
      </c>
      <c r="D83" s="12">
        <v>0.0</v>
      </c>
      <c r="E83" s="12">
        <v>0.0</v>
      </c>
      <c r="F83" s="13" t="e">
        <v>#DIV/0!</v>
      </c>
      <c r="G83" s="12"/>
      <c r="H83" s="12"/>
      <c r="I83" s="12"/>
      <c r="J83" s="12"/>
      <c r="K83" s="12"/>
      <c r="L83" s="12"/>
      <c r="M83" s="12">
        <v>0.0</v>
      </c>
      <c r="N83" s="12">
        <v>0.0</v>
      </c>
      <c r="O83" s="12">
        <v>0.0</v>
      </c>
      <c r="P83" s="12">
        <v>0.0</v>
      </c>
      <c r="S83" s="12" t="s">
        <v>57</v>
      </c>
      <c r="T83" s="12">
        <v>9.0</v>
      </c>
      <c r="U83" s="12"/>
      <c r="V83" s="12">
        <v>1.0</v>
      </c>
      <c r="W83" s="12"/>
      <c r="X83" s="12">
        <v>2.0</v>
      </c>
      <c r="Y83" s="12">
        <v>2.0</v>
      </c>
      <c r="Z83" s="12"/>
      <c r="AA83" s="12">
        <v>4.0</v>
      </c>
      <c r="AB83" s="12"/>
      <c r="AC83" s="12"/>
      <c r="AF83" s="7"/>
      <c r="AG83" s="7"/>
      <c r="AH83" s="7"/>
      <c r="AI83" s="7"/>
    </row>
    <row r="84">
      <c r="A84" s="28"/>
      <c r="D84" s="29"/>
      <c r="G84" s="28"/>
      <c r="J84" s="29"/>
      <c r="M84" s="29"/>
      <c r="N84" s="29"/>
      <c r="O84" s="29"/>
      <c r="P84" s="29"/>
      <c r="S84" s="12" t="s">
        <v>83</v>
      </c>
      <c r="T84" s="12">
        <v>1.0</v>
      </c>
      <c r="U84" s="12"/>
      <c r="V84" s="12"/>
      <c r="W84" s="12"/>
      <c r="X84" s="12"/>
      <c r="Y84" s="12"/>
      <c r="Z84" s="12"/>
      <c r="AA84" s="12">
        <v>1.0</v>
      </c>
      <c r="AB84" s="12"/>
      <c r="AC84" s="12"/>
      <c r="AF84" s="7"/>
      <c r="AG84" s="7"/>
      <c r="AH84" s="7"/>
      <c r="AI84" s="7"/>
    </row>
    <row r="85">
      <c r="A85" s="28"/>
      <c r="C85" s="28"/>
      <c r="D85" s="29"/>
      <c r="E85" s="28"/>
      <c r="F85" s="28"/>
      <c r="J85" s="29"/>
      <c r="M85" s="29"/>
      <c r="N85" s="29"/>
      <c r="O85" s="29"/>
      <c r="P85" s="29"/>
      <c r="S85" s="12" t="s">
        <v>84</v>
      </c>
      <c r="T85" s="12">
        <v>2.0</v>
      </c>
      <c r="U85" s="12"/>
      <c r="V85" s="12"/>
      <c r="W85" s="12"/>
      <c r="X85" s="12"/>
      <c r="Y85" s="12">
        <v>2.0</v>
      </c>
      <c r="Z85" s="12"/>
      <c r="AA85" s="12"/>
      <c r="AB85" s="12"/>
      <c r="AC85" s="12"/>
      <c r="AF85" s="7"/>
      <c r="AG85" s="7"/>
      <c r="AH85" s="7"/>
      <c r="AI85" s="7"/>
    </row>
    <row r="86">
      <c r="A86" s="28"/>
      <c r="D86" s="29"/>
      <c r="G86" s="28"/>
      <c r="J86" s="29"/>
      <c r="M86" s="29"/>
      <c r="N86" s="29"/>
      <c r="O86" s="29"/>
      <c r="P86" s="29"/>
      <c r="S86" s="12" t="s">
        <v>60</v>
      </c>
      <c r="T86" s="12">
        <v>2.0</v>
      </c>
      <c r="U86" s="12"/>
      <c r="V86" s="12"/>
      <c r="W86" s="12"/>
      <c r="X86" s="12"/>
      <c r="Y86" s="12"/>
      <c r="Z86" s="12"/>
      <c r="AA86" s="12">
        <v>2.0</v>
      </c>
      <c r="AB86" s="12"/>
      <c r="AC86" s="12"/>
      <c r="AF86" s="7"/>
      <c r="AG86" s="7"/>
      <c r="AH86" s="7"/>
      <c r="AI86" s="7"/>
    </row>
    <row r="87">
      <c r="A87" s="28"/>
      <c r="D87" s="29"/>
      <c r="J87" s="29"/>
      <c r="M87" s="29"/>
      <c r="N87" s="29"/>
      <c r="O87" s="29"/>
      <c r="P87" s="29"/>
      <c r="S87" s="21" t="s">
        <v>68</v>
      </c>
      <c r="T87" s="21">
        <v>92.0</v>
      </c>
      <c r="U87" s="21">
        <v>25.0</v>
      </c>
      <c r="V87" s="21">
        <v>4.0</v>
      </c>
      <c r="W87" s="21"/>
      <c r="X87" s="21">
        <v>3.0</v>
      </c>
      <c r="Y87" s="21">
        <v>19.0</v>
      </c>
      <c r="Z87" s="21">
        <v>16.0</v>
      </c>
      <c r="AA87" s="21">
        <v>24.0</v>
      </c>
      <c r="AB87" s="12"/>
      <c r="AC87" s="12"/>
      <c r="AF87" s="7"/>
      <c r="AG87" s="7"/>
      <c r="AH87" s="7"/>
      <c r="AI87" s="7"/>
    </row>
    <row r="88">
      <c r="A88" s="28"/>
      <c r="D88" s="29"/>
      <c r="J88" s="29"/>
      <c r="M88" s="29"/>
      <c r="N88" s="29"/>
      <c r="O88" s="29"/>
      <c r="P88" s="29"/>
      <c r="S88" s="28"/>
      <c r="AF88" s="7"/>
      <c r="AG88" s="7"/>
      <c r="AH88" s="7"/>
      <c r="AI88" s="7"/>
    </row>
    <row r="89">
      <c r="A89" s="28"/>
      <c r="D89" s="29"/>
      <c r="J89" s="29"/>
      <c r="M89" s="29"/>
      <c r="N89" s="29"/>
      <c r="O89" s="29"/>
      <c r="P89" s="29"/>
      <c r="S89" s="28"/>
      <c r="AF89" s="7"/>
      <c r="AG89" s="7"/>
      <c r="AH89" s="7"/>
      <c r="AI89" s="7"/>
    </row>
    <row r="90">
      <c r="A90" s="32" t="s">
        <v>90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S90" s="32" t="s">
        <v>91</v>
      </c>
      <c r="T90" s="2"/>
      <c r="U90" s="2"/>
      <c r="V90" s="2"/>
      <c r="W90" s="2"/>
      <c r="X90" s="2"/>
      <c r="Y90" s="2"/>
      <c r="Z90" s="2"/>
      <c r="AA90" s="2"/>
      <c r="AB90" s="2"/>
      <c r="AC90" s="3"/>
      <c r="AF90" s="7"/>
      <c r="AG90" s="7"/>
      <c r="AH90" s="7"/>
      <c r="AI90" s="7"/>
    </row>
    <row r="91">
      <c r="A91" s="8" t="s">
        <v>5</v>
      </c>
      <c r="B91" s="9" t="s">
        <v>6</v>
      </c>
      <c r="C91" s="9" t="s">
        <v>7</v>
      </c>
      <c r="D91" s="9" t="s">
        <v>8</v>
      </c>
      <c r="E91" s="9" t="s">
        <v>9</v>
      </c>
      <c r="F91" s="9" t="s">
        <v>10</v>
      </c>
      <c r="G91" s="9" t="s">
        <v>11</v>
      </c>
      <c r="H91" s="4"/>
      <c r="I91" s="4"/>
      <c r="J91" s="4"/>
      <c r="K91" s="4"/>
      <c r="L91" s="4"/>
      <c r="M91" s="8" t="s">
        <v>12</v>
      </c>
      <c r="N91" s="9" t="s">
        <v>13</v>
      </c>
      <c r="O91" s="9" t="s">
        <v>14</v>
      </c>
      <c r="P91" s="9" t="s">
        <v>15</v>
      </c>
      <c r="S91" s="10" t="s">
        <v>16</v>
      </c>
      <c r="T91" s="9" t="s">
        <v>17</v>
      </c>
      <c r="U91" s="9" t="s">
        <v>18</v>
      </c>
      <c r="V91" s="9" t="s">
        <v>19</v>
      </c>
      <c r="W91" s="9"/>
      <c r="X91" s="9" t="s">
        <v>21</v>
      </c>
      <c r="Y91" s="9" t="s">
        <v>22</v>
      </c>
      <c r="Z91" s="9" t="s">
        <v>23</v>
      </c>
      <c r="AA91" s="9" t="s">
        <v>24</v>
      </c>
      <c r="AB91" s="9"/>
      <c r="AC91" s="9" t="s">
        <v>30</v>
      </c>
      <c r="AF91" s="7"/>
      <c r="AG91" s="7"/>
      <c r="AH91" s="7"/>
      <c r="AI91" s="7"/>
    </row>
    <row r="92">
      <c r="A92" s="12" t="s">
        <v>31</v>
      </c>
      <c r="B92" s="12" t="s">
        <v>32</v>
      </c>
      <c r="C92" s="12">
        <v>35.0</v>
      </c>
      <c r="D92" s="12">
        <v>44.0</v>
      </c>
      <c r="E92" s="12">
        <v>79.0</v>
      </c>
      <c r="F92" s="13">
        <v>0.5569620253164557</v>
      </c>
      <c r="G92" s="19" t="s">
        <v>50</v>
      </c>
      <c r="H92" s="12"/>
      <c r="I92" s="12"/>
      <c r="J92" s="12"/>
      <c r="K92" s="12"/>
      <c r="L92" s="12"/>
      <c r="M92" s="12">
        <v>30.0</v>
      </c>
      <c r="N92" s="12">
        <v>0.0</v>
      </c>
      <c r="O92" s="12">
        <v>4.0</v>
      </c>
      <c r="P92" s="12">
        <v>1.0</v>
      </c>
      <c r="S92" s="12" t="s">
        <v>34</v>
      </c>
      <c r="T92" s="12">
        <v>2.0</v>
      </c>
      <c r="U92" s="12">
        <v>2.0</v>
      </c>
      <c r="V92" s="12"/>
      <c r="W92" s="12"/>
      <c r="X92" s="12"/>
      <c r="Y92" s="12"/>
      <c r="Z92" s="12"/>
      <c r="AA92" s="12"/>
      <c r="AB92" s="12"/>
      <c r="AC92" s="12"/>
      <c r="AF92" s="7"/>
      <c r="AG92" s="7"/>
      <c r="AH92" s="7"/>
      <c r="AI92" s="7"/>
    </row>
    <row r="93">
      <c r="A93" s="12" t="s">
        <v>35</v>
      </c>
      <c r="B93" s="12" t="s">
        <v>36</v>
      </c>
      <c r="C93" s="12">
        <v>5.0</v>
      </c>
      <c r="D93" s="12">
        <v>56.0</v>
      </c>
      <c r="E93" s="12">
        <v>61.0</v>
      </c>
      <c r="F93" s="13">
        <v>0.9180327868852459</v>
      </c>
      <c r="G93" s="17" t="s">
        <v>40</v>
      </c>
      <c r="H93" s="12"/>
      <c r="I93" s="12"/>
      <c r="J93" s="12"/>
      <c r="K93" s="12"/>
      <c r="L93" s="12"/>
      <c r="M93" s="12">
        <v>2.0</v>
      </c>
      <c r="N93" s="12">
        <v>2.0</v>
      </c>
      <c r="O93" s="12">
        <v>1.0</v>
      </c>
      <c r="P93" s="12">
        <v>0.0</v>
      </c>
      <c r="S93" s="12" t="s">
        <v>37</v>
      </c>
      <c r="T93" s="12">
        <v>17.0</v>
      </c>
      <c r="U93" s="12">
        <v>2.0</v>
      </c>
      <c r="V93" s="12"/>
      <c r="W93" s="12"/>
      <c r="X93" s="12">
        <v>1.0</v>
      </c>
      <c r="Y93" s="12">
        <v>10.0</v>
      </c>
      <c r="Z93" s="12">
        <v>4.0</v>
      </c>
      <c r="AA93" s="12"/>
      <c r="AB93" s="12"/>
      <c r="AC93" s="12"/>
      <c r="AF93" s="7"/>
      <c r="AG93" s="7"/>
      <c r="AH93" s="7"/>
      <c r="AI93" s="7"/>
    </row>
    <row r="94">
      <c r="A94" s="12" t="s">
        <v>42</v>
      </c>
      <c r="B94" s="12" t="s">
        <v>43</v>
      </c>
      <c r="C94" s="12">
        <v>2.0</v>
      </c>
      <c r="D94" s="12">
        <v>28.0</v>
      </c>
      <c r="E94" s="12">
        <v>30.0</v>
      </c>
      <c r="F94" s="13">
        <v>0.9333333333333333</v>
      </c>
      <c r="G94" s="14" t="s">
        <v>33</v>
      </c>
      <c r="H94" s="12"/>
      <c r="I94" s="12"/>
      <c r="J94" s="12"/>
      <c r="K94" s="12"/>
      <c r="L94" s="12"/>
      <c r="M94" s="12">
        <v>0.0</v>
      </c>
      <c r="N94" s="12">
        <v>1.0</v>
      </c>
      <c r="O94" s="12">
        <v>1.0</v>
      </c>
      <c r="P94" s="12">
        <v>0.0</v>
      </c>
      <c r="S94" s="12" t="s">
        <v>41</v>
      </c>
      <c r="T94" s="12">
        <v>15.0</v>
      </c>
      <c r="U94" s="12">
        <v>12.0</v>
      </c>
      <c r="V94" s="12"/>
      <c r="W94" s="12"/>
      <c r="X94" s="12"/>
      <c r="Y94" s="12">
        <v>3.0</v>
      </c>
      <c r="Z94" s="12"/>
      <c r="AA94" s="12"/>
      <c r="AB94" s="12"/>
      <c r="AC94" s="12"/>
      <c r="AF94" s="7"/>
      <c r="AG94" s="7"/>
      <c r="AH94" s="7"/>
      <c r="AI94" s="7"/>
    </row>
    <row r="95">
      <c r="A95" s="12" t="s">
        <v>45</v>
      </c>
      <c r="B95" s="12" t="s">
        <v>46</v>
      </c>
      <c r="C95" s="12">
        <v>19.0</v>
      </c>
      <c r="D95" s="12">
        <v>86.0</v>
      </c>
      <c r="E95" s="12">
        <v>105.0</v>
      </c>
      <c r="F95" s="13">
        <v>0.819047619047619</v>
      </c>
      <c r="G95" s="14" t="s">
        <v>33</v>
      </c>
      <c r="H95" s="12"/>
      <c r="I95" s="12"/>
      <c r="J95" s="12"/>
      <c r="K95" s="12"/>
      <c r="L95" s="12"/>
      <c r="M95" s="12">
        <v>5.0</v>
      </c>
      <c r="N95" s="12">
        <v>3.0</v>
      </c>
      <c r="O95" s="12">
        <v>11.0</v>
      </c>
      <c r="P95" s="12">
        <v>0.0</v>
      </c>
      <c r="S95" s="12" t="s">
        <v>44</v>
      </c>
      <c r="T95" s="12">
        <v>20.0</v>
      </c>
      <c r="U95" s="12">
        <v>20.0</v>
      </c>
      <c r="V95" s="12"/>
      <c r="W95" s="12"/>
      <c r="X95" s="12"/>
      <c r="Y95" s="12"/>
      <c r="Z95" s="12"/>
      <c r="AA95" s="12"/>
      <c r="AB95" s="12"/>
      <c r="AC95" s="12"/>
      <c r="AF95" s="7"/>
      <c r="AG95" s="7"/>
      <c r="AH95" s="7"/>
      <c r="AI95" s="7"/>
    </row>
    <row r="96">
      <c r="A96" s="12" t="s">
        <v>48</v>
      </c>
      <c r="B96" s="12" t="s">
        <v>49</v>
      </c>
      <c r="C96" s="12">
        <v>12.0</v>
      </c>
      <c r="D96" s="12">
        <v>6.0</v>
      </c>
      <c r="E96" s="12">
        <v>18.0</v>
      </c>
      <c r="F96" s="13">
        <v>0.3333333333333333</v>
      </c>
      <c r="G96" s="14" t="s">
        <v>33</v>
      </c>
      <c r="H96" s="12"/>
      <c r="I96" s="12"/>
      <c r="J96" s="12"/>
      <c r="K96" s="12"/>
      <c r="L96" s="12"/>
      <c r="M96" s="12">
        <v>4.0</v>
      </c>
      <c r="N96" s="12">
        <v>6.0</v>
      </c>
      <c r="O96" s="12">
        <v>2.0</v>
      </c>
      <c r="P96" s="12">
        <v>0.0</v>
      </c>
      <c r="S96" s="12" t="s">
        <v>47</v>
      </c>
      <c r="T96" s="12">
        <v>3.0</v>
      </c>
      <c r="U96" s="12">
        <v>2.0</v>
      </c>
      <c r="V96" s="12">
        <v>1.0</v>
      </c>
      <c r="W96" s="12"/>
      <c r="X96" s="12"/>
      <c r="Y96" s="12"/>
      <c r="Z96" s="12"/>
      <c r="AA96" s="12"/>
      <c r="AB96" s="12"/>
      <c r="AC96" s="12"/>
      <c r="AF96" s="7"/>
      <c r="AG96" s="7"/>
      <c r="AH96" s="7"/>
      <c r="AI96" s="7"/>
    </row>
    <row r="97">
      <c r="A97" s="12" t="s">
        <v>82</v>
      </c>
      <c r="B97" s="12" t="s">
        <v>53</v>
      </c>
      <c r="C97" s="12">
        <v>21.0</v>
      </c>
      <c r="D97" s="12">
        <v>66.0</v>
      </c>
      <c r="E97" s="12">
        <v>87.0</v>
      </c>
      <c r="F97" s="13">
        <v>0.7586206896551724</v>
      </c>
      <c r="G97" s="19" t="s">
        <v>50</v>
      </c>
      <c r="H97" s="12"/>
      <c r="I97" s="12"/>
      <c r="J97" s="12"/>
      <c r="K97" s="12"/>
      <c r="L97" s="12"/>
      <c r="M97" s="12">
        <v>1.0</v>
      </c>
      <c r="N97" s="12">
        <v>6.0</v>
      </c>
      <c r="O97" s="12">
        <v>14.0</v>
      </c>
      <c r="P97" s="12">
        <v>0.0</v>
      </c>
      <c r="S97" s="12" t="s">
        <v>92</v>
      </c>
      <c r="T97" s="12">
        <v>0.0</v>
      </c>
      <c r="U97" s="12"/>
      <c r="V97" s="12"/>
      <c r="W97" s="12"/>
      <c r="X97" s="12"/>
      <c r="Y97" s="12"/>
      <c r="Z97" s="12"/>
      <c r="AA97" s="12"/>
      <c r="AB97" s="12"/>
      <c r="AC97" s="12"/>
      <c r="AF97" s="7"/>
      <c r="AG97" s="7"/>
      <c r="AH97" s="7"/>
      <c r="AI97" s="7"/>
    </row>
    <row r="98">
      <c r="A98" s="12"/>
      <c r="B98" s="12"/>
      <c r="C98" s="12">
        <v>0.0</v>
      </c>
      <c r="D98" s="12">
        <v>0.0</v>
      </c>
      <c r="E98" s="12">
        <v>0.0</v>
      </c>
      <c r="F98" s="13" t="e">
        <v>#DIV/0!</v>
      </c>
      <c r="G98" s="12"/>
      <c r="H98" s="12"/>
      <c r="I98" s="12"/>
      <c r="J98" s="12"/>
      <c r="K98" s="12"/>
      <c r="L98" s="12"/>
      <c r="M98" s="12">
        <v>0.0</v>
      </c>
      <c r="N98" s="12">
        <v>0.0</v>
      </c>
      <c r="O98" s="12">
        <v>0.0</v>
      </c>
      <c r="P98" s="12">
        <v>0.0</v>
      </c>
      <c r="S98" s="12" t="s">
        <v>51</v>
      </c>
      <c r="T98" s="12">
        <v>24.0</v>
      </c>
      <c r="U98" s="12">
        <v>10.0</v>
      </c>
      <c r="V98" s="12">
        <v>3.0</v>
      </c>
      <c r="W98" s="12"/>
      <c r="X98" s="12"/>
      <c r="Y98" s="12"/>
      <c r="Z98" s="12"/>
      <c r="AA98" s="12">
        <v>11.0</v>
      </c>
      <c r="AB98" s="12"/>
      <c r="AC98" s="12"/>
      <c r="AF98" s="7"/>
      <c r="AG98" s="7"/>
      <c r="AH98" s="7"/>
      <c r="AI98" s="7"/>
    </row>
    <row r="99">
      <c r="A99" s="12"/>
      <c r="B99" s="12"/>
      <c r="C99" s="12">
        <v>0.0</v>
      </c>
      <c r="D99" s="12">
        <v>0.0</v>
      </c>
      <c r="E99" s="12">
        <v>0.0</v>
      </c>
      <c r="F99" s="13" t="e">
        <v>#DIV/0!</v>
      </c>
      <c r="G99" s="12"/>
      <c r="H99" s="12"/>
      <c r="I99" s="12"/>
      <c r="J99" s="12"/>
      <c r="K99" s="12"/>
      <c r="L99" s="12"/>
      <c r="M99" s="12">
        <v>0.0</v>
      </c>
      <c r="N99" s="12">
        <v>0.0</v>
      </c>
      <c r="O99" s="12">
        <v>0.0</v>
      </c>
      <c r="P99" s="12">
        <v>0.0</v>
      </c>
      <c r="S99" s="12" t="s">
        <v>54</v>
      </c>
      <c r="T99" s="12">
        <v>18.0</v>
      </c>
      <c r="U99" s="12"/>
      <c r="V99" s="12"/>
      <c r="W99" s="12"/>
      <c r="X99" s="12"/>
      <c r="Y99" s="12"/>
      <c r="Z99" s="12">
        <v>12.0</v>
      </c>
      <c r="AA99" s="12">
        <v>6.0</v>
      </c>
      <c r="AB99" s="12"/>
      <c r="AC99" s="12"/>
      <c r="AF99" s="7"/>
      <c r="AG99" s="7"/>
      <c r="AH99" s="7"/>
      <c r="AI99" s="7"/>
    </row>
    <row r="100">
      <c r="A100" s="28"/>
      <c r="D100" s="29"/>
      <c r="J100" s="29"/>
      <c r="M100" s="29"/>
      <c r="N100" s="29"/>
      <c r="O100" s="29"/>
      <c r="P100" s="29"/>
      <c r="S100" s="12" t="s">
        <v>57</v>
      </c>
      <c r="T100" s="12">
        <v>9.0</v>
      </c>
      <c r="U100" s="12">
        <v>3.0</v>
      </c>
      <c r="V100" s="12">
        <v>1.0</v>
      </c>
      <c r="W100" s="12"/>
      <c r="X100" s="12">
        <v>2.0</v>
      </c>
      <c r="Y100" s="12">
        <v>2.0</v>
      </c>
      <c r="Z100" s="12"/>
      <c r="AA100" s="12">
        <v>1.0</v>
      </c>
      <c r="AB100" s="12"/>
      <c r="AC100" s="12"/>
      <c r="AF100" s="7"/>
      <c r="AG100" s="7"/>
      <c r="AH100" s="7"/>
      <c r="AI100" s="7"/>
    </row>
    <row r="101">
      <c r="A101" s="28"/>
      <c r="D101" s="29"/>
      <c r="J101" s="29"/>
      <c r="M101" s="29"/>
      <c r="N101" s="29"/>
      <c r="O101" s="29"/>
      <c r="P101" s="29"/>
      <c r="S101" s="12" t="s">
        <v>83</v>
      </c>
      <c r="T101" s="12">
        <v>8.0</v>
      </c>
      <c r="U101" s="12"/>
      <c r="V101" s="12"/>
      <c r="W101" s="12"/>
      <c r="X101" s="12"/>
      <c r="Y101" s="12"/>
      <c r="Z101" s="12"/>
      <c r="AA101" s="12">
        <v>8.0</v>
      </c>
      <c r="AB101" s="12"/>
      <c r="AC101" s="12"/>
      <c r="AF101" s="7"/>
      <c r="AG101" s="7"/>
      <c r="AH101" s="7"/>
      <c r="AI101" s="7"/>
    </row>
    <row r="102">
      <c r="A102" s="28"/>
      <c r="D102" s="29"/>
      <c r="J102" s="29"/>
      <c r="M102" s="29"/>
      <c r="N102" s="29"/>
      <c r="O102" s="29"/>
      <c r="P102" s="29"/>
      <c r="S102" s="12" t="s">
        <v>84</v>
      </c>
      <c r="T102" s="12">
        <v>3.0</v>
      </c>
      <c r="U102" s="12"/>
      <c r="V102" s="12"/>
      <c r="W102" s="12"/>
      <c r="X102" s="12"/>
      <c r="Y102" s="12">
        <v>2.0</v>
      </c>
      <c r="Z102" s="12"/>
      <c r="AA102" s="12">
        <v>1.0</v>
      </c>
      <c r="AB102" s="12"/>
      <c r="AC102" s="12"/>
      <c r="AF102" s="7"/>
      <c r="AG102" s="7"/>
      <c r="AH102" s="7"/>
      <c r="AI102" s="7"/>
    </row>
    <row r="103">
      <c r="A103" s="28"/>
      <c r="D103" s="29"/>
      <c r="J103" s="29"/>
      <c r="M103" s="29"/>
      <c r="N103" s="29"/>
      <c r="O103" s="29"/>
      <c r="P103" s="29"/>
      <c r="S103" s="21" t="s">
        <v>68</v>
      </c>
      <c r="T103" s="21">
        <v>119.0</v>
      </c>
      <c r="U103" s="21">
        <v>51.0</v>
      </c>
      <c r="V103" s="21">
        <v>5.0</v>
      </c>
      <c r="W103" s="21"/>
      <c r="X103" s="21">
        <v>3.0</v>
      </c>
      <c r="Y103" s="21">
        <v>17.0</v>
      </c>
      <c r="Z103" s="21">
        <v>16.0</v>
      </c>
      <c r="AA103" s="21">
        <v>27.0</v>
      </c>
      <c r="AB103" s="12"/>
      <c r="AC103" s="12"/>
      <c r="AF103" s="7"/>
      <c r="AG103" s="7"/>
      <c r="AH103" s="7"/>
      <c r="AI103" s="7"/>
    </row>
    <row r="104">
      <c r="A104" s="28"/>
      <c r="D104" s="29"/>
      <c r="J104" s="29"/>
      <c r="M104" s="29"/>
      <c r="N104" s="29"/>
      <c r="O104" s="29"/>
      <c r="P104" s="29"/>
      <c r="S104" s="28"/>
      <c r="AF104" s="7"/>
      <c r="AG104" s="7"/>
      <c r="AH104" s="7"/>
      <c r="AI104" s="7"/>
    </row>
    <row r="105">
      <c r="A105" s="28"/>
      <c r="D105" s="29"/>
      <c r="J105" s="29"/>
      <c r="M105" s="29"/>
      <c r="N105" s="29"/>
      <c r="O105" s="29"/>
      <c r="P105" s="29"/>
      <c r="S105" s="28"/>
      <c r="AF105" s="7"/>
      <c r="AG105" s="7"/>
      <c r="AH105" s="7"/>
      <c r="AI105" s="7"/>
    </row>
    <row r="106">
      <c r="A106" s="32" t="s">
        <v>93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S106" s="32" t="s">
        <v>94</v>
      </c>
      <c r="T106" s="2"/>
      <c r="U106" s="2"/>
      <c r="V106" s="2"/>
      <c r="W106" s="2"/>
      <c r="X106" s="2"/>
      <c r="Y106" s="2"/>
      <c r="Z106" s="2"/>
      <c r="AA106" s="2"/>
      <c r="AB106" s="2"/>
      <c r="AC106" s="3"/>
      <c r="AF106" s="7"/>
      <c r="AG106" s="7"/>
      <c r="AH106" s="7"/>
      <c r="AI106" s="7"/>
    </row>
    <row r="107">
      <c r="A107" s="8" t="s">
        <v>5</v>
      </c>
      <c r="B107" s="9" t="s">
        <v>6</v>
      </c>
      <c r="C107" s="9" t="s">
        <v>7</v>
      </c>
      <c r="D107" s="9" t="s">
        <v>8</v>
      </c>
      <c r="E107" s="9" t="s">
        <v>9</v>
      </c>
      <c r="F107" s="9" t="s">
        <v>10</v>
      </c>
      <c r="G107" s="9" t="s">
        <v>11</v>
      </c>
      <c r="H107" s="4"/>
      <c r="I107" s="4"/>
      <c r="J107" s="4"/>
      <c r="K107" s="4"/>
      <c r="L107" s="4"/>
      <c r="M107" s="8" t="s">
        <v>12</v>
      </c>
      <c r="N107" s="9" t="s">
        <v>13</v>
      </c>
      <c r="O107" s="9" t="s">
        <v>14</v>
      </c>
      <c r="P107" s="9" t="s">
        <v>15</v>
      </c>
      <c r="S107" s="10" t="s">
        <v>16</v>
      </c>
      <c r="T107" s="9" t="s">
        <v>17</v>
      </c>
      <c r="U107" s="9" t="s">
        <v>18</v>
      </c>
      <c r="V107" s="9" t="s">
        <v>19</v>
      </c>
      <c r="W107" s="9"/>
      <c r="X107" s="9" t="s">
        <v>21</v>
      </c>
      <c r="Y107" s="9" t="s">
        <v>22</v>
      </c>
      <c r="Z107" s="9" t="s">
        <v>23</v>
      </c>
      <c r="AA107" s="9" t="s">
        <v>24</v>
      </c>
      <c r="AB107" s="9"/>
      <c r="AC107" s="9" t="s">
        <v>30</v>
      </c>
      <c r="AF107" s="7"/>
      <c r="AG107" s="7"/>
      <c r="AH107" s="7"/>
      <c r="AI107" s="7"/>
    </row>
    <row r="108">
      <c r="A108" s="4" t="s">
        <v>31</v>
      </c>
      <c r="B108" s="4" t="s">
        <v>32</v>
      </c>
      <c r="C108" s="4">
        <v>57.0</v>
      </c>
      <c r="D108" s="12">
        <v>20.0</v>
      </c>
      <c r="E108" s="4">
        <v>77.0</v>
      </c>
      <c r="F108" s="38">
        <v>0.2597402597402597</v>
      </c>
      <c r="G108" s="17" t="s">
        <v>40</v>
      </c>
      <c r="H108" s="4"/>
      <c r="I108" s="4"/>
      <c r="J108" s="12"/>
      <c r="K108" s="4"/>
      <c r="L108" s="4"/>
      <c r="M108" s="12">
        <v>52.0</v>
      </c>
      <c r="N108" s="12">
        <v>1.0</v>
      </c>
      <c r="O108" s="12">
        <v>4.0</v>
      </c>
      <c r="P108" s="12">
        <v>0.0</v>
      </c>
      <c r="S108" s="12" t="s">
        <v>34</v>
      </c>
      <c r="T108" s="12">
        <v>2.0</v>
      </c>
      <c r="U108" s="12">
        <v>2.0</v>
      </c>
      <c r="V108" s="12"/>
      <c r="W108" s="12"/>
      <c r="X108" s="12"/>
      <c r="Y108" s="12"/>
      <c r="Z108" s="12"/>
      <c r="AA108" s="12"/>
      <c r="AB108" s="12"/>
      <c r="AC108" s="12"/>
      <c r="AF108" s="7"/>
      <c r="AG108" s="7"/>
      <c r="AH108" s="7"/>
      <c r="AI108" s="7"/>
    </row>
    <row r="109">
      <c r="A109" s="4" t="s">
        <v>35</v>
      </c>
      <c r="B109" s="4" t="s">
        <v>36</v>
      </c>
      <c r="C109" s="4">
        <v>4.0</v>
      </c>
      <c r="D109" s="12">
        <v>48.0</v>
      </c>
      <c r="E109" s="4">
        <v>52.0</v>
      </c>
      <c r="F109" s="38">
        <v>0.9230769230769231</v>
      </c>
      <c r="G109" s="17" t="s">
        <v>40</v>
      </c>
      <c r="H109" s="4"/>
      <c r="I109" s="4"/>
      <c r="J109" s="12"/>
      <c r="K109" s="4"/>
      <c r="L109" s="4"/>
      <c r="M109" s="12">
        <v>2.0</v>
      </c>
      <c r="N109" s="12">
        <v>1.0</v>
      </c>
      <c r="O109" s="12">
        <v>1.0</v>
      </c>
      <c r="P109" s="12">
        <v>0.0</v>
      </c>
      <c r="S109" s="12" t="s">
        <v>37</v>
      </c>
      <c r="T109" s="12">
        <v>17.0</v>
      </c>
      <c r="U109" s="12">
        <v>2.0</v>
      </c>
      <c r="V109" s="12"/>
      <c r="W109" s="12"/>
      <c r="X109" s="12">
        <v>1.0</v>
      </c>
      <c r="Y109" s="12">
        <v>10.0</v>
      </c>
      <c r="Z109" s="12">
        <v>4.0</v>
      </c>
      <c r="AA109" s="12"/>
      <c r="AB109" s="12"/>
      <c r="AC109" s="12"/>
      <c r="AF109" s="7"/>
      <c r="AG109" s="7"/>
      <c r="AH109" s="7"/>
      <c r="AI109" s="7"/>
    </row>
    <row r="110">
      <c r="A110" s="4" t="s">
        <v>42</v>
      </c>
      <c r="B110" s="4" t="s">
        <v>43</v>
      </c>
      <c r="C110" s="4">
        <v>2.0</v>
      </c>
      <c r="D110" s="12">
        <v>28.0</v>
      </c>
      <c r="E110" s="4">
        <v>30.0</v>
      </c>
      <c r="F110" s="38">
        <v>0.9333333333333333</v>
      </c>
      <c r="G110" s="14" t="s">
        <v>33</v>
      </c>
      <c r="H110" s="4"/>
      <c r="I110" s="4"/>
      <c r="J110" s="12"/>
      <c r="K110" s="4"/>
      <c r="L110" s="4"/>
      <c r="M110" s="12">
        <v>0.0</v>
      </c>
      <c r="N110" s="12">
        <v>1.0</v>
      </c>
      <c r="O110" s="12">
        <v>1.0</v>
      </c>
      <c r="P110" s="12">
        <v>0.0</v>
      </c>
      <c r="S110" s="12" t="s">
        <v>41</v>
      </c>
      <c r="T110" s="12">
        <v>11.0</v>
      </c>
      <c r="U110" s="12">
        <v>7.0</v>
      </c>
      <c r="V110" s="12"/>
      <c r="W110" s="12"/>
      <c r="X110" s="12"/>
      <c r="Y110" s="12">
        <v>3.0</v>
      </c>
      <c r="Z110" s="12"/>
      <c r="AA110" s="12"/>
      <c r="AB110" s="12"/>
      <c r="AC110" s="12"/>
      <c r="AF110" s="7"/>
      <c r="AG110" s="7"/>
      <c r="AH110" s="7"/>
      <c r="AI110" s="7"/>
    </row>
    <row r="111">
      <c r="A111" s="4" t="s">
        <v>45</v>
      </c>
      <c r="B111" s="4" t="s">
        <v>46</v>
      </c>
      <c r="C111" s="4">
        <v>19.0</v>
      </c>
      <c r="D111" s="12">
        <v>85.0</v>
      </c>
      <c r="E111" s="4">
        <v>104.0</v>
      </c>
      <c r="F111" s="38">
        <v>0.8173076923076923</v>
      </c>
      <c r="G111" s="19" t="s">
        <v>50</v>
      </c>
      <c r="H111" s="4"/>
      <c r="I111" s="4"/>
      <c r="J111" s="12"/>
      <c r="K111" s="4"/>
      <c r="L111" s="4"/>
      <c r="M111" s="12">
        <v>5.0</v>
      </c>
      <c r="N111" s="12">
        <v>3.0</v>
      </c>
      <c r="O111" s="12">
        <v>11.0</v>
      </c>
      <c r="P111" s="12">
        <v>0.0</v>
      </c>
      <c r="S111" s="12" t="s">
        <v>44</v>
      </c>
      <c r="T111" s="12">
        <v>29.0</v>
      </c>
      <c r="U111" s="12">
        <v>29.0</v>
      </c>
      <c r="V111" s="12"/>
      <c r="W111" s="12"/>
      <c r="X111" s="12"/>
      <c r="Y111" s="12"/>
      <c r="Z111" s="12"/>
      <c r="AA111" s="12"/>
      <c r="AB111" s="12"/>
      <c r="AC111" s="12"/>
      <c r="AF111" s="7"/>
      <c r="AG111" s="7"/>
      <c r="AH111" s="7"/>
      <c r="AI111" s="7"/>
    </row>
    <row r="112">
      <c r="A112" s="4" t="s">
        <v>48</v>
      </c>
      <c r="B112" s="4" t="s">
        <v>49</v>
      </c>
      <c r="C112" s="4">
        <v>12.0</v>
      </c>
      <c r="D112" s="12">
        <v>6.0</v>
      </c>
      <c r="E112" s="4">
        <v>18.0</v>
      </c>
      <c r="F112" s="38">
        <v>0.3333333333333333</v>
      </c>
      <c r="G112" s="14" t="s">
        <v>33</v>
      </c>
      <c r="H112" s="4"/>
      <c r="I112" s="4"/>
      <c r="J112" s="12"/>
      <c r="K112" s="4"/>
      <c r="L112" s="4"/>
      <c r="M112" s="12">
        <v>4.0</v>
      </c>
      <c r="N112" s="12">
        <v>6.0</v>
      </c>
      <c r="O112" s="12">
        <v>2.0</v>
      </c>
      <c r="P112" s="12">
        <v>0.0</v>
      </c>
      <c r="S112" s="12" t="s">
        <v>47</v>
      </c>
      <c r="T112" s="12">
        <v>3.0</v>
      </c>
      <c r="U112" s="12">
        <v>2.0</v>
      </c>
      <c r="V112" s="12">
        <v>1.0</v>
      </c>
      <c r="W112" s="12"/>
      <c r="X112" s="12"/>
      <c r="Y112" s="12"/>
      <c r="Z112" s="12"/>
      <c r="AA112" s="12"/>
      <c r="AB112" s="12"/>
      <c r="AC112" s="12"/>
      <c r="AF112" s="7"/>
      <c r="AG112" s="7"/>
      <c r="AH112" s="7"/>
      <c r="AI112" s="7"/>
    </row>
    <row r="113">
      <c r="A113" s="4" t="s">
        <v>82</v>
      </c>
      <c r="B113" s="4" t="s">
        <v>53</v>
      </c>
      <c r="C113" s="4">
        <v>24.0</v>
      </c>
      <c r="D113" s="12">
        <v>57.0</v>
      </c>
      <c r="E113" s="4">
        <v>81.0</v>
      </c>
      <c r="F113" s="38">
        <v>0.7037037037037037</v>
      </c>
      <c r="G113" s="19" t="s">
        <v>50</v>
      </c>
      <c r="H113" s="4"/>
      <c r="I113" s="4"/>
      <c r="J113" s="12"/>
      <c r="K113" s="4"/>
      <c r="L113" s="4"/>
      <c r="M113" s="12">
        <v>3.0</v>
      </c>
      <c r="N113" s="12">
        <v>8.0</v>
      </c>
      <c r="O113" s="12">
        <v>13.0</v>
      </c>
      <c r="P113" s="12">
        <v>0.0</v>
      </c>
      <c r="S113" s="12" t="s">
        <v>95</v>
      </c>
      <c r="T113" s="12">
        <v>7.0</v>
      </c>
      <c r="U113" s="12"/>
      <c r="V113" s="12"/>
      <c r="W113" s="12"/>
      <c r="X113" s="12"/>
      <c r="Y113" s="12"/>
      <c r="Z113" s="12"/>
      <c r="AA113" s="12">
        <v>7.0</v>
      </c>
      <c r="AB113" s="12"/>
      <c r="AC113" s="12"/>
      <c r="AF113" s="7"/>
      <c r="AG113" s="7"/>
      <c r="AH113" s="7"/>
      <c r="AI113" s="7"/>
    </row>
    <row r="114">
      <c r="A114" s="4"/>
      <c r="B114" s="4"/>
      <c r="C114" s="4">
        <v>0.0</v>
      </c>
      <c r="D114" s="12">
        <v>0.0</v>
      </c>
      <c r="E114" s="4">
        <v>0.0</v>
      </c>
      <c r="F114" s="38" t="e">
        <v>#DIV/0!</v>
      </c>
      <c r="G114" s="4"/>
      <c r="H114" s="4"/>
      <c r="I114" s="4"/>
      <c r="J114" s="12"/>
      <c r="K114" s="4"/>
      <c r="L114" s="4"/>
      <c r="M114" s="12">
        <v>0.0</v>
      </c>
      <c r="N114" s="12">
        <v>0.0</v>
      </c>
      <c r="O114" s="12">
        <v>0.0</v>
      </c>
      <c r="P114" s="12">
        <v>0.0</v>
      </c>
      <c r="S114" s="12" t="s">
        <v>92</v>
      </c>
      <c r="T114" s="12">
        <v>0.0</v>
      </c>
      <c r="U114" s="12"/>
      <c r="V114" s="12"/>
      <c r="W114" s="12"/>
      <c r="X114" s="12"/>
      <c r="Y114" s="12"/>
      <c r="Z114" s="12"/>
      <c r="AA114" s="12"/>
      <c r="AB114" s="12"/>
      <c r="AC114" s="12"/>
      <c r="AF114" s="7"/>
      <c r="AG114" s="7"/>
      <c r="AH114" s="7"/>
      <c r="AI114" s="7"/>
    </row>
    <row r="115">
      <c r="A115" s="4"/>
      <c r="B115" s="4"/>
      <c r="C115" s="4">
        <v>0.0</v>
      </c>
      <c r="D115" s="12">
        <v>0.0</v>
      </c>
      <c r="E115" s="4">
        <v>0.0</v>
      </c>
      <c r="F115" s="38" t="e">
        <v>#DIV/0!</v>
      </c>
      <c r="G115" s="4"/>
      <c r="H115" s="4"/>
      <c r="I115" s="4"/>
      <c r="J115" s="12"/>
      <c r="K115" s="4"/>
      <c r="L115" s="4"/>
      <c r="M115" s="12">
        <v>0.0</v>
      </c>
      <c r="N115" s="12">
        <v>0.0</v>
      </c>
      <c r="O115" s="12">
        <v>0.0</v>
      </c>
      <c r="P115" s="12">
        <v>0.0</v>
      </c>
      <c r="S115" s="12" t="s">
        <v>51</v>
      </c>
      <c r="T115" s="12">
        <v>35.0</v>
      </c>
      <c r="U115" s="12">
        <v>19.0</v>
      </c>
      <c r="V115" s="12">
        <v>3.0</v>
      </c>
      <c r="W115" s="12"/>
      <c r="X115" s="12"/>
      <c r="Y115" s="12"/>
      <c r="Z115" s="12"/>
      <c r="AA115" s="12">
        <v>13.0</v>
      </c>
      <c r="AB115" s="12"/>
      <c r="AC115" s="12"/>
      <c r="AF115" s="7"/>
      <c r="AG115" s="7"/>
      <c r="AH115" s="7"/>
      <c r="AI115" s="7"/>
    </row>
    <row r="116">
      <c r="A116" s="28"/>
      <c r="D116" s="29"/>
      <c r="J116" s="29"/>
      <c r="M116" s="29"/>
      <c r="N116" s="29"/>
      <c r="O116" s="29"/>
      <c r="P116" s="29"/>
      <c r="S116" s="12" t="s">
        <v>54</v>
      </c>
      <c r="T116" s="12">
        <v>14.0</v>
      </c>
      <c r="U116" s="12"/>
      <c r="V116" s="12"/>
      <c r="W116" s="12"/>
      <c r="X116" s="12"/>
      <c r="Y116" s="12"/>
      <c r="Z116" s="12">
        <v>12.0</v>
      </c>
      <c r="AA116" s="12">
        <v>2.0</v>
      </c>
      <c r="AB116" s="12"/>
      <c r="AC116" s="12"/>
      <c r="AF116" s="7"/>
      <c r="AG116" s="7"/>
      <c r="AH116" s="7"/>
      <c r="AI116" s="7"/>
    </row>
    <row r="117">
      <c r="A117" s="28"/>
      <c r="D117" s="29"/>
      <c r="J117" s="29"/>
      <c r="M117" s="29"/>
      <c r="N117" s="29"/>
      <c r="O117" s="29"/>
      <c r="P117" s="29"/>
      <c r="S117" s="12" t="s">
        <v>57</v>
      </c>
      <c r="T117" s="12">
        <v>25.0</v>
      </c>
      <c r="U117" s="12">
        <v>18.0</v>
      </c>
      <c r="V117" s="12"/>
      <c r="W117" s="12"/>
      <c r="X117" s="12">
        <v>2.0</v>
      </c>
      <c r="Y117" s="12">
        <v>2.0</v>
      </c>
      <c r="Z117" s="12"/>
      <c r="AA117" s="12">
        <v>3.0</v>
      </c>
      <c r="AB117" s="12"/>
      <c r="AC117" s="12"/>
      <c r="AF117" s="7"/>
      <c r="AG117" s="7"/>
      <c r="AH117" s="7"/>
      <c r="AI117" s="7"/>
    </row>
    <row r="118">
      <c r="A118" s="28"/>
      <c r="D118" s="29"/>
      <c r="J118" s="29"/>
      <c r="M118" s="29"/>
      <c r="N118" s="29"/>
      <c r="O118" s="29"/>
      <c r="P118" s="29"/>
      <c r="S118" s="12" t="s">
        <v>83</v>
      </c>
      <c r="T118" s="12">
        <v>7.0</v>
      </c>
      <c r="U118" s="12"/>
      <c r="V118" s="12"/>
      <c r="W118" s="12"/>
      <c r="X118" s="12"/>
      <c r="Y118" s="12"/>
      <c r="Z118" s="12"/>
      <c r="AA118" s="12">
        <v>7.0</v>
      </c>
      <c r="AB118" s="12"/>
      <c r="AC118" s="12"/>
      <c r="AF118" s="7"/>
      <c r="AG118" s="7"/>
      <c r="AH118" s="7"/>
      <c r="AI118" s="7"/>
    </row>
    <row r="119">
      <c r="A119" s="28"/>
      <c r="D119" s="29"/>
      <c r="J119" s="29"/>
      <c r="M119" s="29"/>
      <c r="N119" s="29"/>
      <c r="O119" s="29"/>
      <c r="P119" s="29"/>
      <c r="S119" s="12" t="s">
        <v>84</v>
      </c>
      <c r="T119" s="12">
        <v>4.0</v>
      </c>
      <c r="U119" s="12"/>
      <c r="V119" s="12"/>
      <c r="W119" s="12"/>
      <c r="X119" s="12"/>
      <c r="Y119" s="12">
        <v>4.0</v>
      </c>
      <c r="Z119" s="12"/>
      <c r="AA119" s="12">
        <v>1.0</v>
      </c>
      <c r="AB119" s="12"/>
      <c r="AC119" s="12"/>
      <c r="AF119" s="7"/>
      <c r="AG119" s="7"/>
      <c r="AH119" s="7"/>
      <c r="AI119" s="7"/>
    </row>
    <row r="120">
      <c r="A120" s="28"/>
      <c r="D120" s="29"/>
      <c r="J120" s="29"/>
      <c r="M120" s="29"/>
      <c r="N120" s="29"/>
      <c r="O120" s="29"/>
      <c r="P120" s="29"/>
      <c r="S120" s="21" t="s">
        <v>68</v>
      </c>
      <c r="T120" s="21">
        <v>154.0</v>
      </c>
      <c r="U120" s="21">
        <v>79.0</v>
      </c>
      <c r="V120" s="21">
        <v>4.0</v>
      </c>
      <c r="W120" s="21"/>
      <c r="X120" s="21">
        <v>3.0</v>
      </c>
      <c r="Y120" s="21">
        <v>19.0</v>
      </c>
      <c r="Z120" s="21">
        <v>16.0</v>
      </c>
      <c r="AA120" s="21">
        <v>33.0</v>
      </c>
      <c r="AB120" s="12"/>
      <c r="AC120" s="12"/>
      <c r="AF120" s="7"/>
      <c r="AG120" s="7"/>
      <c r="AH120" s="7"/>
      <c r="AI120" s="7"/>
    </row>
    <row r="121">
      <c r="A121" s="28"/>
      <c r="D121" s="29"/>
      <c r="J121" s="29"/>
      <c r="M121" s="29"/>
      <c r="N121" s="29"/>
      <c r="O121" s="29"/>
      <c r="P121" s="29"/>
      <c r="S121" s="28"/>
      <c r="AF121" s="7"/>
      <c r="AG121" s="7"/>
      <c r="AH121" s="7"/>
      <c r="AI121" s="7"/>
    </row>
    <row r="122">
      <c r="A122" s="28"/>
      <c r="D122" s="29"/>
      <c r="J122" s="29"/>
      <c r="M122" s="29"/>
      <c r="N122" s="29"/>
      <c r="O122" s="29"/>
      <c r="P122" s="29"/>
      <c r="S122" s="28"/>
      <c r="AF122" s="7"/>
      <c r="AG122" s="7"/>
      <c r="AH122" s="7"/>
      <c r="AI122" s="7"/>
    </row>
    <row r="123">
      <c r="A123" s="39" t="s">
        <v>96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S123" s="39" t="s">
        <v>97</v>
      </c>
      <c r="T123" s="2"/>
      <c r="U123" s="2"/>
      <c r="V123" s="2"/>
      <c r="W123" s="2"/>
      <c r="X123" s="2"/>
      <c r="Y123" s="2"/>
      <c r="Z123" s="2"/>
      <c r="AA123" s="2"/>
      <c r="AB123" s="2"/>
      <c r="AC123" s="3"/>
      <c r="AF123" s="7"/>
      <c r="AG123" s="7"/>
      <c r="AH123" s="7"/>
      <c r="AI123" s="7"/>
    </row>
    <row r="124">
      <c r="A124" s="8" t="s">
        <v>5</v>
      </c>
      <c r="B124" s="9" t="s">
        <v>6</v>
      </c>
      <c r="C124" s="9" t="s">
        <v>7</v>
      </c>
      <c r="D124" s="9" t="s">
        <v>8</v>
      </c>
      <c r="E124" s="9" t="s">
        <v>9</v>
      </c>
      <c r="F124" s="9" t="s">
        <v>10</v>
      </c>
      <c r="G124" s="9" t="s">
        <v>11</v>
      </c>
      <c r="H124" s="4"/>
      <c r="I124" s="4"/>
      <c r="J124" s="4"/>
      <c r="K124" s="4"/>
      <c r="L124" s="4"/>
      <c r="M124" s="8" t="s">
        <v>12</v>
      </c>
      <c r="N124" s="9" t="s">
        <v>13</v>
      </c>
      <c r="O124" s="9" t="s">
        <v>14</v>
      </c>
      <c r="P124" s="9" t="s">
        <v>15</v>
      </c>
      <c r="S124" s="10" t="s">
        <v>16</v>
      </c>
      <c r="T124" s="9" t="s">
        <v>17</v>
      </c>
      <c r="U124" s="9" t="s">
        <v>18</v>
      </c>
      <c r="V124" s="9" t="s">
        <v>19</v>
      </c>
      <c r="W124" s="9"/>
      <c r="X124" s="9" t="s">
        <v>21</v>
      </c>
      <c r="Y124" s="9" t="s">
        <v>22</v>
      </c>
      <c r="Z124" s="9" t="s">
        <v>23</v>
      </c>
      <c r="AA124" s="9" t="s">
        <v>24</v>
      </c>
      <c r="AB124" s="9"/>
      <c r="AC124" s="9" t="s">
        <v>30</v>
      </c>
      <c r="AF124" s="7"/>
      <c r="AG124" s="7"/>
      <c r="AH124" s="7"/>
      <c r="AI124" s="7"/>
    </row>
    <row r="125">
      <c r="A125" s="4" t="s">
        <v>31</v>
      </c>
      <c r="B125" s="4" t="s">
        <v>32</v>
      </c>
      <c r="C125" s="12">
        <v>59.0</v>
      </c>
      <c r="D125" s="12">
        <v>13.0</v>
      </c>
      <c r="E125" s="12">
        <v>72.0</v>
      </c>
      <c r="F125" s="13">
        <v>0.1806</v>
      </c>
      <c r="G125" s="40" t="s">
        <v>40</v>
      </c>
      <c r="H125" s="12"/>
      <c r="I125" s="12"/>
      <c r="J125" s="12"/>
      <c r="K125" s="12"/>
      <c r="L125" s="12"/>
      <c r="M125" s="12">
        <v>54.0</v>
      </c>
      <c r="N125" s="12">
        <v>1.0</v>
      </c>
      <c r="O125" s="12">
        <v>4.0</v>
      </c>
      <c r="P125" s="12">
        <v>0.0</v>
      </c>
      <c r="S125" s="12" t="s">
        <v>34</v>
      </c>
      <c r="T125" s="12">
        <v>2.0</v>
      </c>
      <c r="U125" s="12">
        <v>2.0</v>
      </c>
      <c r="V125" s="12"/>
      <c r="W125" s="12"/>
      <c r="X125" s="12"/>
      <c r="Y125" s="12"/>
      <c r="Z125" s="12"/>
      <c r="AA125" s="12"/>
      <c r="AB125" s="12"/>
      <c r="AC125" s="12"/>
      <c r="AF125" s="7"/>
      <c r="AG125" s="7"/>
      <c r="AH125" s="7"/>
      <c r="AI125" s="7"/>
    </row>
    <row r="126">
      <c r="A126" s="4" t="s">
        <v>35</v>
      </c>
      <c r="B126" s="4" t="s">
        <v>36</v>
      </c>
      <c r="C126" s="12">
        <v>6.0</v>
      </c>
      <c r="D126" s="12">
        <v>55.0</v>
      </c>
      <c r="E126" s="12">
        <v>61.0</v>
      </c>
      <c r="F126" s="13">
        <v>0.9016</v>
      </c>
      <c r="G126" s="40" t="s">
        <v>40</v>
      </c>
      <c r="H126" s="12"/>
      <c r="I126" s="12"/>
      <c r="J126" s="12"/>
      <c r="K126" s="12"/>
      <c r="L126" s="12"/>
      <c r="M126" s="12">
        <v>2.0</v>
      </c>
      <c r="N126" s="12">
        <v>2.0</v>
      </c>
      <c r="O126" s="12">
        <v>1.0</v>
      </c>
      <c r="P126" s="12">
        <v>1.0</v>
      </c>
      <c r="S126" s="12" t="s">
        <v>37</v>
      </c>
      <c r="T126" s="12">
        <v>17.0</v>
      </c>
      <c r="U126" s="12">
        <v>2.0</v>
      </c>
      <c r="V126" s="12"/>
      <c r="W126" s="12"/>
      <c r="X126" s="12">
        <v>1.0</v>
      </c>
      <c r="Y126" s="12">
        <v>10.0</v>
      </c>
      <c r="Z126" s="12">
        <v>4.0</v>
      </c>
      <c r="AA126" s="12"/>
      <c r="AB126" s="12"/>
      <c r="AC126" s="12"/>
      <c r="AF126" s="7"/>
      <c r="AG126" s="7"/>
      <c r="AH126" s="7"/>
      <c r="AI126" s="7"/>
    </row>
    <row r="127">
      <c r="A127" s="4" t="s">
        <v>42</v>
      </c>
      <c r="B127" s="4" t="s">
        <v>43</v>
      </c>
      <c r="C127" s="12">
        <v>2.0</v>
      </c>
      <c r="D127" s="12">
        <v>28.0</v>
      </c>
      <c r="E127" s="12">
        <v>30.0</v>
      </c>
      <c r="F127" s="13">
        <v>0.9333</v>
      </c>
      <c r="G127" s="40" t="s">
        <v>40</v>
      </c>
      <c r="H127" s="12"/>
      <c r="I127" s="12"/>
      <c r="J127" s="12"/>
      <c r="K127" s="12"/>
      <c r="L127" s="12"/>
      <c r="M127" s="12">
        <v>0.0</v>
      </c>
      <c r="N127" s="12">
        <v>1.0</v>
      </c>
      <c r="O127" s="12">
        <v>1.0</v>
      </c>
      <c r="P127" s="12">
        <v>0.0</v>
      </c>
      <c r="S127" s="12" t="s">
        <v>41</v>
      </c>
      <c r="T127" s="12">
        <v>9.0</v>
      </c>
      <c r="U127" s="12">
        <v>8.0</v>
      </c>
      <c r="V127" s="12">
        <v>1.0</v>
      </c>
      <c r="W127" s="12"/>
      <c r="X127" s="12"/>
      <c r="Y127" s="12"/>
      <c r="Z127" s="12"/>
      <c r="AA127" s="12"/>
      <c r="AB127" s="12"/>
      <c r="AC127" s="12"/>
      <c r="AF127" s="7"/>
      <c r="AG127" s="7"/>
      <c r="AH127" s="7"/>
      <c r="AI127" s="7"/>
    </row>
    <row r="128">
      <c r="A128" s="4" t="s">
        <v>45</v>
      </c>
      <c r="B128" s="4" t="s">
        <v>46</v>
      </c>
      <c r="C128" s="12">
        <v>19.0</v>
      </c>
      <c r="D128" s="12">
        <v>86.0</v>
      </c>
      <c r="E128" s="12">
        <v>105.0</v>
      </c>
      <c r="F128" s="13">
        <v>0.819</v>
      </c>
      <c r="G128" s="40" t="s">
        <v>40</v>
      </c>
      <c r="H128" s="12"/>
      <c r="I128" s="12"/>
      <c r="J128" s="12"/>
      <c r="K128" s="12"/>
      <c r="L128" s="12"/>
      <c r="M128" s="12">
        <v>4.0</v>
      </c>
      <c r="N128" s="12">
        <v>3.0</v>
      </c>
      <c r="O128" s="12">
        <v>11.0</v>
      </c>
      <c r="P128" s="12">
        <v>1.0</v>
      </c>
      <c r="S128" s="12" t="s">
        <v>44</v>
      </c>
      <c r="T128" s="12">
        <v>31.0</v>
      </c>
      <c r="U128" s="12">
        <v>31.0</v>
      </c>
      <c r="V128" s="12"/>
      <c r="W128" s="12"/>
      <c r="X128" s="12"/>
      <c r="Y128" s="12"/>
      <c r="Z128" s="12"/>
      <c r="AA128" s="12"/>
      <c r="AB128" s="12"/>
      <c r="AC128" s="12"/>
      <c r="AF128" s="7"/>
      <c r="AG128" s="7"/>
      <c r="AH128" s="7"/>
      <c r="AI128" s="7"/>
    </row>
    <row r="129">
      <c r="A129" s="4" t="s">
        <v>48</v>
      </c>
      <c r="B129" s="4" t="s">
        <v>49</v>
      </c>
      <c r="C129" s="12">
        <v>12.0</v>
      </c>
      <c r="D129" s="12">
        <v>6.0</v>
      </c>
      <c r="E129" s="12">
        <v>18.0</v>
      </c>
      <c r="F129" s="13">
        <v>0.3333</v>
      </c>
      <c r="G129" s="41" t="s">
        <v>33</v>
      </c>
      <c r="H129" s="12"/>
      <c r="I129" s="12"/>
      <c r="J129" s="12"/>
      <c r="K129" s="12"/>
      <c r="L129" s="12"/>
      <c r="M129" s="12">
        <v>4.0</v>
      </c>
      <c r="N129" s="12">
        <v>6.0</v>
      </c>
      <c r="O129" s="12">
        <v>2.0</v>
      </c>
      <c r="P129" s="12">
        <v>0.0</v>
      </c>
      <c r="S129" s="12" t="s">
        <v>47</v>
      </c>
      <c r="T129" s="12">
        <v>4.0</v>
      </c>
      <c r="U129" s="12">
        <v>3.0</v>
      </c>
      <c r="V129" s="12">
        <v>1.0</v>
      </c>
      <c r="W129" s="12"/>
      <c r="X129" s="12"/>
      <c r="Y129" s="12"/>
      <c r="Z129" s="12"/>
      <c r="AA129" s="12"/>
      <c r="AB129" s="12"/>
      <c r="AC129" s="12"/>
      <c r="AF129" s="7"/>
      <c r="AG129" s="7"/>
      <c r="AH129" s="7"/>
      <c r="AI129" s="7"/>
    </row>
    <row r="130">
      <c r="A130" s="4" t="s">
        <v>82</v>
      </c>
      <c r="B130" s="4" t="s">
        <v>53</v>
      </c>
      <c r="C130" s="12">
        <v>26.0</v>
      </c>
      <c r="D130" s="12">
        <v>56.0</v>
      </c>
      <c r="E130" s="12">
        <v>82.0</v>
      </c>
      <c r="F130" s="13">
        <v>0.6829</v>
      </c>
      <c r="G130" s="41" t="s">
        <v>33</v>
      </c>
      <c r="H130" s="12"/>
      <c r="I130" s="12"/>
      <c r="J130" s="12"/>
      <c r="K130" s="12"/>
      <c r="L130" s="12"/>
      <c r="M130" s="12">
        <v>3.0</v>
      </c>
      <c r="N130" s="12">
        <v>8.0</v>
      </c>
      <c r="O130" s="12">
        <v>14.0</v>
      </c>
      <c r="P130" s="12">
        <v>1.0</v>
      </c>
      <c r="S130" s="12" t="s">
        <v>95</v>
      </c>
      <c r="T130" s="12">
        <v>9.0</v>
      </c>
      <c r="U130" s="12"/>
      <c r="V130" s="12"/>
      <c r="W130" s="12"/>
      <c r="X130" s="12"/>
      <c r="Y130" s="12"/>
      <c r="Z130" s="12"/>
      <c r="AA130" s="12">
        <v>9.0</v>
      </c>
      <c r="AB130" s="12"/>
      <c r="AC130" s="12"/>
      <c r="AF130" s="7"/>
      <c r="AG130" s="7"/>
      <c r="AH130" s="7"/>
      <c r="AI130" s="7"/>
    </row>
    <row r="131">
      <c r="A131" s="4"/>
      <c r="B131" s="4"/>
      <c r="C131" s="12">
        <v>0.0</v>
      </c>
      <c r="D131" s="12">
        <v>0.0</v>
      </c>
      <c r="E131" s="12">
        <v>0.0</v>
      </c>
      <c r="F131" s="12" t="e">
        <v>#DIV/0!</v>
      </c>
      <c r="G131" s="12"/>
      <c r="H131" s="12"/>
      <c r="I131" s="12"/>
      <c r="J131" s="12"/>
      <c r="K131" s="12"/>
      <c r="L131" s="12"/>
      <c r="M131" s="12">
        <v>0.0</v>
      </c>
      <c r="N131" s="12">
        <v>0.0</v>
      </c>
      <c r="O131" s="12">
        <v>0.0</v>
      </c>
      <c r="P131" s="12">
        <v>0.0</v>
      </c>
      <c r="S131" s="12" t="s">
        <v>92</v>
      </c>
      <c r="T131" s="12">
        <v>0.0</v>
      </c>
      <c r="U131" s="12"/>
      <c r="V131" s="12"/>
      <c r="W131" s="12"/>
      <c r="X131" s="12"/>
      <c r="Y131" s="12"/>
      <c r="Z131" s="12"/>
      <c r="AA131" s="12"/>
      <c r="AB131" s="12"/>
      <c r="AC131" s="12"/>
      <c r="AF131" s="7"/>
      <c r="AG131" s="7"/>
      <c r="AH131" s="7"/>
      <c r="AI131" s="7"/>
    </row>
    <row r="132">
      <c r="A132" s="4"/>
      <c r="B132" s="4"/>
      <c r="C132" s="12">
        <v>0.0</v>
      </c>
      <c r="D132" s="12">
        <v>0.0</v>
      </c>
      <c r="E132" s="12">
        <v>0.0</v>
      </c>
      <c r="F132" s="12" t="e">
        <v>#DIV/0!</v>
      </c>
      <c r="G132" s="12"/>
      <c r="H132" s="12"/>
      <c r="I132" s="12"/>
      <c r="J132" s="12"/>
      <c r="K132" s="12"/>
      <c r="L132" s="12"/>
      <c r="M132" s="12">
        <v>0.0</v>
      </c>
      <c r="N132" s="12">
        <v>0.0</v>
      </c>
      <c r="O132" s="12">
        <v>0.0</v>
      </c>
      <c r="P132" s="12">
        <v>0.0</v>
      </c>
      <c r="S132" s="12" t="s">
        <v>51</v>
      </c>
      <c r="T132" s="12">
        <v>40.0</v>
      </c>
      <c r="U132" s="12">
        <v>19.0</v>
      </c>
      <c r="V132" s="12">
        <v>4.0</v>
      </c>
      <c r="W132" s="12"/>
      <c r="X132" s="12"/>
      <c r="Y132" s="12"/>
      <c r="Z132" s="12"/>
      <c r="AA132" s="12">
        <v>17.0</v>
      </c>
      <c r="AB132" s="12"/>
      <c r="AC132" s="12"/>
      <c r="AF132" s="7"/>
      <c r="AG132" s="7"/>
      <c r="AH132" s="7"/>
      <c r="AI132" s="7"/>
    </row>
    <row r="133">
      <c r="A133" s="28"/>
      <c r="D133" s="29"/>
      <c r="J133" s="29"/>
      <c r="M133" s="29"/>
      <c r="N133" s="29"/>
      <c r="O133" s="29"/>
      <c r="P133" s="29"/>
      <c r="S133" s="12" t="s">
        <v>54</v>
      </c>
      <c r="T133" s="12">
        <v>13.0</v>
      </c>
      <c r="U133" s="12"/>
      <c r="V133" s="12"/>
      <c r="W133" s="12"/>
      <c r="X133" s="12"/>
      <c r="Y133" s="12"/>
      <c r="Z133" s="12">
        <v>12.0</v>
      </c>
      <c r="AA133" s="12">
        <v>1.0</v>
      </c>
      <c r="AB133" s="12"/>
      <c r="AC133" s="12"/>
      <c r="AF133" s="7"/>
      <c r="AG133" s="7"/>
      <c r="AH133" s="7"/>
      <c r="AI133" s="7"/>
    </row>
    <row r="134">
      <c r="A134" s="28" t="s">
        <v>70</v>
      </c>
      <c r="D134" s="29"/>
      <c r="J134" s="29"/>
      <c r="M134" s="29"/>
      <c r="N134" s="29"/>
      <c r="O134" s="29"/>
      <c r="P134" s="29"/>
      <c r="S134" s="12" t="s">
        <v>57</v>
      </c>
      <c r="T134" s="12">
        <v>6.0</v>
      </c>
      <c r="U134" s="12"/>
      <c r="V134" s="12">
        <v>1.0</v>
      </c>
      <c r="W134" s="12"/>
      <c r="X134" s="12">
        <v>2.0</v>
      </c>
      <c r="Y134" s="12">
        <v>2.0</v>
      </c>
      <c r="Z134" s="12"/>
      <c r="AA134" s="12">
        <v>1.0</v>
      </c>
      <c r="AB134" s="12"/>
      <c r="AC134" s="12"/>
      <c r="AF134" s="7"/>
      <c r="AG134" s="7"/>
      <c r="AH134" s="7"/>
      <c r="AI134" s="7"/>
    </row>
    <row r="135">
      <c r="A135" s="28"/>
      <c r="D135" s="29"/>
      <c r="J135" s="29"/>
      <c r="M135" s="29"/>
      <c r="N135" s="29"/>
      <c r="O135" s="29"/>
      <c r="P135" s="29"/>
      <c r="S135" s="12" t="s">
        <v>83</v>
      </c>
      <c r="T135" s="12">
        <v>8.0</v>
      </c>
      <c r="U135" s="12"/>
      <c r="V135" s="12"/>
      <c r="W135" s="12"/>
      <c r="X135" s="12"/>
      <c r="Y135" s="12"/>
      <c r="Z135" s="12"/>
      <c r="AA135" s="12">
        <v>8.0</v>
      </c>
      <c r="AB135" s="12"/>
      <c r="AC135" s="12"/>
      <c r="AF135" s="7"/>
      <c r="AG135" s="7"/>
      <c r="AH135" s="7"/>
      <c r="AI135" s="7"/>
    </row>
    <row r="136">
      <c r="A136" s="28"/>
      <c r="D136" s="29"/>
      <c r="J136" s="29"/>
      <c r="M136" s="29"/>
      <c r="N136" s="29"/>
      <c r="O136" s="29"/>
      <c r="P136" s="29"/>
      <c r="S136" s="12" t="s">
        <v>84</v>
      </c>
      <c r="T136" s="12">
        <v>2.0</v>
      </c>
      <c r="U136" s="12"/>
      <c r="V136" s="12"/>
      <c r="W136" s="12"/>
      <c r="X136" s="12"/>
      <c r="Y136" s="12"/>
      <c r="Z136" s="12"/>
      <c r="AA136" s="12">
        <v>2.0</v>
      </c>
      <c r="AB136" s="12"/>
      <c r="AC136" s="12"/>
      <c r="AF136" s="7"/>
      <c r="AG136" s="7"/>
      <c r="AH136" s="7"/>
      <c r="AI136" s="7"/>
    </row>
    <row r="137">
      <c r="A137" s="28"/>
      <c r="D137" s="29"/>
      <c r="J137" s="29"/>
      <c r="M137" s="29"/>
      <c r="N137" s="29"/>
      <c r="O137" s="29"/>
      <c r="P137" s="29"/>
      <c r="S137" s="12" t="s">
        <v>98</v>
      </c>
      <c r="T137" s="12">
        <v>11.0</v>
      </c>
      <c r="U137" s="12"/>
      <c r="V137" s="12">
        <v>1.0</v>
      </c>
      <c r="W137" s="12"/>
      <c r="X137" s="12">
        <v>1.0</v>
      </c>
      <c r="Y137" s="12">
        <v>9.0</v>
      </c>
      <c r="Z137" s="12"/>
      <c r="AA137" s="12"/>
      <c r="AB137" s="12"/>
      <c r="AC137" s="12"/>
      <c r="AF137" s="7"/>
      <c r="AG137" s="7"/>
      <c r="AH137" s="7"/>
      <c r="AI137" s="7"/>
    </row>
    <row r="138">
      <c r="A138" s="28"/>
      <c r="D138" s="29"/>
      <c r="J138" s="29"/>
      <c r="M138" s="29"/>
      <c r="N138" s="29"/>
      <c r="O138" s="29"/>
      <c r="P138" s="29"/>
      <c r="S138" s="21" t="s">
        <v>68</v>
      </c>
      <c r="T138" s="21">
        <v>152.0</v>
      </c>
      <c r="U138" s="21">
        <v>65.0</v>
      </c>
      <c r="V138" s="21">
        <v>8.0</v>
      </c>
      <c r="W138" s="21"/>
      <c r="X138" s="21">
        <v>4.0</v>
      </c>
      <c r="Y138" s="21">
        <v>21.0</v>
      </c>
      <c r="Z138" s="21">
        <v>16.0</v>
      </c>
      <c r="AA138" s="21">
        <v>38.0</v>
      </c>
      <c r="AB138" s="21"/>
      <c r="AC138" s="21"/>
      <c r="AF138" s="7"/>
      <c r="AG138" s="7"/>
      <c r="AH138" s="7"/>
      <c r="AI138" s="7"/>
    </row>
    <row r="139">
      <c r="A139" s="28"/>
      <c r="D139" s="29"/>
      <c r="J139" s="29"/>
      <c r="M139" s="29"/>
      <c r="N139" s="29"/>
      <c r="O139" s="29"/>
      <c r="P139" s="29"/>
      <c r="S139" s="28"/>
      <c r="AF139" s="7"/>
      <c r="AG139" s="7"/>
      <c r="AH139" s="7"/>
      <c r="AI139" s="7"/>
    </row>
    <row r="140">
      <c r="A140" s="28"/>
      <c r="D140" s="29"/>
      <c r="J140" s="29"/>
      <c r="M140" s="29"/>
      <c r="N140" s="29"/>
      <c r="O140" s="29"/>
      <c r="P140" s="29"/>
      <c r="S140" s="28"/>
      <c r="AF140" s="7"/>
      <c r="AG140" s="7"/>
      <c r="AH140" s="7"/>
      <c r="AI140" s="7"/>
    </row>
    <row r="141">
      <c r="A141" s="42" t="s">
        <v>99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S141" s="42" t="s">
        <v>100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3"/>
      <c r="AF141" s="7"/>
      <c r="AG141" s="7"/>
      <c r="AH141" s="7"/>
      <c r="AI141" s="7"/>
    </row>
    <row r="142">
      <c r="A142" s="8" t="s">
        <v>5</v>
      </c>
      <c r="B142" s="9" t="s">
        <v>6</v>
      </c>
      <c r="C142" s="9" t="s">
        <v>7</v>
      </c>
      <c r="D142" s="9" t="s">
        <v>8</v>
      </c>
      <c r="E142" s="9" t="s">
        <v>9</v>
      </c>
      <c r="F142" s="9" t="s">
        <v>10</v>
      </c>
      <c r="G142" s="9" t="s">
        <v>11</v>
      </c>
      <c r="H142" s="12"/>
      <c r="I142" s="12"/>
      <c r="J142" s="12"/>
      <c r="K142" s="12"/>
      <c r="L142" s="12"/>
      <c r="M142" s="8" t="s">
        <v>12</v>
      </c>
      <c r="N142" s="9" t="s">
        <v>13</v>
      </c>
      <c r="O142" s="9" t="s">
        <v>14</v>
      </c>
      <c r="P142" s="9" t="s">
        <v>15</v>
      </c>
      <c r="S142" s="8" t="s">
        <v>16</v>
      </c>
      <c r="T142" s="9" t="s">
        <v>17</v>
      </c>
      <c r="U142" s="9" t="s">
        <v>27</v>
      </c>
      <c r="V142" s="9" t="s">
        <v>24</v>
      </c>
      <c r="W142" s="9"/>
      <c r="X142" s="9" t="s">
        <v>28</v>
      </c>
      <c r="Y142" s="9" t="s">
        <v>21</v>
      </c>
      <c r="Z142" s="9" t="s">
        <v>22</v>
      </c>
      <c r="AA142" s="9" t="s">
        <v>18</v>
      </c>
      <c r="AB142" s="9"/>
      <c r="AC142" s="9" t="s">
        <v>19</v>
      </c>
      <c r="AD142" s="9" t="s">
        <v>101</v>
      </c>
      <c r="AE142" s="9" t="s">
        <v>30</v>
      </c>
      <c r="AF142" s="7"/>
      <c r="AG142" s="7"/>
      <c r="AH142" s="7"/>
      <c r="AI142" s="7"/>
    </row>
    <row r="143">
      <c r="A143" s="12" t="s">
        <v>61</v>
      </c>
      <c r="B143" s="12" t="s">
        <v>62</v>
      </c>
      <c r="C143" s="12">
        <v>2.0</v>
      </c>
      <c r="D143" s="12">
        <v>18.0</v>
      </c>
      <c r="E143" s="12">
        <v>20.0</v>
      </c>
      <c r="F143" s="13">
        <v>0.9</v>
      </c>
      <c r="G143" s="14" t="s">
        <v>33</v>
      </c>
      <c r="H143" s="12"/>
      <c r="I143" s="12"/>
      <c r="J143" s="12"/>
      <c r="K143" s="12"/>
      <c r="L143" s="12"/>
      <c r="M143" s="12">
        <v>0.0</v>
      </c>
      <c r="N143" s="12">
        <v>0.0</v>
      </c>
      <c r="O143" s="12">
        <v>2.0</v>
      </c>
      <c r="P143" s="12">
        <v>0.0</v>
      </c>
      <c r="S143" s="12" t="s">
        <v>34</v>
      </c>
      <c r="T143" s="12">
        <v>4.0</v>
      </c>
      <c r="U143" s="12"/>
      <c r="V143" s="12"/>
      <c r="W143" s="12"/>
      <c r="X143" s="12"/>
      <c r="Y143" s="12"/>
      <c r="Z143" s="12">
        <v>4.0</v>
      </c>
      <c r="AA143" s="12"/>
      <c r="AB143" s="12"/>
      <c r="AC143" s="12"/>
      <c r="AD143" s="12"/>
      <c r="AE143" s="12"/>
      <c r="AK143" s="7"/>
    </row>
    <row r="144">
      <c r="A144" s="12" t="s">
        <v>82</v>
      </c>
      <c r="B144" s="12" t="s">
        <v>53</v>
      </c>
      <c r="C144" s="12">
        <v>30.0</v>
      </c>
      <c r="D144" s="12">
        <v>248.0</v>
      </c>
      <c r="E144" s="12">
        <v>278.0</v>
      </c>
      <c r="F144" s="13">
        <v>0.8920863309352518</v>
      </c>
      <c r="G144" s="14" t="s">
        <v>33</v>
      </c>
      <c r="H144" s="12"/>
      <c r="I144" s="12"/>
      <c r="J144" s="12"/>
      <c r="K144" s="12"/>
      <c r="L144" s="12"/>
      <c r="M144" s="12">
        <v>1.0</v>
      </c>
      <c r="N144" s="12">
        <v>9.0</v>
      </c>
      <c r="O144" s="12">
        <v>20.0</v>
      </c>
      <c r="P144" s="12">
        <v>0.0</v>
      </c>
      <c r="S144" s="12" t="s">
        <v>37</v>
      </c>
      <c r="T144" s="12">
        <v>35.0</v>
      </c>
      <c r="U144" s="12">
        <v>1.0</v>
      </c>
      <c r="V144" s="12"/>
      <c r="W144" s="12"/>
      <c r="X144" s="12"/>
      <c r="Y144" s="12">
        <v>9.0</v>
      </c>
      <c r="Z144" s="12">
        <v>12.0</v>
      </c>
      <c r="AA144" s="12">
        <v>3.0</v>
      </c>
      <c r="AB144" s="12"/>
      <c r="AC144" s="12">
        <v>1.0</v>
      </c>
      <c r="AD144" s="12">
        <v>9.0</v>
      </c>
      <c r="AE144" s="12"/>
      <c r="AK144" s="7"/>
    </row>
    <row r="145">
      <c r="A145" s="12" t="s">
        <v>64</v>
      </c>
      <c r="B145" s="12" t="s">
        <v>65</v>
      </c>
      <c r="C145" s="12">
        <v>12.0</v>
      </c>
      <c r="D145" s="12">
        <v>58.0</v>
      </c>
      <c r="E145" s="12">
        <v>70.0</v>
      </c>
      <c r="F145" s="13">
        <v>0.8285714285714286</v>
      </c>
      <c r="G145" s="14" t="s">
        <v>33</v>
      </c>
      <c r="H145" s="12"/>
      <c r="I145" s="12"/>
      <c r="J145" s="12"/>
      <c r="K145" s="12"/>
      <c r="L145" s="12"/>
      <c r="M145" s="12">
        <v>5.0</v>
      </c>
      <c r="N145" s="12">
        <v>0.0</v>
      </c>
      <c r="O145" s="12">
        <v>7.0</v>
      </c>
      <c r="P145" s="12">
        <v>0.0</v>
      </c>
      <c r="S145" s="12" t="s">
        <v>98</v>
      </c>
      <c r="T145" s="12">
        <v>16.0</v>
      </c>
      <c r="U145" s="12">
        <v>1.0</v>
      </c>
      <c r="V145" s="12"/>
      <c r="W145" s="12"/>
      <c r="X145" s="12"/>
      <c r="Y145" s="12"/>
      <c r="Z145" s="12">
        <v>12.0</v>
      </c>
      <c r="AA145" s="12"/>
      <c r="AB145" s="12"/>
      <c r="AC145" s="12">
        <v>3.0</v>
      </c>
      <c r="AD145" s="12"/>
      <c r="AE145" s="12"/>
    </row>
    <row r="146">
      <c r="A146" s="12" t="s">
        <v>42</v>
      </c>
      <c r="B146" s="12" t="s">
        <v>43</v>
      </c>
      <c r="C146" s="12">
        <v>29.0</v>
      </c>
      <c r="D146" s="12">
        <v>99.0</v>
      </c>
      <c r="E146" s="12">
        <v>128.0</v>
      </c>
      <c r="F146" s="13">
        <v>0.7734375</v>
      </c>
      <c r="G146" s="19" t="s">
        <v>40</v>
      </c>
      <c r="H146" s="12"/>
      <c r="I146" s="12"/>
      <c r="J146" s="12"/>
      <c r="K146" s="12"/>
      <c r="L146" s="12"/>
      <c r="M146" s="12">
        <v>4.0</v>
      </c>
      <c r="N146" s="12">
        <v>8.0</v>
      </c>
      <c r="O146" s="12">
        <v>17.0</v>
      </c>
      <c r="P146" s="12">
        <v>0.0</v>
      </c>
      <c r="S146" s="12" t="s">
        <v>41</v>
      </c>
      <c r="T146" s="12">
        <v>1.0</v>
      </c>
      <c r="U146" s="12"/>
      <c r="V146" s="12"/>
      <c r="W146" s="12"/>
      <c r="X146" s="12"/>
      <c r="Y146" s="12"/>
      <c r="Z146" s="12"/>
      <c r="AA146" s="12"/>
      <c r="AB146" s="12"/>
      <c r="AC146" s="12">
        <v>1.0</v>
      </c>
      <c r="AD146" s="12"/>
      <c r="AE146" s="12"/>
    </row>
    <row r="147">
      <c r="A147" s="12" t="s">
        <v>45</v>
      </c>
      <c r="B147" s="12" t="s">
        <v>102</v>
      </c>
      <c r="C147" s="12">
        <v>20.0</v>
      </c>
      <c r="D147" s="12">
        <v>79.0</v>
      </c>
      <c r="E147" s="12">
        <v>99.0</v>
      </c>
      <c r="F147" s="13">
        <v>0.797979797979798</v>
      </c>
      <c r="G147" s="19" t="s">
        <v>40</v>
      </c>
      <c r="H147" s="12"/>
      <c r="I147" s="12"/>
      <c r="J147" s="12"/>
      <c r="K147" s="12"/>
      <c r="L147" s="12"/>
      <c r="M147" s="12">
        <v>4.0</v>
      </c>
      <c r="N147" s="12">
        <v>3.0</v>
      </c>
      <c r="O147" s="12">
        <v>13.0</v>
      </c>
      <c r="P147" s="12">
        <v>0.0</v>
      </c>
      <c r="S147" s="12" t="s">
        <v>44</v>
      </c>
      <c r="T147" s="12">
        <v>6.0</v>
      </c>
      <c r="U147" s="12"/>
      <c r="V147" s="12">
        <v>6.0</v>
      </c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 t="s">
        <v>31</v>
      </c>
      <c r="B148" s="12" t="s">
        <v>32</v>
      </c>
      <c r="C148" s="12">
        <v>3.0</v>
      </c>
      <c r="D148" s="12">
        <v>0.0</v>
      </c>
      <c r="E148" s="12">
        <v>3.0</v>
      </c>
      <c r="F148" s="13">
        <v>0.0</v>
      </c>
      <c r="G148" s="14" t="s">
        <v>33</v>
      </c>
      <c r="H148" s="12"/>
      <c r="I148" s="12"/>
      <c r="J148" s="12"/>
      <c r="K148" s="12"/>
      <c r="L148" s="12"/>
      <c r="M148" s="12">
        <v>3.0</v>
      </c>
      <c r="N148" s="12">
        <v>0.0</v>
      </c>
      <c r="O148" s="12">
        <v>0.0</v>
      </c>
      <c r="P148" s="12">
        <v>0.0</v>
      </c>
      <c r="S148" s="12" t="s">
        <v>57</v>
      </c>
      <c r="T148" s="12">
        <v>10.0</v>
      </c>
      <c r="U148" s="12"/>
      <c r="V148" s="12">
        <v>2.0</v>
      </c>
      <c r="W148" s="12"/>
      <c r="X148" s="12"/>
      <c r="Y148" s="12">
        <v>7.0</v>
      </c>
      <c r="Z148" s="12"/>
      <c r="AA148" s="12"/>
      <c r="AB148" s="12"/>
      <c r="AC148" s="12">
        <v>1.0</v>
      </c>
      <c r="AD148" s="12"/>
      <c r="AE148" s="12"/>
    </row>
    <row r="149">
      <c r="A149" s="12" t="s">
        <v>35</v>
      </c>
      <c r="B149" s="12" t="s">
        <v>36</v>
      </c>
      <c r="C149" s="12">
        <v>12.0</v>
      </c>
      <c r="D149" s="12">
        <v>31.0</v>
      </c>
      <c r="E149" s="12">
        <v>43.0</v>
      </c>
      <c r="F149" s="13">
        <v>0.7209302325581395</v>
      </c>
      <c r="G149" s="19" t="s">
        <v>40</v>
      </c>
      <c r="H149" s="12"/>
      <c r="I149" s="12"/>
      <c r="J149" s="12"/>
      <c r="K149" s="12"/>
      <c r="L149" s="12"/>
      <c r="M149" s="12">
        <v>3.0</v>
      </c>
      <c r="N149" s="12">
        <v>5.0</v>
      </c>
      <c r="O149" s="12">
        <v>4.0</v>
      </c>
      <c r="P149" s="12">
        <v>0.0</v>
      </c>
      <c r="S149" s="12" t="s">
        <v>95</v>
      </c>
      <c r="T149" s="12">
        <v>0.0</v>
      </c>
      <c r="U149" s="12"/>
      <c r="V149" s="12">
        <v>30.0</v>
      </c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 t="s">
        <v>103</v>
      </c>
      <c r="B150" s="12" t="s">
        <v>104</v>
      </c>
      <c r="C150" s="12">
        <v>9.0</v>
      </c>
      <c r="D150" s="12">
        <v>1.0</v>
      </c>
      <c r="E150" s="12">
        <v>10.0</v>
      </c>
      <c r="F150" s="13">
        <v>0.1</v>
      </c>
      <c r="G150" s="14" t="s">
        <v>33</v>
      </c>
      <c r="H150" s="12"/>
      <c r="I150" s="12"/>
      <c r="J150" s="12"/>
      <c r="K150" s="12"/>
      <c r="L150" s="12"/>
      <c r="M150" s="12">
        <v>5.0</v>
      </c>
      <c r="N150" s="12">
        <v>2.0</v>
      </c>
      <c r="O150" s="12">
        <v>2.0</v>
      </c>
      <c r="P150" s="12">
        <v>0.0</v>
      </c>
      <c r="S150" s="12" t="s">
        <v>47</v>
      </c>
      <c r="T150" s="12">
        <v>23.0</v>
      </c>
      <c r="U150" s="12"/>
      <c r="V150" s="12">
        <v>22.0</v>
      </c>
      <c r="W150" s="12"/>
      <c r="X150" s="12"/>
      <c r="Y150" s="12"/>
      <c r="Z150" s="12"/>
      <c r="AA150" s="12"/>
      <c r="AB150" s="12"/>
      <c r="AC150" s="12"/>
      <c r="AD150" s="12">
        <v>1.0</v>
      </c>
      <c r="AE150" s="12"/>
    </row>
    <row r="151">
      <c r="A151" s="28"/>
      <c r="D151" s="29"/>
      <c r="J151" s="29"/>
      <c r="M151" s="29"/>
      <c r="N151" s="29"/>
      <c r="O151" s="29"/>
      <c r="P151" s="29"/>
      <c r="S151" s="12" t="s">
        <v>51</v>
      </c>
      <c r="T151" s="12">
        <v>7.0</v>
      </c>
      <c r="U151" s="12"/>
      <c r="V151" s="12"/>
      <c r="W151" s="12"/>
      <c r="X151" s="12"/>
      <c r="Y151" s="12"/>
      <c r="Z151" s="12"/>
      <c r="AA151" s="12"/>
      <c r="AB151" s="12"/>
      <c r="AC151" s="12">
        <v>7.0</v>
      </c>
      <c r="AD151" s="12"/>
      <c r="AE151" s="12"/>
    </row>
    <row r="152">
      <c r="A152" s="28"/>
      <c r="D152" s="29"/>
      <c r="J152" s="29"/>
      <c r="M152" s="29"/>
      <c r="N152" s="29"/>
      <c r="O152" s="29"/>
      <c r="P152" s="29"/>
    </row>
    <row r="153">
      <c r="A153" s="43" t="s">
        <v>105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S153" s="43" t="s">
        <v>106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3"/>
    </row>
    <row r="154">
      <c r="A154" s="8" t="s">
        <v>5</v>
      </c>
      <c r="B154" s="9" t="s">
        <v>6</v>
      </c>
      <c r="C154" s="9" t="s">
        <v>7</v>
      </c>
      <c r="D154" s="9" t="s">
        <v>8</v>
      </c>
      <c r="E154" s="9" t="s">
        <v>9</v>
      </c>
      <c r="F154" s="9" t="s">
        <v>10</v>
      </c>
      <c r="G154" s="9" t="s">
        <v>11</v>
      </c>
      <c r="H154" s="4"/>
      <c r="I154" s="4"/>
      <c r="J154" s="4"/>
      <c r="K154" s="4"/>
      <c r="L154" s="4"/>
      <c r="M154" s="8" t="s">
        <v>12</v>
      </c>
      <c r="N154" s="9" t="s">
        <v>13</v>
      </c>
      <c r="O154" s="9" t="s">
        <v>14</v>
      </c>
      <c r="P154" s="9" t="s">
        <v>15</v>
      </c>
      <c r="S154" s="8" t="s">
        <v>16</v>
      </c>
      <c r="T154" s="9" t="s">
        <v>17</v>
      </c>
      <c r="U154" s="9" t="s">
        <v>27</v>
      </c>
      <c r="V154" s="9" t="s">
        <v>107</v>
      </c>
      <c r="W154" s="9"/>
      <c r="X154" s="9" t="s">
        <v>24</v>
      </c>
      <c r="Y154" s="9" t="s">
        <v>28</v>
      </c>
      <c r="Z154" s="9" t="s">
        <v>21</v>
      </c>
      <c r="AA154" s="9" t="s">
        <v>22</v>
      </c>
      <c r="AB154" s="9"/>
      <c r="AC154" s="9" t="s">
        <v>108</v>
      </c>
      <c r="AD154" s="9" t="s">
        <v>18</v>
      </c>
      <c r="AE154" s="9" t="s">
        <v>19</v>
      </c>
      <c r="AF154" s="9"/>
      <c r="AG154" s="9"/>
      <c r="AH154" s="9"/>
      <c r="AI154" s="9" t="s">
        <v>101</v>
      </c>
      <c r="AJ154" s="9" t="s">
        <v>30</v>
      </c>
    </row>
    <row r="155">
      <c r="A155" s="12" t="s">
        <v>61</v>
      </c>
      <c r="B155" s="12" t="s">
        <v>62</v>
      </c>
      <c r="C155" s="12">
        <v>2.0</v>
      </c>
      <c r="D155" s="12">
        <v>18.0</v>
      </c>
      <c r="E155" s="12">
        <v>20.0</v>
      </c>
      <c r="F155" s="13">
        <v>0.9</v>
      </c>
      <c r="G155" s="12" t="s">
        <v>33</v>
      </c>
      <c r="H155" s="12"/>
      <c r="I155" s="12"/>
      <c r="J155" s="12"/>
      <c r="K155" s="12"/>
      <c r="L155" s="12"/>
      <c r="M155" s="12">
        <v>0.0</v>
      </c>
      <c r="N155" s="12">
        <v>0.0</v>
      </c>
      <c r="O155" s="12">
        <v>2.0</v>
      </c>
      <c r="P155" s="12">
        <v>0.0</v>
      </c>
      <c r="S155" s="12" t="s">
        <v>34</v>
      </c>
      <c r="T155" s="12">
        <v>4.0</v>
      </c>
      <c r="U155" s="12"/>
      <c r="V155" s="12"/>
      <c r="W155" s="12"/>
      <c r="X155" s="12"/>
      <c r="Y155" s="12"/>
      <c r="Z155" s="12"/>
      <c r="AA155" s="12">
        <v>4.0</v>
      </c>
      <c r="AB155" s="12"/>
      <c r="AC155" s="12"/>
      <c r="AD155" s="12"/>
      <c r="AE155" s="12"/>
      <c r="AF155" s="12"/>
      <c r="AG155" s="12"/>
      <c r="AH155" s="12"/>
      <c r="AI155" s="12"/>
      <c r="AJ155" s="12"/>
    </row>
    <row r="156">
      <c r="A156" s="12" t="s">
        <v>82</v>
      </c>
      <c r="B156" s="12" t="s">
        <v>53</v>
      </c>
      <c r="C156" s="12">
        <v>30.0</v>
      </c>
      <c r="D156" s="12">
        <v>248.0</v>
      </c>
      <c r="E156" s="12">
        <v>278.0</v>
      </c>
      <c r="F156" s="13">
        <v>0.8920863309352518</v>
      </c>
      <c r="G156" s="12" t="s">
        <v>40</v>
      </c>
      <c r="H156" s="12"/>
      <c r="I156" s="12"/>
      <c r="J156" s="12"/>
      <c r="K156" s="12"/>
      <c r="L156" s="12"/>
      <c r="M156" s="12">
        <v>1.0</v>
      </c>
      <c r="N156" s="12">
        <v>9.0</v>
      </c>
      <c r="O156" s="12">
        <v>20.0</v>
      </c>
      <c r="P156" s="12">
        <v>0.0</v>
      </c>
      <c r="S156" s="12" t="s">
        <v>37</v>
      </c>
      <c r="T156" s="12">
        <v>35.0</v>
      </c>
      <c r="U156" s="12">
        <v>1.0</v>
      </c>
      <c r="V156" s="12"/>
      <c r="W156" s="12"/>
      <c r="X156" s="12"/>
      <c r="Y156" s="12"/>
      <c r="Z156" s="12">
        <v>9.0</v>
      </c>
      <c r="AA156" s="12">
        <v>13.0</v>
      </c>
      <c r="AB156" s="12"/>
      <c r="AC156" s="12"/>
      <c r="AD156" s="12">
        <v>3.0</v>
      </c>
      <c r="AE156" s="12"/>
      <c r="AF156" s="12"/>
      <c r="AG156" s="12"/>
      <c r="AH156" s="12"/>
      <c r="AI156" s="12">
        <v>9.0</v>
      </c>
      <c r="AJ156" s="12"/>
    </row>
    <row r="157">
      <c r="A157" s="12" t="s">
        <v>64</v>
      </c>
      <c r="B157" s="12" t="s">
        <v>65</v>
      </c>
      <c r="C157" s="12">
        <v>12.0</v>
      </c>
      <c r="D157" s="12">
        <v>58.0</v>
      </c>
      <c r="E157" s="12">
        <v>70.0</v>
      </c>
      <c r="F157" s="13">
        <v>0.8285714285714286</v>
      </c>
      <c r="G157" s="12" t="s">
        <v>33</v>
      </c>
      <c r="H157" s="12"/>
      <c r="I157" s="12"/>
      <c r="J157" s="12"/>
      <c r="K157" s="12"/>
      <c r="L157" s="12"/>
      <c r="M157" s="12">
        <v>5.0</v>
      </c>
      <c r="N157" s="12">
        <v>0.0</v>
      </c>
      <c r="O157" s="12">
        <v>7.0</v>
      </c>
      <c r="P157" s="12">
        <v>0.0</v>
      </c>
      <c r="S157" s="12" t="s">
        <v>98</v>
      </c>
      <c r="T157" s="12">
        <v>18.0</v>
      </c>
      <c r="U157" s="12">
        <v>1.0</v>
      </c>
      <c r="V157" s="12"/>
      <c r="W157" s="12"/>
      <c r="X157" s="12"/>
      <c r="Y157" s="12"/>
      <c r="Z157" s="12"/>
      <c r="AA157" s="12">
        <v>13.0</v>
      </c>
      <c r="AB157" s="12"/>
      <c r="AC157" s="12"/>
      <c r="AD157" s="12"/>
      <c r="AE157" s="12">
        <v>4.0</v>
      </c>
      <c r="AF157" s="12"/>
      <c r="AG157" s="12"/>
      <c r="AH157" s="12"/>
      <c r="AI157" s="12"/>
      <c r="AJ157" s="12"/>
    </row>
    <row r="158">
      <c r="A158" s="12" t="s">
        <v>42</v>
      </c>
      <c r="B158" s="12" t="s">
        <v>43</v>
      </c>
      <c r="C158" s="12">
        <v>30.0</v>
      </c>
      <c r="D158" s="12">
        <v>98.0</v>
      </c>
      <c r="E158" s="12">
        <v>128.0</v>
      </c>
      <c r="F158" s="13">
        <v>0.765625</v>
      </c>
      <c r="G158" s="12" t="s">
        <v>33</v>
      </c>
      <c r="H158" s="12"/>
      <c r="I158" s="12"/>
      <c r="J158" s="12"/>
      <c r="K158" s="12"/>
      <c r="L158" s="12"/>
      <c r="M158" s="12">
        <v>4.0</v>
      </c>
      <c r="N158" s="12">
        <v>9.0</v>
      </c>
      <c r="O158" s="12">
        <v>17.0</v>
      </c>
      <c r="P158" s="12">
        <v>0.0</v>
      </c>
      <c r="Q158" s="44"/>
      <c r="R158" s="44"/>
      <c r="S158" s="12" t="s">
        <v>44</v>
      </c>
      <c r="T158" s="12">
        <v>0.0</v>
      </c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</row>
    <row r="159">
      <c r="A159" s="12" t="s">
        <v>45</v>
      </c>
      <c r="B159" s="12" t="s">
        <v>102</v>
      </c>
      <c r="C159" s="12">
        <v>21.0</v>
      </c>
      <c r="D159" s="12">
        <v>78.0</v>
      </c>
      <c r="E159" s="12">
        <v>99.0</v>
      </c>
      <c r="F159" s="13">
        <v>0.7878787878787878</v>
      </c>
      <c r="G159" s="12" t="s">
        <v>33</v>
      </c>
      <c r="H159" s="12"/>
      <c r="I159" s="12"/>
      <c r="J159" s="12"/>
      <c r="K159" s="12"/>
      <c r="L159" s="12"/>
      <c r="M159" s="12">
        <v>4.0</v>
      </c>
      <c r="N159" s="12">
        <v>4.0</v>
      </c>
      <c r="O159" s="12">
        <v>13.0</v>
      </c>
      <c r="P159" s="12">
        <v>0.0</v>
      </c>
      <c r="S159" s="12" t="s">
        <v>57</v>
      </c>
      <c r="T159" s="12">
        <v>13.0</v>
      </c>
      <c r="U159" s="12"/>
      <c r="V159" s="12"/>
      <c r="W159" s="12"/>
      <c r="X159" s="12">
        <v>1.0</v>
      </c>
      <c r="Y159" s="12"/>
      <c r="Z159" s="12">
        <v>7.0</v>
      </c>
      <c r="AA159" s="12">
        <v>2.0</v>
      </c>
      <c r="AB159" s="12"/>
      <c r="AC159" s="12"/>
      <c r="AD159" s="12">
        <v>3.0</v>
      </c>
      <c r="AE159" s="12"/>
      <c r="AF159" s="12"/>
      <c r="AG159" s="12"/>
      <c r="AH159" s="12"/>
      <c r="AI159" s="12"/>
      <c r="AJ159" s="12"/>
    </row>
    <row r="160">
      <c r="A160" s="12" t="s">
        <v>31</v>
      </c>
      <c r="B160" s="12" t="s">
        <v>32</v>
      </c>
      <c r="C160" s="12">
        <v>3.0</v>
      </c>
      <c r="D160" s="12">
        <v>0.0</v>
      </c>
      <c r="E160" s="12">
        <v>3.0</v>
      </c>
      <c r="F160" s="13">
        <v>0.0</v>
      </c>
      <c r="G160" s="12" t="s">
        <v>33</v>
      </c>
      <c r="H160" s="12"/>
      <c r="I160" s="12"/>
      <c r="J160" s="12"/>
      <c r="K160" s="12"/>
      <c r="L160" s="12"/>
      <c r="M160" s="12">
        <v>3.0</v>
      </c>
      <c r="N160" s="12">
        <v>0.0</v>
      </c>
      <c r="O160" s="12">
        <v>0.0</v>
      </c>
      <c r="P160" s="12">
        <v>0.0</v>
      </c>
      <c r="S160" s="12" t="s">
        <v>95</v>
      </c>
      <c r="T160" s="12">
        <v>30.0</v>
      </c>
      <c r="U160" s="12"/>
      <c r="V160" s="12"/>
      <c r="W160" s="12"/>
      <c r="X160" s="12">
        <v>30.0</v>
      </c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</row>
    <row r="161">
      <c r="A161" s="12" t="s">
        <v>35</v>
      </c>
      <c r="B161" s="12" t="s">
        <v>36</v>
      </c>
      <c r="C161" s="12">
        <v>14.0</v>
      </c>
      <c r="D161" s="12">
        <v>17.0</v>
      </c>
      <c r="E161" s="12">
        <v>31.0</v>
      </c>
      <c r="F161" s="13">
        <v>0.5483870967741935</v>
      </c>
      <c r="G161" s="12" t="s">
        <v>40</v>
      </c>
      <c r="H161" s="12"/>
      <c r="I161" s="12"/>
      <c r="J161" s="12"/>
      <c r="K161" s="12"/>
      <c r="L161" s="12"/>
      <c r="M161" s="12">
        <v>5.0</v>
      </c>
      <c r="N161" s="12">
        <v>1.0</v>
      </c>
      <c r="O161" s="12">
        <v>4.0</v>
      </c>
      <c r="P161" s="12">
        <v>4.0</v>
      </c>
      <c r="S161" s="12" t="s">
        <v>41</v>
      </c>
      <c r="T161" s="12">
        <v>0.0</v>
      </c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</row>
    <row r="162">
      <c r="A162" s="12" t="s">
        <v>103</v>
      </c>
      <c r="B162" s="12" t="s">
        <v>104</v>
      </c>
      <c r="C162" s="12">
        <v>9.0</v>
      </c>
      <c r="D162" s="12">
        <v>1.0</v>
      </c>
      <c r="E162" s="12">
        <v>10.0</v>
      </c>
      <c r="F162" s="13">
        <v>0.1</v>
      </c>
      <c r="G162" s="12" t="s">
        <v>33</v>
      </c>
      <c r="H162" s="12"/>
      <c r="I162" s="12"/>
      <c r="J162" s="12"/>
      <c r="K162" s="12"/>
      <c r="L162" s="12"/>
      <c r="M162" s="12">
        <v>5.0</v>
      </c>
      <c r="N162" s="12">
        <v>2.0</v>
      </c>
      <c r="O162" s="12">
        <v>2.0</v>
      </c>
      <c r="P162" s="12">
        <v>0.0</v>
      </c>
      <c r="S162" s="12" t="s">
        <v>109</v>
      </c>
      <c r="T162" s="12">
        <v>1.0</v>
      </c>
      <c r="U162" s="12"/>
      <c r="V162" s="12"/>
      <c r="W162" s="12"/>
      <c r="X162" s="12">
        <v>1.0</v>
      </c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</row>
    <row r="163">
      <c r="A163" s="28"/>
      <c r="D163" s="29"/>
      <c r="J163" s="29"/>
      <c r="M163" s="29"/>
      <c r="N163" s="29"/>
      <c r="O163" s="29"/>
      <c r="P163" s="29"/>
      <c r="S163" s="12" t="s">
        <v>110</v>
      </c>
      <c r="T163" s="12">
        <v>0.0</v>
      </c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</row>
    <row r="164">
      <c r="A164" s="28"/>
      <c r="D164" s="29"/>
      <c r="J164" s="29"/>
      <c r="M164" s="29"/>
      <c r="N164" s="29"/>
      <c r="O164" s="29"/>
      <c r="P164" s="29"/>
      <c r="S164" s="12" t="s">
        <v>47</v>
      </c>
      <c r="T164" s="12">
        <v>1.0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>
        <v>1.0</v>
      </c>
      <c r="AJ164" s="12"/>
    </row>
    <row r="165">
      <c r="A165" s="28"/>
      <c r="D165" s="29"/>
      <c r="J165" s="29"/>
      <c r="M165" s="29"/>
      <c r="N165" s="29"/>
      <c r="O165" s="29"/>
      <c r="P165" s="29"/>
      <c r="S165" s="12" t="s">
        <v>51</v>
      </c>
      <c r="T165" s="12">
        <v>8.0</v>
      </c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>
        <v>8.0</v>
      </c>
      <c r="AF165" s="12"/>
      <c r="AG165" s="12"/>
      <c r="AH165" s="12"/>
      <c r="AI165" s="12"/>
      <c r="AJ165" s="12"/>
    </row>
    <row r="166">
      <c r="A166" s="28"/>
      <c r="D166" s="29"/>
      <c r="J166" s="29"/>
      <c r="M166" s="29"/>
      <c r="N166" s="29"/>
      <c r="O166" s="29"/>
      <c r="P166" s="29"/>
    </row>
    <row r="167">
      <c r="A167" s="28"/>
      <c r="D167" s="29"/>
      <c r="J167" s="29"/>
      <c r="M167" s="29"/>
      <c r="N167" s="29"/>
      <c r="O167" s="29"/>
      <c r="P167" s="29"/>
    </row>
    <row r="168">
      <c r="A168" s="43" t="s">
        <v>111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S168" s="43" t="s">
        <v>112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3"/>
    </row>
    <row r="169">
      <c r="A169" s="8" t="s">
        <v>5</v>
      </c>
      <c r="B169" s="9" t="s">
        <v>6</v>
      </c>
      <c r="C169" s="9" t="s">
        <v>7</v>
      </c>
      <c r="D169" s="9" t="s">
        <v>8</v>
      </c>
      <c r="E169" s="9" t="s">
        <v>9</v>
      </c>
      <c r="F169" s="9" t="s">
        <v>10</v>
      </c>
      <c r="G169" s="9" t="s">
        <v>11</v>
      </c>
      <c r="H169" s="12"/>
      <c r="I169" s="12"/>
      <c r="J169" s="12"/>
      <c r="K169" s="12"/>
      <c r="L169" s="12"/>
      <c r="M169" s="8" t="s">
        <v>12</v>
      </c>
      <c r="N169" s="9" t="s">
        <v>13</v>
      </c>
      <c r="O169" s="9" t="s">
        <v>14</v>
      </c>
      <c r="P169" s="9" t="s">
        <v>15</v>
      </c>
      <c r="S169" s="8" t="s">
        <v>16</v>
      </c>
      <c r="T169" s="9" t="s">
        <v>17</v>
      </c>
      <c r="U169" s="9" t="s">
        <v>27</v>
      </c>
      <c r="V169" s="9" t="s">
        <v>107</v>
      </c>
      <c r="W169" s="9"/>
      <c r="X169" s="9" t="s">
        <v>24</v>
      </c>
      <c r="Y169" s="9" t="s">
        <v>28</v>
      </c>
      <c r="Z169" s="9" t="s">
        <v>21</v>
      </c>
      <c r="AA169" s="9" t="s">
        <v>22</v>
      </c>
      <c r="AB169" s="9"/>
      <c r="AC169" s="9" t="s">
        <v>108</v>
      </c>
      <c r="AD169" s="9" t="s">
        <v>18</v>
      </c>
      <c r="AE169" s="9" t="s">
        <v>19</v>
      </c>
      <c r="AF169" s="9"/>
      <c r="AG169" s="9"/>
      <c r="AH169" s="9"/>
      <c r="AI169" s="9" t="s">
        <v>101</v>
      </c>
      <c r="AJ169" s="9" t="s">
        <v>30</v>
      </c>
    </row>
    <row r="170">
      <c r="A170" s="12" t="s">
        <v>61</v>
      </c>
      <c r="B170" s="12" t="s">
        <v>62</v>
      </c>
      <c r="C170" s="12">
        <v>2.0</v>
      </c>
      <c r="D170" s="12">
        <v>18.0</v>
      </c>
      <c r="E170" s="12">
        <v>20.0</v>
      </c>
      <c r="F170" s="13">
        <v>0.9</v>
      </c>
      <c r="G170" s="12" t="s">
        <v>33</v>
      </c>
      <c r="H170" s="12"/>
      <c r="I170" s="12"/>
      <c r="J170" s="12"/>
      <c r="K170" s="12"/>
      <c r="L170" s="12"/>
      <c r="M170" s="12">
        <v>0.0</v>
      </c>
      <c r="N170" s="12">
        <v>0.0</v>
      </c>
      <c r="O170" s="12">
        <v>2.0</v>
      </c>
      <c r="P170" s="12">
        <v>0.0</v>
      </c>
      <c r="S170" s="12" t="s">
        <v>34</v>
      </c>
      <c r="T170" s="12">
        <v>4.0</v>
      </c>
      <c r="U170" s="12"/>
      <c r="V170" s="12"/>
      <c r="W170" s="12"/>
      <c r="X170" s="12"/>
      <c r="Y170" s="12"/>
      <c r="Z170" s="12"/>
      <c r="AA170" s="12">
        <v>4.0</v>
      </c>
      <c r="AB170" s="12"/>
      <c r="AC170" s="12"/>
      <c r="AD170" s="12"/>
      <c r="AE170" s="12"/>
      <c r="AF170" s="12"/>
      <c r="AG170" s="12"/>
      <c r="AH170" s="12"/>
      <c r="AI170" s="12"/>
      <c r="AJ170" s="12"/>
    </row>
    <row r="171">
      <c r="A171" s="12" t="s">
        <v>82</v>
      </c>
      <c r="B171" s="12" t="s">
        <v>53</v>
      </c>
      <c r="C171" s="12">
        <v>31.0</v>
      </c>
      <c r="D171" s="12">
        <v>247.0</v>
      </c>
      <c r="E171" s="12">
        <v>278.0</v>
      </c>
      <c r="F171" s="13">
        <v>0.8884892086330936</v>
      </c>
      <c r="G171" s="12" t="s">
        <v>40</v>
      </c>
      <c r="H171" s="12"/>
      <c r="I171" s="12"/>
      <c r="J171" s="12"/>
      <c r="K171" s="12"/>
      <c r="L171" s="12"/>
      <c r="M171" s="12">
        <v>1.0</v>
      </c>
      <c r="N171" s="12">
        <v>10.0</v>
      </c>
      <c r="O171" s="12">
        <v>20.0</v>
      </c>
      <c r="P171" s="12">
        <v>0.0</v>
      </c>
      <c r="S171" s="12" t="s">
        <v>37</v>
      </c>
      <c r="T171" s="12">
        <v>35.0</v>
      </c>
      <c r="U171" s="12">
        <v>1.0</v>
      </c>
      <c r="V171" s="12"/>
      <c r="W171" s="12"/>
      <c r="X171" s="12"/>
      <c r="Y171" s="12"/>
      <c r="Z171" s="12">
        <v>9.0</v>
      </c>
      <c r="AA171" s="12">
        <v>13.0</v>
      </c>
      <c r="AB171" s="12"/>
      <c r="AC171" s="12"/>
      <c r="AD171" s="12">
        <v>3.0</v>
      </c>
      <c r="AE171" s="12"/>
      <c r="AF171" s="12"/>
      <c r="AG171" s="12"/>
      <c r="AH171" s="12"/>
      <c r="AI171" s="12">
        <v>9.0</v>
      </c>
      <c r="AJ171" s="12"/>
    </row>
    <row r="172">
      <c r="A172" s="12" t="s">
        <v>64</v>
      </c>
      <c r="B172" s="12" t="s">
        <v>65</v>
      </c>
      <c r="C172" s="12">
        <v>12.0</v>
      </c>
      <c r="D172" s="12">
        <v>58.0</v>
      </c>
      <c r="E172" s="12">
        <v>70.0</v>
      </c>
      <c r="F172" s="13">
        <v>0.8285714285714286</v>
      </c>
      <c r="G172" s="12" t="s">
        <v>33</v>
      </c>
      <c r="H172" s="12"/>
      <c r="I172" s="12"/>
      <c r="J172" s="12"/>
      <c r="K172" s="12"/>
      <c r="L172" s="12"/>
      <c r="M172" s="12">
        <v>5.0</v>
      </c>
      <c r="N172" s="12">
        <v>0.0</v>
      </c>
      <c r="O172" s="12">
        <v>7.0</v>
      </c>
      <c r="P172" s="12">
        <v>0.0</v>
      </c>
      <c r="S172" s="12" t="s">
        <v>98</v>
      </c>
      <c r="T172" s="12">
        <v>16.0</v>
      </c>
      <c r="U172" s="12">
        <v>1.0</v>
      </c>
      <c r="V172" s="12"/>
      <c r="W172" s="12"/>
      <c r="X172" s="12"/>
      <c r="Y172" s="12"/>
      <c r="Z172" s="12"/>
      <c r="AA172" s="12">
        <v>13.0</v>
      </c>
      <c r="AB172" s="12"/>
      <c r="AC172" s="12"/>
      <c r="AD172" s="12"/>
      <c r="AE172" s="12">
        <v>2.0</v>
      </c>
      <c r="AF172" s="12"/>
      <c r="AG172" s="12"/>
      <c r="AH172" s="12"/>
      <c r="AI172" s="12"/>
      <c r="AJ172" s="12"/>
    </row>
    <row r="173">
      <c r="A173" s="12" t="s">
        <v>42</v>
      </c>
      <c r="B173" s="12" t="s">
        <v>43</v>
      </c>
      <c r="C173" s="12">
        <v>30.0</v>
      </c>
      <c r="D173" s="12">
        <v>98.0</v>
      </c>
      <c r="E173" s="12">
        <v>128.0</v>
      </c>
      <c r="F173" s="13">
        <v>0.765625</v>
      </c>
      <c r="G173" s="12" t="s">
        <v>50</v>
      </c>
      <c r="H173" s="12"/>
      <c r="I173" s="12"/>
      <c r="J173" s="12"/>
      <c r="K173" s="12"/>
      <c r="L173" s="12"/>
      <c r="M173" s="12">
        <v>4.0</v>
      </c>
      <c r="N173" s="12">
        <v>9.0</v>
      </c>
      <c r="O173" s="12">
        <v>17.0</v>
      </c>
      <c r="P173" s="12">
        <v>0.0</v>
      </c>
      <c r="S173" s="12" t="s">
        <v>44</v>
      </c>
      <c r="T173" s="12">
        <v>1.0</v>
      </c>
      <c r="U173" s="12"/>
      <c r="V173" s="12">
        <v>1.0</v>
      </c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</row>
    <row r="174">
      <c r="A174" s="12" t="s">
        <v>45</v>
      </c>
      <c r="B174" s="12" t="s">
        <v>102</v>
      </c>
      <c r="C174" s="12">
        <v>21.0</v>
      </c>
      <c r="D174" s="12">
        <v>78.0</v>
      </c>
      <c r="E174" s="12">
        <v>99.0</v>
      </c>
      <c r="F174" s="13">
        <v>0.7878787878787878</v>
      </c>
      <c r="G174" s="12" t="s">
        <v>50</v>
      </c>
      <c r="H174" s="12"/>
      <c r="I174" s="12"/>
      <c r="J174" s="12"/>
      <c r="K174" s="12"/>
      <c r="L174" s="12"/>
      <c r="M174" s="12">
        <v>4.0</v>
      </c>
      <c r="N174" s="12">
        <v>4.0</v>
      </c>
      <c r="O174" s="12">
        <v>13.0</v>
      </c>
      <c r="P174" s="12">
        <v>0.0</v>
      </c>
      <c r="S174" s="12" t="s">
        <v>57</v>
      </c>
      <c r="T174" s="12">
        <v>5.0</v>
      </c>
      <c r="U174" s="12"/>
      <c r="V174" s="12">
        <v>1.0</v>
      </c>
      <c r="W174" s="12"/>
      <c r="X174" s="12"/>
      <c r="Y174" s="12"/>
      <c r="Z174" s="12">
        <v>1.0</v>
      </c>
      <c r="AA174" s="12"/>
      <c r="AB174" s="12"/>
      <c r="AC174" s="12"/>
      <c r="AD174" s="12">
        <v>3.0</v>
      </c>
      <c r="AE174" s="12"/>
      <c r="AF174" s="12"/>
      <c r="AG174" s="12"/>
      <c r="AH174" s="12"/>
      <c r="AI174" s="12"/>
      <c r="AJ174" s="12"/>
    </row>
    <row r="175">
      <c r="A175" s="12" t="s">
        <v>31</v>
      </c>
      <c r="B175" s="12" t="s">
        <v>32</v>
      </c>
      <c r="C175" s="12">
        <v>3.0</v>
      </c>
      <c r="D175" s="12">
        <v>0.0</v>
      </c>
      <c r="E175" s="12">
        <v>3.0</v>
      </c>
      <c r="F175" s="13">
        <v>0.0</v>
      </c>
      <c r="G175" s="12" t="s">
        <v>33</v>
      </c>
      <c r="H175" s="12"/>
      <c r="I175" s="12"/>
      <c r="J175" s="12"/>
      <c r="K175" s="12"/>
      <c r="L175" s="12"/>
      <c r="M175" s="12">
        <v>3.0</v>
      </c>
      <c r="N175" s="12">
        <v>0.0</v>
      </c>
      <c r="O175" s="12">
        <v>0.0</v>
      </c>
      <c r="P175" s="12">
        <v>0.0</v>
      </c>
      <c r="S175" s="12" t="s">
        <v>95</v>
      </c>
      <c r="T175" s="12">
        <v>30.0</v>
      </c>
      <c r="U175" s="12"/>
      <c r="V175" s="12">
        <v>30.0</v>
      </c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</row>
    <row r="176">
      <c r="A176" s="12" t="s">
        <v>35</v>
      </c>
      <c r="B176" s="12" t="s">
        <v>36</v>
      </c>
      <c r="C176" s="12">
        <v>2.0</v>
      </c>
      <c r="D176" s="12">
        <v>0.0</v>
      </c>
      <c r="E176" s="12">
        <v>2.0</v>
      </c>
      <c r="F176" s="13">
        <v>0.0</v>
      </c>
      <c r="G176" s="12" t="s">
        <v>33</v>
      </c>
      <c r="H176" s="12"/>
      <c r="I176" s="12"/>
      <c r="J176" s="12"/>
      <c r="K176" s="12"/>
      <c r="L176" s="12"/>
      <c r="M176" s="12">
        <v>1.0</v>
      </c>
      <c r="N176" s="12">
        <v>0.0</v>
      </c>
      <c r="O176" s="12">
        <v>1.0</v>
      </c>
      <c r="P176" s="12">
        <v>0.0</v>
      </c>
      <c r="S176" s="12" t="s">
        <v>41</v>
      </c>
      <c r="T176" s="12">
        <v>0.0</v>
      </c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</row>
    <row r="177">
      <c r="A177" s="12" t="s">
        <v>103</v>
      </c>
      <c r="B177" s="12" t="s">
        <v>104</v>
      </c>
      <c r="C177" s="12">
        <v>9.0</v>
      </c>
      <c r="D177" s="12">
        <v>1.0</v>
      </c>
      <c r="E177" s="12">
        <v>10.0</v>
      </c>
      <c r="F177" s="13">
        <v>0.1</v>
      </c>
      <c r="G177" s="12" t="s">
        <v>33</v>
      </c>
      <c r="H177" s="12"/>
      <c r="I177" s="12"/>
      <c r="J177" s="12"/>
      <c r="K177" s="12"/>
      <c r="L177" s="12"/>
      <c r="M177" s="12">
        <v>5.0</v>
      </c>
      <c r="N177" s="12">
        <v>2.0</v>
      </c>
      <c r="O177" s="12">
        <v>2.0</v>
      </c>
      <c r="P177" s="12">
        <v>0.0</v>
      </c>
      <c r="S177" s="12" t="s">
        <v>109</v>
      </c>
      <c r="T177" s="12">
        <v>1.0</v>
      </c>
      <c r="U177" s="12"/>
      <c r="V177" s="12">
        <v>1.0</v>
      </c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</row>
    <row r="178">
      <c r="A178" s="28"/>
      <c r="D178" s="29"/>
      <c r="J178" s="29"/>
      <c r="M178" s="29"/>
      <c r="N178" s="29"/>
      <c r="O178" s="29"/>
      <c r="P178" s="29"/>
      <c r="S178" s="12" t="s">
        <v>110</v>
      </c>
      <c r="T178" s="12">
        <v>0.0</v>
      </c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</row>
    <row r="179">
      <c r="A179" s="28"/>
      <c r="D179" s="29"/>
      <c r="J179" s="29"/>
      <c r="M179" s="29"/>
      <c r="N179" s="29"/>
      <c r="O179" s="29"/>
      <c r="P179" s="29"/>
      <c r="S179" s="12" t="s">
        <v>47</v>
      </c>
      <c r="T179" s="12">
        <v>1.0</v>
      </c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>
        <v>1.0</v>
      </c>
      <c r="AJ179" s="12"/>
    </row>
    <row r="180">
      <c r="A180" s="28"/>
      <c r="D180" s="29"/>
      <c r="J180" s="29"/>
      <c r="M180" s="29"/>
      <c r="N180" s="29"/>
      <c r="O180" s="29"/>
      <c r="P180" s="29"/>
      <c r="S180" s="12" t="s">
        <v>51</v>
      </c>
      <c r="T180" s="12">
        <v>0.0</v>
      </c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</row>
    <row r="181">
      <c r="G181" s="29"/>
      <c r="M181" s="29"/>
      <c r="N181" s="29"/>
      <c r="O181" s="29"/>
      <c r="P181" s="29"/>
    </row>
    <row r="182">
      <c r="A182" s="43" t="s">
        <v>113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S182" s="43" t="s">
        <v>114</v>
      </c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3"/>
    </row>
    <row r="183">
      <c r="A183" s="8" t="s">
        <v>5</v>
      </c>
      <c r="B183" s="9" t="s">
        <v>6</v>
      </c>
      <c r="C183" s="9" t="s">
        <v>7</v>
      </c>
      <c r="D183" s="9" t="s">
        <v>8</v>
      </c>
      <c r="E183" s="9" t="s">
        <v>9</v>
      </c>
      <c r="F183" s="9" t="s">
        <v>10</v>
      </c>
      <c r="G183" s="9" t="s">
        <v>11</v>
      </c>
      <c r="H183" s="4"/>
      <c r="I183" s="4"/>
      <c r="J183" s="4"/>
      <c r="K183" s="4"/>
      <c r="L183" s="4"/>
      <c r="M183" s="8" t="s">
        <v>12</v>
      </c>
      <c r="N183" s="9" t="s">
        <v>13</v>
      </c>
      <c r="O183" s="9" t="s">
        <v>14</v>
      </c>
      <c r="P183" s="9" t="s">
        <v>15</v>
      </c>
      <c r="S183" s="8" t="s">
        <v>16</v>
      </c>
      <c r="T183" s="9" t="s">
        <v>17</v>
      </c>
      <c r="U183" s="9" t="s">
        <v>27</v>
      </c>
      <c r="V183" s="9" t="s">
        <v>107</v>
      </c>
      <c r="W183" s="9"/>
      <c r="X183" s="9" t="s">
        <v>24</v>
      </c>
      <c r="Y183" s="9" t="s">
        <v>28</v>
      </c>
      <c r="Z183" s="9" t="s">
        <v>21</v>
      </c>
      <c r="AA183" s="9" t="s">
        <v>22</v>
      </c>
      <c r="AB183" s="9"/>
      <c r="AC183" s="9" t="s">
        <v>108</v>
      </c>
      <c r="AD183" s="9" t="s">
        <v>115</v>
      </c>
      <c r="AE183" s="9"/>
      <c r="AF183" s="9"/>
      <c r="AG183" s="9"/>
      <c r="AH183" s="9"/>
      <c r="AI183" s="9" t="s">
        <v>101</v>
      </c>
      <c r="AJ183" s="9" t="s">
        <v>30</v>
      </c>
    </row>
    <row r="184">
      <c r="A184" s="12" t="s">
        <v>61</v>
      </c>
      <c r="B184" s="12" t="s">
        <v>62</v>
      </c>
      <c r="C184" s="12">
        <v>2.0</v>
      </c>
      <c r="D184" s="12">
        <v>18.0</v>
      </c>
      <c r="E184" s="12">
        <v>20.0</v>
      </c>
      <c r="F184" s="13">
        <v>0.9</v>
      </c>
      <c r="G184" s="12" t="s">
        <v>33</v>
      </c>
      <c r="H184" s="12"/>
      <c r="I184" s="12"/>
      <c r="J184" s="12"/>
      <c r="K184" s="12"/>
      <c r="L184" s="12"/>
      <c r="M184" s="12">
        <v>0.0</v>
      </c>
      <c r="N184" s="12">
        <v>0.0</v>
      </c>
      <c r="O184" s="12">
        <v>2.0</v>
      </c>
      <c r="P184" s="12">
        <v>0.0</v>
      </c>
      <c r="S184" s="4" t="s">
        <v>34</v>
      </c>
      <c r="T184" s="12">
        <v>4.0</v>
      </c>
      <c r="U184" s="12"/>
      <c r="V184" s="12"/>
      <c r="W184" s="12"/>
      <c r="X184" s="12"/>
      <c r="Y184" s="12"/>
      <c r="Z184" s="12"/>
      <c r="AA184" s="12">
        <v>4.0</v>
      </c>
      <c r="AB184" s="12"/>
      <c r="AC184" s="12"/>
      <c r="AD184" s="12"/>
      <c r="AE184" s="12"/>
      <c r="AF184" s="12"/>
      <c r="AG184" s="12"/>
      <c r="AH184" s="12"/>
      <c r="AI184" s="12"/>
      <c r="AJ184" s="12"/>
    </row>
    <row r="185">
      <c r="A185" s="12" t="s">
        <v>82</v>
      </c>
      <c r="B185" s="12" t="s">
        <v>53</v>
      </c>
      <c r="C185" s="12">
        <v>31.0</v>
      </c>
      <c r="D185" s="12">
        <v>233.0</v>
      </c>
      <c r="E185" s="12">
        <v>264.0</v>
      </c>
      <c r="F185" s="13">
        <v>0.8825757575757576</v>
      </c>
      <c r="G185" s="12" t="s">
        <v>50</v>
      </c>
      <c r="H185" s="12"/>
      <c r="I185" s="12"/>
      <c r="J185" s="12"/>
      <c r="K185" s="12"/>
      <c r="L185" s="12"/>
      <c r="M185" s="12">
        <v>0.0</v>
      </c>
      <c r="N185" s="12">
        <v>11.0</v>
      </c>
      <c r="O185" s="12">
        <v>20.0</v>
      </c>
      <c r="P185" s="12">
        <v>0.0</v>
      </c>
      <c r="S185" s="4" t="s">
        <v>37</v>
      </c>
      <c r="T185" s="12">
        <v>22.0</v>
      </c>
      <c r="U185" s="12">
        <v>1.0</v>
      </c>
      <c r="V185" s="12"/>
      <c r="W185" s="12"/>
      <c r="X185" s="12"/>
      <c r="Y185" s="12"/>
      <c r="Z185" s="12">
        <v>9.0</v>
      </c>
      <c r="AA185" s="12">
        <v>12.0</v>
      </c>
      <c r="AB185" s="12"/>
      <c r="AC185" s="12"/>
      <c r="AD185" s="12"/>
      <c r="AE185" s="12"/>
      <c r="AF185" s="12"/>
      <c r="AG185" s="12"/>
      <c r="AH185" s="12"/>
      <c r="AI185" s="12"/>
      <c r="AJ185" s="12"/>
    </row>
    <row r="186">
      <c r="A186" s="12" t="s">
        <v>64</v>
      </c>
      <c r="B186" s="12" t="s">
        <v>65</v>
      </c>
      <c r="C186" s="12">
        <v>12.0</v>
      </c>
      <c r="D186" s="12">
        <v>58.0</v>
      </c>
      <c r="E186" s="12">
        <v>70.0</v>
      </c>
      <c r="F186" s="13">
        <v>0.8285714285714286</v>
      </c>
      <c r="G186" s="12" t="s">
        <v>33</v>
      </c>
      <c r="H186" s="12"/>
      <c r="I186" s="12"/>
      <c r="J186" s="12"/>
      <c r="K186" s="12"/>
      <c r="L186" s="12"/>
      <c r="M186" s="12">
        <v>5.0</v>
      </c>
      <c r="N186" s="12">
        <v>0.0</v>
      </c>
      <c r="O186" s="12">
        <v>7.0</v>
      </c>
      <c r="P186" s="12">
        <v>0.0</v>
      </c>
      <c r="S186" s="4" t="s">
        <v>98</v>
      </c>
      <c r="T186" s="12">
        <v>12.0</v>
      </c>
      <c r="U186" s="12">
        <v>1.0</v>
      </c>
      <c r="V186" s="12"/>
      <c r="W186" s="12"/>
      <c r="X186" s="12"/>
      <c r="Y186" s="12"/>
      <c r="Z186" s="12"/>
      <c r="AA186" s="12">
        <v>11.0</v>
      </c>
      <c r="AB186" s="12"/>
      <c r="AC186" s="12"/>
      <c r="AD186" s="12"/>
      <c r="AE186" s="12"/>
      <c r="AF186" s="12"/>
      <c r="AG186" s="12"/>
      <c r="AH186" s="12"/>
      <c r="AI186" s="12"/>
      <c r="AJ186" s="12"/>
    </row>
    <row r="187">
      <c r="A187" s="12" t="s">
        <v>42</v>
      </c>
      <c r="B187" s="12" t="s">
        <v>43</v>
      </c>
      <c r="C187" s="12">
        <v>28.0</v>
      </c>
      <c r="D187" s="12">
        <v>98.0</v>
      </c>
      <c r="E187" s="12">
        <v>126.0</v>
      </c>
      <c r="F187" s="13">
        <v>0.7777777777777778</v>
      </c>
      <c r="G187" s="12" t="s">
        <v>50</v>
      </c>
      <c r="H187" s="12"/>
      <c r="I187" s="12"/>
      <c r="J187" s="12"/>
      <c r="K187" s="12"/>
      <c r="L187" s="12"/>
      <c r="M187" s="12">
        <v>4.0</v>
      </c>
      <c r="N187" s="12">
        <v>7.0</v>
      </c>
      <c r="O187" s="12">
        <v>17.0</v>
      </c>
      <c r="P187" s="12">
        <v>0.0</v>
      </c>
      <c r="S187" s="4" t="s">
        <v>44</v>
      </c>
      <c r="T187" s="12">
        <v>1.0</v>
      </c>
      <c r="U187" s="12"/>
      <c r="V187" s="12"/>
      <c r="W187" s="12"/>
      <c r="X187" s="12">
        <v>1.0</v>
      </c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</row>
    <row r="188">
      <c r="A188" s="12" t="s">
        <v>45</v>
      </c>
      <c r="B188" s="12" t="s">
        <v>102</v>
      </c>
      <c r="C188" s="12">
        <v>19.0</v>
      </c>
      <c r="D188" s="12">
        <v>78.0</v>
      </c>
      <c r="E188" s="12">
        <v>97.0</v>
      </c>
      <c r="F188" s="13">
        <v>0.8041237113402062</v>
      </c>
      <c r="G188" s="12" t="s">
        <v>50</v>
      </c>
      <c r="H188" s="12"/>
      <c r="I188" s="12"/>
      <c r="J188" s="12"/>
      <c r="K188" s="12"/>
      <c r="L188" s="12"/>
      <c r="M188" s="12">
        <v>4.0</v>
      </c>
      <c r="N188" s="12">
        <v>2.0</v>
      </c>
      <c r="O188" s="12">
        <v>13.0</v>
      </c>
      <c r="P188" s="12">
        <v>0.0</v>
      </c>
      <c r="S188" s="4" t="s">
        <v>57</v>
      </c>
      <c r="T188" s="12">
        <v>2.0</v>
      </c>
      <c r="U188" s="12"/>
      <c r="V188" s="12"/>
      <c r="W188" s="12"/>
      <c r="X188" s="12">
        <v>1.0</v>
      </c>
      <c r="Y188" s="12"/>
      <c r="Z188" s="12">
        <v>1.0</v>
      </c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</row>
    <row r="189">
      <c r="A189" s="12" t="s">
        <v>31</v>
      </c>
      <c r="B189" s="12" t="s">
        <v>116</v>
      </c>
      <c r="C189" s="12">
        <v>3.0</v>
      </c>
      <c r="D189" s="12">
        <v>0.0</v>
      </c>
      <c r="E189" s="12">
        <v>3.0</v>
      </c>
      <c r="F189" s="13">
        <v>0.0</v>
      </c>
      <c r="G189" s="12" t="s">
        <v>33</v>
      </c>
      <c r="H189" s="12"/>
      <c r="I189" s="12"/>
      <c r="J189" s="12"/>
      <c r="K189" s="12"/>
      <c r="L189" s="12"/>
      <c r="M189" s="12">
        <v>3.0</v>
      </c>
      <c r="N189" s="12">
        <v>0.0</v>
      </c>
      <c r="O189" s="12">
        <v>0.0</v>
      </c>
      <c r="P189" s="12">
        <v>0.0</v>
      </c>
      <c r="S189" s="4" t="s">
        <v>95</v>
      </c>
      <c r="T189" s="12">
        <v>28.0</v>
      </c>
      <c r="U189" s="12"/>
      <c r="V189" s="12"/>
      <c r="W189" s="12"/>
      <c r="X189" s="12">
        <v>28.0</v>
      </c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</row>
    <row r="190">
      <c r="A190" s="12" t="s">
        <v>103</v>
      </c>
      <c r="B190" s="12" t="s">
        <v>104</v>
      </c>
      <c r="C190" s="12">
        <v>9.0</v>
      </c>
      <c r="D190" s="12">
        <v>1.0</v>
      </c>
      <c r="E190" s="12">
        <v>10.0</v>
      </c>
      <c r="F190" s="13">
        <v>0.1</v>
      </c>
      <c r="G190" s="12" t="s">
        <v>33</v>
      </c>
      <c r="H190" s="12"/>
      <c r="I190" s="12"/>
      <c r="J190" s="12"/>
      <c r="K190" s="12"/>
      <c r="L190" s="12"/>
      <c r="M190" s="12">
        <v>5.0</v>
      </c>
      <c r="N190" s="12">
        <v>2.0</v>
      </c>
      <c r="O190" s="12">
        <v>2.0</v>
      </c>
      <c r="P190" s="12">
        <v>0.0</v>
      </c>
      <c r="S190" s="4" t="s">
        <v>41</v>
      </c>
      <c r="T190" s="12">
        <v>0.0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</row>
    <row r="191">
      <c r="A191" s="28"/>
      <c r="G191" s="29"/>
      <c r="M191" s="29"/>
      <c r="N191" s="29"/>
      <c r="O191" s="29"/>
      <c r="P191" s="29"/>
      <c r="S191" s="4" t="s">
        <v>109</v>
      </c>
      <c r="T191" s="12">
        <v>3.0</v>
      </c>
      <c r="U191" s="12"/>
      <c r="V191" s="12"/>
      <c r="W191" s="12"/>
      <c r="X191" s="12">
        <v>3.0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</row>
    <row r="192">
      <c r="A192" s="28"/>
      <c r="D192" s="28"/>
      <c r="G192" s="29"/>
      <c r="J192" s="28"/>
      <c r="M192" s="29"/>
      <c r="N192" s="29"/>
      <c r="O192" s="29"/>
      <c r="P192" s="29"/>
      <c r="S192" s="4" t="s">
        <v>110</v>
      </c>
      <c r="T192" s="12">
        <v>0.0</v>
      </c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</row>
    <row r="193">
      <c r="A193" s="28"/>
      <c r="D193" s="28"/>
      <c r="G193" s="29"/>
      <c r="J193" s="28"/>
      <c r="M193" s="29"/>
      <c r="N193" s="29"/>
      <c r="O193" s="29"/>
      <c r="P193" s="29"/>
      <c r="S193" s="4" t="s">
        <v>47</v>
      </c>
      <c r="T193" s="12">
        <v>1.0</v>
      </c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>
        <v>1.0</v>
      </c>
      <c r="AJ193" s="12"/>
    </row>
    <row r="194">
      <c r="A194" s="28"/>
      <c r="D194" s="28"/>
      <c r="G194" s="29"/>
      <c r="J194" s="28"/>
      <c r="M194" s="29"/>
      <c r="N194" s="29"/>
      <c r="O194" s="29"/>
      <c r="P194" s="29"/>
      <c r="S194" s="4" t="s">
        <v>117</v>
      </c>
      <c r="T194" s="12">
        <v>0.0</v>
      </c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</row>
    <row r="195">
      <c r="G195" s="29"/>
      <c r="M195" s="29"/>
      <c r="N195" s="29"/>
      <c r="O195" s="29"/>
      <c r="P195" s="29"/>
    </row>
    <row r="196">
      <c r="A196" s="43" t="s">
        <v>118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S196" s="43" t="s">
        <v>119</v>
      </c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3"/>
    </row>
    <row r="197">
      <c r="A197" s="8" t="s">
        <v>5</v>
      </c>
      <c r="B197" s="9" t="s">
        <v>6</v>
      </c>
      <c r="C197" s="9" t="s">
        <v>7</v>
      </c>
      <c r="D197" s="9" t="s">
        <v>8</v>
      </c>
      <c r="E197" s="9" t="s">
        <v>9</v>
      </c>
      <c r="F197" s="9" t="s">
        <v>10</v>
      </c>
      <c r="G197" s="9" t="s">
        <v>11</v>
      </c>
      <c r="H197" s="4"/>
      <c r="I197" s="4"/>
      <c r="J197" s="4"/>
      <c r="K197" s="4"/>
      <c r="L197" s="4"/>
      <c r="M197" s="8" t="s">
        <v>12</v>
      </c>
      <c r="N197" s="9" t="s">
        <v>13</v>
      </c>
      <c r="O197" s="9" t="s">
        <v>14</v>
      </c>
      <c r="P197" s="9" t="s">
        <v>15</v>
      </c>
      <c r="S197" s="8" t="s">
        <v>16</v>
      </c>
      <c r="T197" s="9" t="s">
        <v>17</v>
      </c>
      <c r="U197" s="9" t="s">
        <v>27</v>
      </c>
      <c r="V197" s="9" t="s">
        <v>107</v>
      </c>
      <c r="W197" s="9"/>
      <c r="X197" s="9" t="s">
        <v>24</v>
      </c>
      <c r="Y197" s="9" t="s">
        <v>28</v>
      </c>
      <c r="Z197" s="9" t="s">
        <v>21</v>
      </c>
      <c r="AA197" s="9" t="s">
        <v>22</v>
      </c>
      <c r="AB197" s="9"/>
      <c r="AC197" s="9" t="s">
        <v>108</v>
      </c>
      <c r="AD197" s="9" t="s">
        <v>115</v>
      </c>
      <c r="AE197" s="9"/>
      <c r="AF197" s="9"/>
      <c r="AG197" s="9"/>
      <c r="AH197" s="9"/>
      <c r="AI197" s="9" t="s">
        <v>101</v>
      </c>
      <c r="AJ197" s="9" t="s">
        <v>30</v>
      </c>
    </row>
    <row r="198">
      <c r="A198" s="12" t="s">
        <v>61</v>
      </c>
      <c r="B198" s="12" t="s">
        <v>62</v>
      </c>
      <c r="C198" s="12">
        <v>2.0</v>
      </c>
      <c r="D198" s="12">
        <v>18.0</v>
      </c>
      <c r="E198" s="12">
        <v>20.0</v>
      </c>
      <c r="F198" s="13">
        <v>0.9</v>
      </c>
      <c r="G198" s="12" t="s">
        <v>33</v>
      </c>
      <c r="H198" s="12"/>
      <c r="I198" s="12"/>
      <c r="J198" s="12"/>
      <c r="K198" s="12"/>
      <c r="L198" s="12"/>
      <c r="M198" s="12">
        <v>0.0</v>
      </c>
      <c r="N198" s="12">
        <v>0.0</v>
      </c>
      <c r="O198" s="12">
        <v>2.0</v>
      </c>
      <c r="P198" s="12">
        <v>0.0</v>
      </c>
      <c r="S198" s="12" t="s">
        <v>34</v>
      </c>
      <c r="T198" s="12">
        <v>4.0</v>
      </c>
      <c r="U198" s="12"/>
      <c r="V198" s="12"/>
      <c r="W198" s="12"/>
      <c r="X198" s="12"/>
      <c r="Y198" s="12"/>
      <c r="Z198" s="12"/>
      <c r="AA198" s="12">
        <v>4.0</v>
      </c>
      <c r="AB198" s="12"/>
      <c r="AC198" s="12"/>
      <c r="AD198" s="12"/>
      <c r="AE198" s="12"/>
      <c r="AF198" s="12"/>
      <c r="AG198" s="12"/>
      <c r="AH198" s="12"/>
      <c r="AI198" s="12"/>
      <c r="AJ198" s="36"/>
    </row>
    <row r="199">
      <c r="A199" s="12" t="s">
        <v>82</v>
      </c>
      <c r="B199" s="12" t="s">
        <v>53</v>
      </c>
      <c r="C199" s="12">
        <v>29.0</v>
      </c>
      <c r="D199" s="12">
        <v>233.0</v>
      </c>
      <c r="E199" s="12">
        <v>262.0</v>
      </c>
      <c r="F199" s="13">
        <v>0.8893129770992366</v>
      </c>
      <c r="G199" s="12" t="s">
        <v>40</v>
      </c>
      <c r="H199" s="12"/>
      <c r="I199" s="12"/>
      <c r="J199" s="12"/>
      <c r="K199" s="12"/>
      <c r="L199" s="12"/>
      <c r="M199" s="12">
        <v>0.0</v>
      </c>
      <c r="N199" s="12">
        <v>9.0</v>
      </c>
      <c r="O199" s="12">
        <v>20.0</v>
      </c>
      <c r="P199" s="12">
        <v>0.0</v>
      </c>
      <c r="S199" s="12" t="s">
        <v>37</v>
      </c>
      <c r="T199" s="12">
        <v>21.0</v>
      </c>
      <c r="U199" s="12">
        <v>1.0</v>
      </c>
      <c r="V199" s="12"/>
      <c r="W199" s="12"/>
      <c r="X199" s="12"/>
      <c r="Y199" s="12"/>
      <c r="Z199" s="12">
        <v>8.0</v>
      </c>
      <c r="AA199" s="12">
        <v>12.0</v>
      </c>
      <c r="AB199" s="12"/>
      <c r="AC199" s="12"/>
      <c r="AD199" s="12"/>
      <c r="AE199" s="12"/>
      <c r="AF199" s="12"/>
      <c r="AG199" s="12"/>
      <c r="AH199" s="12"/>
      <c r="AI199" s="12"/>
      <c r="AJ199" s="36"/>
    </row>
    <row r="200">
      <c r="A200" s="12" t="s">
        <v>64</v>
      </c>
      <c r="B200" s="12" t="s">
        <v>65</v>
      </c>
      <c r="C200" s="12">
        <v>12.0</v>
      </c>
      <c r="D200" s="12">
        <v>58.0</v>
      </c>
      <c r="E200" s="12">
        <v>70.0</v>
      </c>
      <c r="F200" s="13">
        <v>0.8285714285714286</v>
      </c>
      <c r="G200" s="12" t="s">
        <v>33</v>
      </c>
      <c r="H200" s="12"/>
      <c r="I200" s="12"/>
      <c r="J200" s="12"/>
      <c r="K200" s="12"/>
      <c r="L200" s="12"/>
      <c r="M200" s="12">
        <v>5.0</v>
      </c>
      <c r="N200" s="12">
        <v>0.0</v>
      </c>
      <c r="O200" s="12">
        <v>7.0</v>
      </c>
      <c r="P200" s="12">
        <v>0.0</v>
      </c>
      <c r="S200" s="12" t="s">
        <v>98</v>
      </c>
      <c r="T200" s="12">
        <v>11.0</v>
      </c>
      <c r="U200" s="12">
        <v>1.0</v>
      </c>
      <c r="V200" s="12"/>
      <c r="W200" s="12"/>
      <c r="X200" s="12"/>
      <c r="Y200" s="12"/>
      <c r="Z200" s="12"/>
      <c r="AA200" s="12">
        <v>10.0</v>
      </c>
      <c r="AB200" s="12"/>
      <c r="AC200" s="12"/>
      <c r="AD200" s="12"/>
      <c r="AE200" s="12"/>
      <c r="AF200" s="12"/>
      <c r="AG200" s="12"/>
      <c r="AH200" s="12"/>
      <c r="AI200" s="12"/>
      <c r="AJ200" s="36"/>
    </row>
    <row r="201">
      <c r="A201" s="12" t="s">
        <v>42</v>
      </c>
      <c r="B201" s="12" t="s">
        <v>43</v>
      </c>
      <c r="C201" s="12">
        <v>26.0</v>
      </c>
      <c r="D201" s="12">
        <v>98.0</v>
      </c>
      <c r="E201" s="12">
        <v>124.0</v>
      </c>
      <c r="F201" s="13">
        <v>0.7903225806451613</v>
      </c>
      <c r="G201" s="12" t="s">
        <v>40</v>
      </c>
      <c r="H201" s="12"/>
      <c r="I201" s="12"/>
      <c r="J201" s="12"/>
      <c r="K201" s="12"/>
      <c r="L201" s="12"/>
      <c r="M201" s="12">
        <v>4.0</v>
      </c>
      <c r="N201" s="12">
        <v>6.0</v>
      </c>
      <c r="O201" s="12">
        <v>16.0</v>
      </c>
      <c r="P201" s="12">
        <v>0.0</v>
      </c>
      <c r="S201" s="12" t="s">
        <v>44</v>
      </c>
      <c r="T201" s="12">
        <v>1.0</v>
      </c>
      <c r="U201" s="12"/>
      <c r="V201" s="12"/>
      <c r="W201" s="12"/>
      <c r="X201" s="12">
        <v>1.0</v>
      </c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36"/>
    </row>
    <row r="202">
      <c r="A202" s="12" t="s">
        <v>45</v>
      </c>
      <c r="B202" s="12" t="s">
        <v>102</v>
      </c>
      <c r="C202" s="12">
        <v>18.0</v>
      </c>
      <c r="D202" s="12">
        <v>78.0</v>
      </c>
      <c r="E202" s="12">
        <v>96.0</v>
      </c>
      <c r="F202" s="13">
        <v>0.8125</v>
      </c>
      <c r="G202" s="12" t="s">
        <v>40</v>
      </c>
      <c r="H202" s="12"/>
      <c r="I202" s="12"/>
      <c r="J202" s="12"/>
      <c r="K202" s="12"/>
      <c r="L202" s="12"/>
      <c r="M202" s="12">
        <v>4.0</v>
      </c>
      <c r="N202" s="12">
        <v>2.0</v>
      </c>
      <c r="O202" s="12">
        <v>12.0</v>
      </c>
      <c r="P202" s="12">
        <v>0.0</v>
      </c>
      <c r="S202" s="12" t="s">
        <v>57</v>
      </c>
      <c r="T202" s="12">
        <v>1.0</v>
      </c>
      <c r="U202" s="12"/>
      <c r="V202" s="12"/>
      <c r="W202" s="12"/>
      <c r="X202" s="12"/>
      <c r="Y202" s="12"/>
      <c r="Z202" s="12">
        <v>1.0</v>
      </c>
      <c r="AA202" s="12"/>
      <c r="AB202" s="12"/>
      <c r="AC202" s="12"/>
      <c r="AD202" s="12"/>
      <c r="AE202" s="12"/>
      <c r="AF202" s="12"/>
      <c r="AG202" s="12"/>
      <c r="AH202" s="12"/>
      <c r="AI202" s="12"/>
      <c r="AJ202" s="36"/>
    </row>
    <row r="203">
      <c r="A203" s="12" t="s">
        <v>31</v>
      </c>
      <c r="B203" s="12" t="s">
        <v>116</v>
      </c>
      <c r="C203" s="12">
        <v>3.0</v>
      </c>
      <c r="D203" s="12">
        <v>0.0</v>
      </c>
      <c r="E203" s="12">
        <v>3.0</v>
      </c>
      <c r="F203" s="13">
        <v>0.0</v>
      </c>
      <c r="G203" s="12" t="s">
        <v>33</v>
      </c>
      <c r="H203" s="12"/>
      <c r="I203" s="12"/>
      <c r="J203" s="12"/>
      <c r="K203" s="12"/>
      <c r="L203" s="12"/>
      <c r="M203" s="12">
        <v>3.0</v>
      </c>
      <c r="N203" s="12">
        <v>0.0</v>
      </c>
      <c r="O203" s="12">
        <v>0.0</v>
      </c>
      <c r="P203" s="12">
        <v>0.0</v>
      </c>
      <c r="S203" s="12" t="s">
        <v>120</v>
      </c>
      <c r="T203" s="12">
        <v>5.0</v>
      </c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>
        <v>5.0</v>
      </c>
      <c r="AJ203" s="36"/>
    </row>
    <row r="204">
      <c r="A204" s="12" t="s">
        <v>103</v>
      </c>
      <c r="B204" s="12" t="s">
        <v>104</v>
      </c>
      <c r="C204" s="12">
        <v>9.0</v>
      </c>
      <c r="D204" s="12">
        <v>1.0</v>
      </c>
      <c r="E204" s="12">
        <v>10.0</v>
      </c>
      <c r="F204" s="13">
        <v>0.1</v>
      </c>
      <c r="G204" s="12" t="s">
        <v>50</v>
      </c>
      <c r="H204" s="12"/>
      <c r="I204" s="12"/>
      <c r="J204" s="12"/>
      <c r="K204" s="12"/>
      <c r="L204" s="12"/>
      <c r="M204" s="12">
        <v>5.0</v>
      </c>
      <c r="N204" s="12">
        <v>2.0</v>
      </c>
      <c r="O204" s="12">
        <v>2.0</v>
      </c>
      <c r="P204" s="12">
        <v>0.0</v>
      </c>
      <c r="S204" s="12" t="s">
        <v>95</v>
      </c>
      <c r="T204" s="12">
        <v>26.0</v>
      </c>
      <c r="U204" s="12"/>
      <c r="V204" s="12"/>
      <c r="W204" s="12"/>
      <c r="X204" s="12">
        <v>26.0</v>
      </c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36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S205" s="12" t="s">
        <v>41</v>
      </c>
      <c r="T205" s="12">
        <v>0.0</v>
      </c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36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S206" s="12" t="s">
        <v>109</v>
      </c>
      <c r="T206" s="12">
        <v>2.0</v>
      </c>
      <c r="U206" s="12"/>
      <c r="V206" s="12"/>
      <c r="W206" s="12"/>
      <c r="X206" s="12">
        <v>2.0</v>
      </c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36"/>
    </row>
    <row r="207">
      <c r="G207" s="29"/>
      <c r="M207" s="29"/>
      <c r="N207" s="29"/>
      <c r="O207" s="29"/>
      <c r="P207" s="29"/>
      <c r="S207" s="12" t="s">
        <v>110</v>
      </c>
      <c r="T207" s="12">
        <v>0.0</v>
      </c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36"/>
    </row>
    <row r="208">
      <c r="G208" s="29"/>
      <c r="M208" s="29"/>
      <c r="N208" s="29"/>
      <c r="O208" s="29"/>
      <c r="P208" s="29"/>
      <c r="S208" s="12" t="s">
        <v>47</v>
      </c>
      <c r="T208" s="12">
        <v>1.0</v>
      </c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>
        <v>1.0</v>
      </c>
      <c r="AJ208" s="36"/>
    </row>
    <row r="209">
      <c r="G209" s="29"/>
      <c r="M209" s="29"/>
      <c r="N209" s="29"/>
      <c r="O209" s="29"/>
      <c r="P209" s="29"/>
      <c r="S209" s="12" t="s">
        <v>117</v>
      </c>
      <c r="T209" s="12">
        <v>3.0</v>
      </c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>
        <v>3.0</v>
      </c>
      <c r="AJ209" s="36"/>
    </row>
    <row r="210">
      <c r="G210" s="29"/>
      <c r="M210" s="29"/>
      <c r="N210" s="29"/>
      <c r="O210" s="29"/>
      <c r="P210" s="29"/>
    </row>
    <row r="211">
      <c r="A211" s="42" t="s">
        <v>121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S211" s="42" t="s">
        <v>121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3"/>
    </row>
    <row r="212">
      <c r="A212" s="8" t="s">
        <v>5</v>
      </c>
      <c r="B212" s="9" t="s">
        <v>6</v>
      </c>
      <c r="C212" s="9" t="s">
        <v>7</v>
      </c>
      <c r="D212" s="9" t="s">
        <v>8</v>
      </c>
      <c r="E212" s="9" t="s">
        <v>9</v>
      </c>
      <c r="F212" s="9" t="s">
        <v>10</v>
      </c>
      <c r="G212" s="9" t="s">
        <v>11</v>
      </c>
      <c r="H212" s="12"/>
      <c r="I212" s="12"/>
      <c r="J212" s="12"/>
      <c r="K212" s="12"/>
      <c r="L212" s="12"/>
      <c r="M212" s="8" t="s">
        <v>12</v>
      </c>
      <c r="N212" s="9" t="s">
        <v>13</v>
      </c>
      <c r="O212" s="9" t="s">
        <v>14</v>
      </c>
      <c r="P212" s="9" t="s">
        <v>15</v>
      </c>
      <c r="S212" s="8" t="s">
        <v>16</v>
      </c>
      <c r="T212" s="9" t="s">
        <v>17</v>
      </c>
      <c r="U212" s="9" t="s">
        <v>27</v>
      </c>
      <c r="V212" s="9" t="s">
        <v>107</v>
      </c>
      <c r="W212" s="9"/>
      <c r="X212" s="9" t="s">
        <v>24</v>
      </c>
      <c r="Y212" s="9" t="s">
        <v>28</v>
      </c>
      <c r="Z212" s="9" t="s">
        <v>21</v>
      </c>
      <c r="AA212" s="9" t="s">
        <v>22</v>
      </c>
      <c r="AB212" s="9"/>
      <c r="AC212" s="9" t="s">
        <v>108</v>
      </c>
      <c r="AD212" s="9" t="s">
        <v>115</v>
      </c>
      <c r="AE212" s="9"/>
      <c r="AF212" s="9"/>
      <c r="AG212" s="9"/>
      <c r="AH212" s="9"/>
      <c r="AI212" s="9" t="s">
        <v>101</v>
      </c>
      <c r="AJ212" s="9" t="s">
        <v>30</v>
      </c>
    </row>
    <row r="213">
      <c r="A213" s="12" t="s">
        <v>61</v>
      </c>
      <c r="B213" s="12" t="s">
        <v>62</v>
      </c>
      <c r="C213" s="12">
        <v>2.0</v>
      </c>
      <c r="D213" s="12">
        <v>18.0</v>
      </c>
      <c r="E213" s="12">
        <v>20.0</v>
      </c>
      <c r="F213" s="13">
        <v>0.9</v>
      </c>
      <c r="G213" s="12" t="s">
        <v>33</v>
      </c>
      <c r="H213" s="12"/>
      <c r="I213" s="12"/>
      <c r="J213" s="12"/>
      <c r="K213" s="12"/>
      <c r="L213" s="12"/>
      <c r="M213" s="12">
        <v>0.0</v>
      </c>
      <c r="N213" s="12">
        <v>0.0</v>
      </c>
      <c r="O213" s="12">
        <v>2.0</v>
      </c>
      <c r="P213" s="12">
        <v>0.0</v>
      </c>
      <c r="S213" s="4" t="s">
        <v>34</v>
      </c>
      <c r="T213" s="12">
        <v>4.0</v>
      </c>
      <c r="U213" s="12"/>
      <c r="V213" s="12"/>
      <c r="W213" s="12"/>
      <c r="X213" s="12"/>
      <c r="Y213" s="12"/>
      <c r="Z213" s="12"/>
      <c r="AA213" s="12">
        <v>4.0</v>
      </c>
      <c r="AB213" s="12"/>
      <c r="AC213" s="12"/>
      <c r="AD213" s="12"/>
      <c r="AE213" s="12"/>
      <c r="AF213" s="12"/>
      <c r="AG213" s="12"/>
      <c r="AH213" s="12"/>
      <c r="AI213" s="12"/>
      <c r="AJ213" s="12"/>
    </row>
    <row r="214">
      <c r="A214" s="12" t="s">
        <v>122</v>
      </c>
      <c r="B214" s="12" t="s">
        <v>123</v>
      </c>
      <c r="C214" s="12">
        <v>0.0</v>
      </c>
      <c r="D214" s="12">
        <v>12.0</v>
      </c>
      <c r="E214" s="12">
        <v>12.0</v>
      </c>
      <c r="F214" s="13">
        <v>1.0</v>
      </c>
      <c r="G214" s="12" t="s">
        <v>33</v>
      </c>
      <c r="H214" s="12"/>
      <c r="I214" s="12"/>
      <c r="J214" s="12"/>
      <c r="K214" s="12"/>
      <c r="L214" s="12"/>
      <c r="M214" s="12">
        <v>0.0</v>
      </c>
      <c r="N214" s="12">
        <v>0.0</v>
      </c>
      <c r="O214" s="12">
        <v>0.0</v>
      </c>
      <c r="P214" s="12">
        <v>0.0</v>
      </c>
      <c r="S214" s="4" t="s">
        <v>37</v>
      </c>
      <c r="T214" s="12">
        <v>21.0</v>
      </c>
      <c r="U214" s="12">
        <v>1.0</v>
      </c>
      <c r="V214" s="12"/>
      <c r="W214" s="12"/>
      <c r="X214" s="12"/>
      <c r="Y214" s="12"/>
      <c r="Z214" s="12">
        <v>8.0</v>
      </c>
      <c r="AA214" s="12">
        <v>12.0</v>
      </c>
      <c r="AB214" s="12"/>
      <c r="AC214" s="12"/>
      <c r="AD214" s="12"/>
      <c r="AE214" s="12"/>
      <c r="AF214" s="12"/>
      <c r="AG214" s="12"/>
      <c r="AH214" s="12"/>
      <c r="AI214" s="12"/>
      <c r="AJ214" s="12"/>
    </row>
    <row r="215">
      <c r="A215" s="12" t="s">
        <v>82</v>
      </c>
      <c r="B215" s="12" t="s">
        <v>53</v>
      </c>
      <c r="C215" s="12">
        <v>26.0</v>
      </c>
      <c r="D215" s="12">
        <v>208.0</v>
      </c>
      <c r="E215" s="12">
        <v>234.0</v>
      </c>
      <c r="F215" s="13">
        <v>0.8889</v>
      </c>
      <c r="G215" s="12" t="s">
        <v>50</v>
      </c>
      <c r="H215" s="12"/>
      <c r="I215" s="12"/>
      <c r="J215" s="12"/>
      <c r="K215" s="12"/>
      <c r="L215" s="12"/>
      <c r="M215" s="12">
        <v>2.0</v>
      </c>
      <c r="N215" s="12">
        <v>15.0</v>
      </c>
      <c r="O215" s="12">
        <v>9.0</v>
      </c>
      <c r="P215" s="12">
        <v>0.0</v>
      </c>
      <c r="S215" s="4" t="s">
        <v>98</v>
      </c>
      <c r="T215" s="12">
        <v>14.0</v>
      </c>
      <c r="U215" s="12">
        <v>1.0</v>
      </c>
      <c r="V215" s="12"/>
      <c r="W215" s="12"/>
      <c r="X215" s="12"/>
      <c r="Y215" s="12"/>
      <c r="Z215" s="12"/>
      <c r="AA215" s="12">
        <v>13.0</v>
      </c>
      <c r="AB215" s="12"/>
      <c r="AC215" s="12"/>
      <c r="AD215" s="12"/>
      <c r="AE215" s="12"/>
      <c r="AF215" s="12"/>
      <c r="AG215" s="12"/>
      <c r="AH215" s="12"/>
      <c r="AI215" s="12"/>
      <c r="AJ215" s="12"/>
    </row>
    <row r="216">
      <c r="A216" s="12" t="s">
        <v>64</v>
      </c>
      <c r="B216" s="12" t="s">
        <v>65</v>
      </c>
      <c r="C216" s="12">
        <v>12.0</v>
      </c>
      <c r="D216" s="12">
        <v>58.0</v>
      </c>
      <c r="E216" s="12">
        <v>70.0</v>
      </c>
      <c r="F216" s="13">
        <v>0.8286</v>
      </c>
      <c r="G216" s="12" t="s">
        <v>33</v>
      </c>
      <c r="H216" s="12"/>
      <c r="I216" s="12"/>
      <c r="J216" s="12"/>
      <c r="K216" s="12"/>
      <c r="L216" s="12"/>
      <c r="M216" s="12">
        <v>5.0</v>
      </c>
      <c r="N216" s="12">
        <v>0.0</v>
      </c>
      <c r="O216" s="12">
        <v>7.0</v>
      </c>
      <c r="P216" s="12">
        <v>0.0</v>
      </c>
      <c r="S216" s="4" t="s">
        <v>44</v>
      </c>
      <c r="T216" s="12">
        <v>3.0</v>
      </c>
      <c r="U216" s="12"/>
      <c r="V216" s="12"/>
      <c r="W216" s="12"/>
      <c r="X216" s="12">
        <v>3.0</v>
      </c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</row>
    <row r="217">
      <c r="A217" s="12" t="s">
        <v>42</v>
      </c>
      <c r="B217" s="12" t="s">
        <v>43</v>
      </c>
      <c r="C217" s="12">
        <v>28.0</v>
      </c>
      <c r="D217" s="12">
        <v>95.0</v>
      </c>
      <c r="E217" s="12">
        <v>123.0</v>
      </c>
      <c r="F217" s="13">
        <v>0.7724</v>
      </c>
      <c r="G217" s="12" t="s">
        <v>33</v>
      </c>
      <c r="H217" s="12"/>
      <c r="I217" s="12"/>
      <c r="J217" s="12"/>
      <c r="K217" s="12"/>
      <c r="L217" s="12"/>
      <c r="M217" s="12">
        <v>5.0</v>
      </c>
      <c r="N217" s="12">
        <v>8.0</v>
      </c>
      <c r="O217" s="12">
        <v>15.0</v>
      </c>
      <c r="P217" s="12">
        <v>0.0</v>
      </c>
      <c r="S217" s="4" t="s">
        <v>57</v>
      </c>
      <c r="T217" s="12">
        <v>1.0</v>
      </c>
      <c r="U217" s="12"/>
      <c r="V217" s="12"/>
      <c r="W217" s="12"/>
      <c r="X217" s="12"/>
      <c r="Y217" s="12"/>
      <c r="Z217" s="12">
        <v>1.0</v>
      </c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</row>
    <row r="218">
      <c r="A218" s="12" t="s">
        <v>45</v>
      </c>
      <c r="B218" s="12" t="s">
        <v>102</v>
      </c>
      <c r="C218" s="12">
        <v>20.0</v>
      </c>
      <c r="D218" s="12">
        <v>75.0</v>
      </c>
      <c r="E218" s="12">
        <v>95.0</v>
      </c>
      <c r="F218" s="13">
        <v>0.7895</v>
      </c>
      <c r="G218" s="12" t="s">
        <v>33</v>
      </c>
      <c r="H218" s="12"/>
      <c r="I218" s="12"/>
      <c r="J218" s="12"/>
      <c r="K218" s="12"/>
      <c r="L218" s="12"/>
      <c r="M218" s="12">
        <v>5.0</v>
      </c>
      <c r="N218" s="12">
        <v>4.0</v>
      </c>
      <c r="O218" s="12">
        <v>11.0</v>
      </c>
      <c r="P218" s="12">
        <v>0.0</v>
      </c>
      <c r="S218" s="4" t="s">
        <v>120</v>
      </c>
      <c r="T218" s="12">
        <v>4.0</v>
      </c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>
        <v>4.0</v>
      </c>
      <c r="AJ218" s="12"/>
    </row>
    <row r="219">
      <c r="A219" s="12" t="s">
        <v>124</v>
      </c>
      <c r="B219" s="12" t="s">
        <v>125</v>
      </c>
      <c r="C219" s="12">
        <v>0.0</v>
      </c>
      <c r="D219" s="12">
        <v>1.0</v>
      </c>
      <c r="E219" s="12">
        <v>1.0</v>
      </c>
      <c r="F219" s="13">
        <v>1.0</v>
      </c>
      <c r="G219" s="12" t="s">
        <v>33</v>
      </c>
      <c r="H219" s="12"/>
      <c r="I219" s="12"/>
      <c r="J219" s="12"/>
      <c r="K219" s="12"/>
      <c r="L219" s="12"/>
      <c r="M219" s="12">
        <v>0.0</v>
      </c>
      <c r="N219" s="12">
        <v>0.0</v>
      </c>
      <c r="O219" s="12">
        <v>0.0</v>
      </c>
      <c r="P219" s="12">
        <v>0.0</v>
      </c>
      <c r="S219" s="4" t="s">
        <v>95</v>
      </c>
      <c r="T219" s="12">
        <v>25.0</v>
      </c>
      <c r="U219" s="12"/>
      <c r="V219" s="12"/>
      <c r="W219" s="12"/>
      <c r="X219" s="12">
        <v>24.0</v>
      </c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</row>
    <row r="220">
      <c r="A220" s="12" t="s">
        <v>31</v>
      </c>
      <c r="B220" s="12" t="s">
        <v>116</v>
      </c>
      <c r="C220" s="12">
        <v>3.0</v>
      </c>
      <c r="D220" s="12">
        <v>0.0</v>
      </c>
      <c r="E220" s="12">
        <v>3.0</v>
      </c>
      <c r="F220" s="13">
        <v>0.0</v>
      </c>
      <c r="G220" s="12" t="s">
        <v>33</v>
      </c>
      <c r="H220" s="12"/>
      <c r="I220" s="12"/>
      <c r="J220" s="12"/>
      <c r="K220" s="12"/>
      <c r="L220" s="12"/>
      <c r="M220" s="12">
        <v>3.0</v>
      </c>
      <c r="N220" s="12">
        <v>0.0</v>
      </c>
      <c r="O220" s="12">
        <v>0.0</v>
      </c>
      <c r="P220" s="12">
        <v>0.0</v>
      </c>
      <c r="S220" s="4" t="s">
        <v>41</v>
      </c>
      <c r="T220" s="12">
        <v>0.0</v>
      </c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</row>
    <row r="221">
      <c r="A221" s="12" t="s">
        <v>103</v>
      </c>
      <c r="B221" s="12" t="s">
        <v>104</v>
      </c>
      <c r="C221" s="12">
        <v>6.0</v>
      </c>
      <c r="D221" s="12">
        <v>1.0</v>
      </c>
      <c r="E221" s="12">
        <v>7.0</v>
      </c>
      <c r="F221" s="13">
        <v>0.1429</v>
      </c>
      <c r="G221" s="12" t="s">
        <v>50</v>
      </c>
      <c r="H221" s="12"/>
      <c r="I221" s="12"/>
      <c r="J221" s="12"/>
      <c r="K221" s="12"/>
      <c r="L221" s="12"/>
      <c r="M221" s="12">
        <v>3.0</v>
      </c>
      <c r="N221" s="12">
        <v>2.0</v>
      </c>
      <c r="O221" s="12">
        <v>1.0</v>
      </c>
      <c r="P221" s="12">
        <v>0.0</v>
      </c>
      <c r="S221" s="4" t="s">
        <v>109</v>
      </c>
      <c r="T221" s="12">
        <v>9.0</v>
      </c>
      <c r="U221" s="12"/>
      <c r="V221" s="12"/>
      <c r="W221" s="12"/>
      <c r="X221" s="12">
        <v>9.0</v>
      </c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</row>
    <row r="222">
      <c r="G222" s="29"/>
      <c r="M222" s="29"/>
      <c r="N222" s="29"/>
      <c r="O222" s="29"/>
      <c r="P222" s="29"/>
      <c r="S222" s="4" t="s">
        <v>110</v>
      </c>
      <c r="T222" s="12">
        <v>0.0</v>
      </c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</row>
    <row r="223">
      <c r="G223" s="29"/>
      <c r="M223" s="29"/>
      <c r="N223" s="29"/>
      <c r="O223" s="29"/>
      <c r="P223" s="29"/>
      <c r="S223" s="4" t="s">
        <v>47</v>
      </c>
      <c r="T223" s="12">
        <v>1.0</v>
      </c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>
        <v>1.0</v>
      </c>
      <c r="AJ223" s="12"/>
    </row>
    <row r="224">
      <c r="G224" s="29"/>
      <c r="M224" s="29"/>
      <c r="N224" s="29"/>
      <c r="O224" s="29"/>
      <c r="P224" s="29"/>
      <c r="S224" s="4" t="s">
        <v>117</v>
      </c>
      <c r="T224" s="12">
        <v>1.0</v>
      </c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>
        <v>1.0</v>
      </c>
      <c r="AJ224" s="12"/>
    </row>
    <row r="225">
      <c r="G225" s="29"/>
      <c r="M225" s="29"/>
      <c r="N225" s="29"/>
      <c r="O225" s="29"/>
      <c r="P225" s="29"/>
    </row>
    <row r="226">
      <c r="G226" s="29"/>
      <c r="M226" s="29"/>
      <c r="N226" s="29"/>
      <c r="O226" s="29"/>
      <c r="P226" s="29"/>
    </row>
    <row r="227">
      <c r="A227" s="43" t="s">
        <v>126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/>
      <c r="S227" s="43" t="s">
        <v>126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3"/>
    </row>
    <row r="228">
      <c r="A228" s="8" t="s">
        <v>5</v>
      </c>
      <c r="B228" s="9" t="s">
        <v>6</v>
      </c>
      <c r="C228" s="9" t="s">
        <v>7</v>
      </c>
      <c r="D228" s="9" t="s">
        <v>8</v>
      </c>
      <c r="E228" s="9" t="s">
        <v>9</v>
      </c>
      <c r="F228" s="9" t="s">
        <v>10</v>
      </c>
      <c r="G228" s="9" t="s">
        <v>11</v>
      </c>
      <c r="H228" s="4"/>
      <c r="I228" s="4"/>
      <c r="J228" s="4"/>
      <c r="K228" s="4"/>
      <c r="L228" s="4"/>
      <c r="M228" s="8" t="s">
        <v>12</v>
      </c>
      <c r="N228" s="9" t="s">
        <v>13</v>
      </c>
      <c r="O228" s="9" t="s">
        <v>14</v>
      </c>
      <c r="P228" s="9" t="s">
        <v>15</v>
      </c>
      <c r="S228" s="8" t="s">
        <v>16</v>
      </c>
      <c r="T228" s="9" t="s">
        <v>17</v>
      </c>
      <c r="U228" s="9" t="s">
        <v>30</v>
      </c>
    </row>
    <row r="229">
      <c r="A229" s="12" t="s">
        <v>61</v>
      </c>
      <c r="B229" s="12" t="s">
        <v>62</v>
      </c>
      <c r="C229" s="12">
        <v>2.0</v>
      </c>
      <c r="D229" s="12">
        <v>18.0</v>
      </c>
      <c r="E229" s="12">
        <v>20.0</v>
      </c>
      <c r="F229" s="13">
        <v>0.9</v>
      </c>
      <c r="G229" s="45" t="s">
        <v>40</v>
      </c>
      <c r="H229" s="4"/>
      <c r="I229" s="4"/>
      <c r="J229" s="4"/>
      <c r="K229" s="4"/>
      <c r="L229" s="4"/>
      <c r="M229" s="12">
        <v>0.0</v>
      </c>
      <c r="N229" s="12">
        <v>0.0</v>
      </c>
      <c r="O229" s="12">
        <v>2.0</v>
      </c>
      <c r="P229" s="12">
        <v>0.0</v>
      </c>
      <c r="S229" s="26" t="s">
        <v>34</v>
      </c>
      <c r="T229" s="16">
        <v>4.0</v>
      </c>
      <c r="U229" s="46" t="s">
        <v>127</v>
      </c>
    </row>
    <row r="230">
      <c r="A230" s="12" t="s">
        <v>122</v>
      </c>
      <c r="B230" s="12" t="s">
        <v>123</v>
      </c>
      <c r="C230" s="12">
        <v>0.0</v>
      </c>
      <c r="D230" s="12">
        <v>12.0</v>
      </c>
      <c r="E230" s="12">
        <v>12.0</v>
      </c>
      <c r="F230" s="13">
        <v>1.0</v>
      </c>
      <c r="G230" s="45" t="s">
        <v>40</v>
      </c>
      <c r="H230" s="4"/>
      <c r="I230" s="4"/>
      <c r="J230" s="4"/>
      <c r="K230" s="4"/>
      <c r="L230" s="4"/>
      <c r="M230" s="12">
        <v>0.0</v>
      </c>
      <c r="N230" s="12">
        <v>0.0</v>
      </c>
      <c r="O230" s="12">
        <v>0.0</v>
      </c>
      <c r="P230" s="12">
        <v>0.0</v>
      </c>
      <c r="S230" s="26" t="s">
        <v>37</v>
      </c>
      <c r="T230" s="16">
        <v>21.0</v>
      </c>
      <c r="U230" s="46" t="s">
        <v>128</v>
      </c>
    </row>
    <row r="231">
      <c r="A231" s="12" t="s">
        <v>82</v>
      </c>
      <c r="B231" s="12" t="s">
        <v>53</v>
      </c>
      <c r="C231" s="12">
        <v>18.0</v>
      </c>
      <c r="D231" s="12">
        <v>203.0</v>
      </c>
      <c r="E231" s="12">
        <v>221.0</v>
      </c>
      <c r="F231" s="13">
        <v>0.918552036199095</v>
      </c>
      <c r="G231" s="17" t="s">
        <v>50</v>
      </c>
      <c r="H231" s="4"/>
      <c r="I231" s="4"/>
      <c r="J231" s="4"/>
      <c r="K231" s="4"/>
      <c r="L231" s="4"/>
      <c r="M231" s="12">
        <v>0.0</v>
      </c>
      <c r="N231" s="12">
        <v>13.0</v>
      </c>
      <c r="O231" s="12">
        <v>5.0</v>
      </c>
      <c r="P231" s="12">
        <v>0.0</v>
      </c>
      <c r="S231" s="26" t="s">
        <v>98</v>
      </c>
      <c r="T231" s="16">
        <v>15.0</v>
      </c>
      <c r="U231" s="46" t="s">
        <v>129</v>
      </c>
    </row>
    <row r="232">
      <c r="A232" s="12" t="s">
        <v>64</v>
      </c>
      <c r="B232" s="12" t="s">
        <v>65</v>
      </c>
      <c r="C232" s="12">
        <v>12.0</v>
      </c>
      <c r="D232" s="12">
        <v>58.0</v>
      </c>
      <c r="E232" s="12">
        <v>70.0</v>
      </c>
      <c r="F232" s="13">
        <v>0.8285714285714286</v>
      </c>
      <c r="G232" s="47" t="s">
        <v>33</v>
      </c>
      <c r="H232" s="4"/>
      <c r="I232" s="4"/>
      <c r="J232" s="4"/>
      <c r="K232" s="4"/>
      <c r="L232" s="4"/>
      <c r="M232" s="12">
        <v>5.0</v>
      </c>
      <c r="N232" s="12">
        <v>0.0</v>
      </c>
      <c r="O232" s="12">
        <v>7.0</v>
      </c>
      <c r="P232" s="12">
        <v>0.0</v>
      </c>
      <c r="S232" s="26" t="s">
        <v>44</v>
      </c>
      <c r="T232" s="16">
        <v>16.0</v>
      </c>
      <c r="U232" s="46" t="s">
        <v>130</v>
      </c>
    </row>
    <row r="233">
      <c r="A233" s="12" t="s">
        <v>45</v>
      </c>
      <c r="B233" s="12" t="s">
        <v>102</v>
      </c>
      <c r="C233" s="12">
        <v>20.0</v>
      </c>
      <c r="D233" s="12">
        <v>75.0</v>
      </c>
      <c r="E233" s="12">
        <v>95.0</v>
      </c>
      <c r="F233" s="13">
        <v>0.7894736842105263</v>
      </c>
      <c r="G233" s="45" t="s">
        <v>40</v>
      </c>
      <c r="H233" s="4"/>
      <c r="I233" s="4"/>
      <c r="J233" s="4"/>
      <c r="K233" s="4"/>
      <c r="L233" s="4"/>
      <c r="M233" s="12">
        <v>5.0</v>
      </c>
      <c r="N233" s="12">
        <v>4.0</v>
      </c>
      <c r="O233" s="12">
        <v>11.0</v>
      </c>
      <c r="P233" s="12">
        <v>0.0</v>
      </c>
      <c r="S233" s="26" t="s">
        <v>57</v>
      </c>
      <c r="T233" s="16">
        <v>8.0</v>
      </c>
      <c r="U233" s="46" t="s">
        <v>131</v>
      </c>
    </row>
    <row r="234">
      <c r="A234" s="12" t="s">
        <v>124</v>
      </c>
      <c r="B234" s="12" t="s">
        <v>125</v>
      </c>
      <c r="C234" s="12">
        <v>0.0</v>
      </c>
      <c r="D234" s="12">
        <v>1.0</v>
      </c>
      <c r="E234" s="12">
        <v>1.0</v>
      </c>
      <c r="F234" s="13">
        <v>1.0</v>
      </c>
      <c r="G234" s="47" t="s">
        <v>33</v>
      </c>
      <c r="H234" s="4"/>
      <c r="I234" s="4"/>
      <c r="J234" s="4"/>
      <c r="K234" s="4"/>
      <c r="L234" s="4"/>
      <c r="M234" s="12">
        <v>0.0</v>
      </c>
      <c r="N234" s="12">
        <v>0.0</v>
      </c>
      <c r="O234" s="12">
        <v>0.0</v>
      </c>
      <c r="P234" s="12">
        <v>0.0</v>
      </c>
      <c r="S234" s="4" t="s">
        <v>120</v>
      </c>
      <c r="T234" s="16">
        <v>2.0</v>
      </c>
      <c r="U234" s="46" t="s">
        <v>132</v>
      </c>
    </row>
    <row r="235">
      <c r="A235" s="12" t="s">
        <v>31</v>
      </c>
      <c r="B235" s="12" t="s">
        <v>116</v>
      </c>
      <c r="C235" s="12">
        <v>3.0</v>
      </c>
      <c r="D235" s="12">
        <v>0.0</v>
      </c>
      <c r="E235" s="12">
        <v>3.0</v>
      </c>
      <c r="F235" s="13">
        <v>0.0</v>
      </c>
      <c r="G235" s="17" t="s">
        <v>50</v>
      </c>
      <c r="H235" s="4"/>
      <c r="I235" s="4"/>
      <c r="J235" s="4"/>
      <c r="K235" s="4"/>
      <c r="L235" s="4"/>
      <c r="M235" s="12">
        <v>3.0</v>
      </c>
      <c r="N235" s="12">
        <v>0.0</v>
      </c>
      <c r="O235" s="12">
        <v>0.0</v>
      </c>
      <c r="P235" s="12">
        <v>0.0</v>
      </c>
      <c r="S235" s="4" t="s">
        <v>95</v>
      </c>
      <c r="T235" s="16">
        <v>11.0</v>
      </c>
      <c r="U235" s="46" t="s">
        <v>133</v>
      </c>
    </row>
    <row r="236">
      <c r="A236" s="12" t="s">
        <v>103</v>
      </c>
      <c r="B236" s="12" t="s">
        <v>104</v>
      </c>
      <c r="C236" s="12">
        <v>5.0</v>
      </c>
      <c r="D236" s="12">
        <v>1.0</v>
      </c>
      <c r="E236" s="12">
        <v>6.0</v>
      </c>
      <c r="F236" s="13">
        <v>0.16666666666666666</v>
      </c>
      <c r="G236" s="17" t="s">
        <v>50</v>
      </c>
      <c r="H236" s="4"/>
      <c r="I236" s="4"/>
      <c r="J236" s="4"/>
      <c r="K236" s="4"/>
      <c r="L236" s="4"/>
      <c r="M236" s="12">
        <v>2.0</v>
      </c>
      <c r="N236" s="12">
        <v>2.0</v>
      </c>
      <c r="O236" s="12">
        <v>1.0</v>
      </c>
      <c r="P236" s="12">
        <v>0.0</v>
      </c>
      <c r="S236" s="4" t="s">
        <v>41</v>
      </c>
      <c r="T236" s="16">
        <v>0.0</v>
      </c>
      <c r="U236" s="36"/>
    </row>
    <row r="237">
      <c r="A237" s="28"/>
      <c r="G237" s="29"/>
      <c r="M237" s="29"/>
      <c r="N237" s="29"/>
      <c r="O237" s="29"/>
      <c r="P237" s="29"/>
      <c r="S237" s="4" t="s">
        <v>109</v>
      </c>
      <c r="T237" s="16">
        <v>0.0</v>
      </c>
      <c r="U237" s="36"/>
    </row>
    <row r="238">
      <c r="A238" s="28"/>
      <c r="D238" s="29"/>
      <c r="J238" s="29"/>
      <c r="M238" s="29"/>
      <c r="N238" s="29"/>
      <c r="O238" s="29"/>
      <c r="P238" s="29"/>
      <c r="S238" s="4" t="s">
        <v>110</v>
      </c>
      <c r="T238" s="16">
        <v>0.0</v>
      </c>
      <c r="U238" s="36"/>
    </row>
    <row r="239">
      <c r="A239" s="28"/>
      <c r="D239" s="29"/>
      <c r="J239" s="29"/>
      <c r="M239" s="29"/>
      <c r="N239" s="29"/>
      <c r="O239" s="29"/>
      <c r="P239" s="29"/>
      <c r="S239" s="4" t="s">
        <v>47</v>
      </c>
      <c r="T239" s="16">
        <v>2.0</v>
      </c>
      <c r="U239" s="46" t="s">
        <v>132</v>
      </c>
    </row>
    <row r="240">
      <c r="G240" s="29"/>
      <c r="M240" s="29"/>
      <c r="N240" s="29"/>
      <c r="O240" s="29"/>
      <c r="P240" s="29"/>
    </row>
    <row r="241">
      <c r="G241" s="29"/>
      <c r="M241" s="29"/>
      <c r="N241" s="29"/>
      <c r="O241" s="29"/>
      <c r="P241" s="29"/>
    </row>
    <row r="242">
      <c r="A242" s="42" t="s">
        <v>134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  <c r="S242" s="42" t="s">
        <v>135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3"/>
    </row>
    <row r="243">
      <c r="A243" s="8" t="s">
        <v>5</v>
      </c>
      <c r="B243" s="9" t="s">
        <v>6</v>
      </c>
      <c r="C243" s="9" t="s">
        <v>7</v>
      </c>
      <c r="D243" s="9" t="s">
        <v>8</v>
      </c>
      <c r="E243" s="9" t="s">
        <v>9</v>
      </c>
      <c r="F243" s="9" t="s">
        <v>10</v>
      </c>
      <c r="G243" s="9" t="s">
        <v>11</v>
      </c>
      <c r="H243" s="4"/>
      <c r="I243" s="4"/>
      <c r="J243" s="4"/>
      <c r="K243" s="4"/>
      <c r="L243" s="4"/>
      <c r="M243" s="8" t="s">
        <v>12</v>
      </c>
      <c r="N243" s="9" t="s">
        <v>13</v>
      </c>
      <c r="O243" s="9" t="s">
        <v>14</v>
      </c>
      <c r="P243" s="9" t="s">
        <v>15</v>
      </c>
      <c r="S243" s="8" t="s">
        <v>16</v>
      </c>
      <c r="T243" s="9" t="s">
        <v>17</v>
      </c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 t="s">
        <v>30</v>
      </c>
    </row>
    <row r="244">
      <c r="A244" s="12" t="s">
        <v>61</v>
      </c>
      <c r="B244" s="12" t="s">
        <v>62</v>
      </c>
      <c r="C244" s="12">
        <v>13.0</v>
      </c>
      <c r="D244" s="12">
        <v>7.0</v>
      </c>
      <c r="E244" s="12">
        <v>20.0</v>
      </c>
      <c r="F244" s="13">
        <f t="shared" ref="F244:F249" si="4">D244/E244</f>
        <v>0.35</v>
      </c>
      <c r="G244" s="12" t="s">
        <v>40</v>
      </c>
      <c r="H244" s="4"/>
      <c r="I244" s="4"/>
      <c r="J244" s="4"/>
      <c r="K244" s="4"/>
      <c r="L244" s="4"/>
      <c r="M244" s="12">
        <v>0.0</v>
      </c>
      <c r="N244" s="12">
        <v>0.0</v>
      </c>
      <c r="O244" s="12">
        <v>0.0</v>
      </c>
      <c r="P244" s="12">
        <v>13.0</v>
      </c>
      <c r="S244" s="26" t="s">
        <v>136</v>
      </c>
      <c r="T244" s="16">
        <v>0.0</v>
      </c>
      <c r="U244" s="12"/>
    </row>
    <row r="245">
      <c r="A245" s="12" t="s">
        <v>122</v>
      </c>
      <c r="B245" s="12" t="s">
        <v>123</v>
      </c>
      <c r="C245" s="12">
        <v>8.0</v>
      </c>
      <c r="D245" s="12">
        <v>4.0</v>
      </c>
      <c r="E245" s="12">
        <v>12.0</v>
      </c>
      <c r="F245" s="13">
        <f t="shared" si="4"/>
        <v>0.3333333333</v>
      </c>
      <c r="G245" s="12" t="s">
        <v>50</v>
      </c>
      <c r="H245" s="4"/>
      <c r="I245" s="4"/>
      <c r="J245" s="4"/>
      <c r="K245" s="4"/>
      <c r="L245" s="4"/>
      <c r="M245" s="12">
        <v>0.0</v>
      </c>
      <c r="N245" s="12">
        <v>0.0</v>
      </c>
      <c r="O245" s="12">
        <v>0.0</v>
      </c>
      <c r="P245" s="12">
        <v>8.0</v>
      </c>
      <c r="S245" s="26" t="s">
        <v>37</v>
      </c>
      <c r="T245" s="16">
        <v>19.0</v>
      </c>
      <c r="U245" s="12" t="s">
        <v>137</v>
      </c>
    </row>
    <row r="246">
      <c r="A246" s="12" t="s">
        <v>82</v>
      </c>
      <c r="B246" s="12" t="s">
        <v>53</v>
      </c>
      <c r="C246" s="12">
        <v>4.0</v>
      </c>
      <c r="D246" s="12">
        <v>189.0</v>
      </c>
      <c r="E246" s="12">
        <v>193.0</v>
      </c>
      <c r="F246" s="13">
        <f t="shared" si="4"/>
        <v>0.9792746114</v>
      </c>
      <c r="G246" s="12" t="s">
        <v>40</v>
      </c>
      <c r="H246" s="4"/>
      <c r="I246" s="4"/>
      <c r="J246" s="4"/>
      <c r="K246" s="4"/>
      <c r="L246" s="4"/>
      <c r="M246" s="12">
        <v>1.0</v>
      </c>
      <c r="N246" s="12">
        <v>2.0</v>
      </c>
      <c r="O246" s="12">
        <v>1.0</v>
      </c>
      <c r="P246" s="12">
        <v>0.0</v>
      </c>
      <c r="S246" s="26" t="s">
        <v>98</v>
      </c>
      <c r="T246" s="16">
        <v>16.0</v>
      </c>
      <c r="U246" s="12" t="s">
        <v>138</v>
      </c>
    </row>
    <row r="247">
      <c r="A247" s="12" t="s">
        <v>64</v>
      </c>
      <c r="B247" s="12" t="s">
        <v>65</v>
      </c>
      <c r="C247" s="12">
        <v>12.0</v>
      </c>
      <c r="D247" s="12">
        <v>58.0</v>
      </c>
      <c r="E247" s="12">
        <v>70.0</v>
      </c>
      <c r="F247" s="13">
        <f t="shared" si="4"/>
        <v>0.8285714286</v>
      </c>
      <c r="G247" s="12" t="s">
        <v>33</v>
      </c>
      <c r="H247" s="4"/>
      <c r="I247" s="4"/>
      <c r="J247" s="4"/>
      <c r="K247" s="4"/>
      <c r="L247" s="4"/>
      <c r="M247" s="12">
        <v>4.0</v>
      </c>
      <c r="N247" s="12">
        <v>0.0</v>
      </c>
      <c r="O247" s="12">
        <v>8.0</v>
      </c>
      <c r="P247" s="12">
        <v>0.0</v>
      </c>
      <c r="S247" s="26" t="s">
        <v>44</v>
      </c>
      <c r="T247" s="16">
        <v>4.0</v>
      </c>
      <c r="U247" s="12" t="s">
        <v>139</v>
      </c>
    </row>
    <row r="248">
      <c r="A248" s="12" t="s">
        <v>45</v>
      </c>
      <c r="B248" s="12" t="s">
        <v>102</v>
      </c>
      <c r="C248" s="12">
        <v>22.0</v>
      </c>
      <c r="D248" s="12">
        <v>64.0</v>
      </c>
      <c r="E248" s="12">
        <v>86.0</v>
      </c>
      <c r="F248" s="13">
        <f t="shared" si="4"/>
        <v>0.7441860465</v>
      </c>
      <c r="G248" s="12" t="s">
        <v>50</v>
      </c>
      <c r="H248" s="4"/>
      <c r="I248" s="4"/>
      <c r="J248" s="4"/>
      <c r="K248" s="4"/>
      <c r="L248" s="4"/>
      <c r="M248" s="12">
        <v>1.0</v>
      </c>
      <c r="N248" s="12">
        <v>5.0</v>
      </c>
      <c r="O248" s="12">
        <v>16.0</v>
      </c>
      <c r="P248" s="12">
        <v>0.0</v>
      </c>
      <c r="S248" s="26" t="s">
        <v>57</v>
      </c>
      <c r="T248" s="16">
        <v>5.0</v>
      </c>
      <c r="U248" s="12" t="s">
        <v>140</v>
      </c>
    </row>
    <row r="249">
      <c r="A249" s="12" t="s">
        <v>124</v>
      </c>
      <c r="B249" s="12" t="s">
        <v>125</v>
      </c>
      <c r="C249" s="12">
        <v>0.0</v>
      </c>
      <c r="D249" s="12">
        <v>1.0</v>
      </c>
      <c r="E249" s="12">
        <v>1.0</v>
      </c>
      <c r="F249" s="13">
        <f t="shared" si="4"/>
        <v>1</v>
      </c>
      <c r="G249" s="12" t="s">
        <v>33</v>
      </c>
      <c r="H249" s="4"/>
      <c r="I249" s="4"/>
      <c r="J249" s="4"/>
      <c r="K249" s="4"/>
      <c r="L249" s="4"/>
      <c r="M249" s="12">
        <v>0.0</v>
      </c>
      <c r="N249" s="12">
        <v>0.0</v>
      </c>
      <c r="O249" s="12">
        <v>0.0</v>
      </c>
      <c r="P249" s="12">
        <v>0.0</v>
      </c>
      <c r="S249" s="4" t="s">
        <v>141</v>
      </c>
      <c r="T249" s="16">
        <v>0.0</v>
      </c>
      <c r="U249" s="12"/>
    </row>
    <row r="250">
      <c r="G250" s="29"/>
      <c r="M250" s="29"/>
      <c r="N250" s="29"/>
      <c r="O250" s="29"/>
      <c r="P250" s="29"/>
      <c r="S250" s="4" t="s">
        <v>95</v>
      </c>
      <c r="T250" s="16">
        <v>0.0</v>
      </c>
      <c r="U250" s="12"/>
    </row>
    <row r="251">
      <c r="G251" s="29"/>
      <c r="M251" s="29"/>
      <c r="N251" s="29"/>
      <c r="O251" s="29"/>
      <c r="P251" s="29"/>
      <c r="S251" s="4" t="s">
        <v>41</v>
      </c>
      <c r="T251" s="16">
        <v>0.0</v>
      </c>
      <c r="U251" s="12"/>
    </row>
    <row r="252">
      <c r="G252" s="29"/>
      <c r="M252" s="29"/>
      <c r="N252" s="29"/>
      <c r="O252" s="29"/>
      <c r="P252" s="29"/>
    </row>
    <row r="253">
      <c r="A253" s="42" t="s">
        <v>142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"/>
      <c r="S253" s="42" t="s">
        <v>143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3"/>
    </row>
    <row r="254">
      <c r="A254" s="8" t="s">
        <v>5</v>
      </c>
      <c r="B254" s="9" t="s">
        <v>6</v>
      </c>
      <c r="C254" s="9" t="s">
        <v>7</v>
      </c>
      <c r="D254" s="9" t="s">
        <v>8</v>
      </c>
      <c r="E254" s="9" t="s">
        <v>9</v>
      </c>
      <c r="F254" s="9" t="s">
        <v>10</v>
      </c>
      <c r="G254" s="9" t="s">
        <v>11</v>
      </c>
      <c r="H254" s="4"/>
      <c r="I254" s="4"/>
      <c r="J254" s="4"/>
      <c r="K254" s="4"/>
      <c r="L254" s="4"/>
      <c r="M254" s="8" t="s">
        <v>12</v>
      </c>
      <c r="N254" s="9" t="s">
        <v>13</v>
      </c>
      <c r="O254" s="9" t="s">
        <v>14</v>
      </c>
      <c r="P254" s="9" t="s">
        <v>144</v>
      </c>
      <c r="S254" s="8" t="s">
        <v>16</v>
      </c>
      <c r="T254" s="9" t="s">
        <v>17</v>
      </c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 t="s">
        <v>30</v>
      </c>
    </row>
    <row r="255">
      <c r="A255" s="12" t="s">
        <v>61</v>
      </c>
      <c r="B255" s="12" t="s">
        <v>62</v>
      </c>
      <c r="C255" s="12">
        <v>8.0</v>
      </c>
      <c r="D255" s="12">
        <v>4.0</v>
      </c>
      <c r="E255" s="12">
        <v>12.0</v>
      </c>
      <c r="F255" s="13">
        <f t="shared" ref="F255:F261" si="5">D255/E255</f>
        <v>0.3333333333</v>
      </c>
      <c r="G255" s="12" t="s">
        <v>33</v>
      </c>
      <c r="H255" s="4"/>
      <c r="I255" s="4"/>
      <c r="J255" s="4"/>
      <c r="K255" s="4"/>
      <c r="L255" s="4"/>
      <c r="M255" s="12"/>
      <c r="N255" s="12"/>
      <c r="O255" s="12"/>
      <c r="P255" s="12">
        <v>8.0</v>
      </c>
      <c r="S255" s="26" t="s">
        <v>37</v>
      </c>
      <c r="T255" s="16">
        <v>17.0</v>
      </c>
      <c r="U255" s="12" t="s">
        <v>145</v>
      </c>
    </row>
    <row r="256">
      <c r="A256" s="12" t="s">
        <v>122</v>
      </c>
      <c r="B256" s="12" t="s">
        <v>123</v>
      </c>
      <c r="C256" s="12">
        <v>5.0</v>
      </c>
      <c r="D256" s="12">
        <v>3.0</v>
      </c>
      <c r="E256" s="12">
        <v>8.0</v>
      </c>
      <c r="F256" s="13">
        <f t="shared" si="5"/>
        <v>0.375</v>
      </c>
      <c r="G256" s="12" t="s">
        <v>33</v>
      </c>
      <c r="H256" s="4"/>
      <c r="I256" s="4"/>
      <c r="J256" s="4"/>
      <c r="K256" s="4"/>
      <c r="L256" s="4"/>
      <c r="M256" s="12"/>
      <c r="N256" s="12"/>
      <c r="O256" s="12"/>
      <c r="P256" s="12">
        <v>5.0</v>
      </c>
      <c r="S256" s="26" t="s">
        <v>98</v>
      </c>
      <c r="T256" s="16">
        <v>15.0</v>
      </c>
      <c r="U256" s="12" t="s">
        <v>146</v>
      </c>
    </row>
    <row r="257">
      <c r="A257" s="12" t="s">
        <v>82</v>
      </c>
      <c r="B257" s="12" t="s">
        <v>53</v>
      </c>
      <c r="C257" s="12">
        <v>4.0</v>
      </c>
      <c r="D257" s="12">
        <v>187.0</v>
      </c>
      <c r="E257" s="12">
        <v>191.0</v>
      </c>
      <c r="F257" s="13">
        <f t="shared" si="5"/>
        <v>0.9790575916</v>
      </c>
      <c r="G257" s="12" t="s">
        <v>40</v>
      </c>
      <c r="H257" s="4"/>
      <c r="I257" s="4"/>
      <c r="J257" s="4"/>
      <c r="K257" s="4"/>
      <c r="L257" s="4"/>
      <c r="M257" s="12">
        <v>2.0</v>
      </c>
      <c r="N257" s="12"/>
      <c r="O257" s="12">
        <v>2.0</v>
      </c>
      <c r="P257" s="12"/>
      <c r="S257" s="26" t="s">
        <v>44</v>
      </c>
      <c r="T257" s="16">
        <v>4.0</v>
      </c>
      <c r="U257" s="12" t="s">
        <v>139</v>
      </c>
    </row>
    <row r="258">
      <c r="A258" s="12" t="s">
        <v>64</v>
      </c>
      <c r="B258" s="12" t="s">
        <v>65</v>
      </c>
      <c r="C258" s="12">
        <v>12.0</v>
      </c>
      <c r="D258" s="12">
        <v>58.0</v>
      </c>
      <c r="E258" s="12">
        <v>70.0</v>
      </c>
      <c r="F258" s="13">
        <f t="shared" si="5"/>
        <v>0.8285714286</v>
      </c>
      <c r="G258" s="12" t="s">
        <v>33</v>
      </c>
      <c r="H258" s="4"/>
      <c r="I258" s="4"/>
      <c r="J258" s="4"/>
      <c r="K258" s="4"/>
      <c r="L258" s="4"/>
      <c r="M258" s="12">
        <v>4.0</v>
      </c>
      <c r="N258" s="12"/>
      <c r="O258" s="12">
        <v>8.0</v>
      </c>
      <c r="P258" s="12"/>
      <c r="S258" s="26" t="s">
        <v>57</v>
      </c>
      <c r="T258" s="16">
        <v>5.0</v>
      </c>
      <c r="U258" s="12" t="s">
        <v>140</v>
      </c>
    </row>
    <row r="259">
      <c r="A259" s="12" t="s">
        <v>42</v>
      </c>
      <c r="B259" s="12" t="s">
        <v>43</v>
      </c>
      <c r="C259" s="12">
        <v>9.0</v>
      </c>
      <c r="D259" s="12">
        <v>19.0</v>
      </c>
      <c r="E259" s="12">
        <v>28.0</v>
      </c>
      <c r="F259" s="13">
        <f t="shared" si="5"/>
        <v>0.6785714286</v>
      </c>
      <c r="G259" s="12" t="s">
        <v>50</v>
      </c>
      <c r="H259" s="4"/>
      <c r="I259" s="4"/>
      <c r="J259" s="4"/>
      <c r="K259" s="4"/>
      <c r="L259" s="4"/>
      <c r="M259" s="12"/>
      <c r="N259" s="12">
        <v>5.0</v>
      </c>
      <c r="O259" s="12">
        <v>4.0</v>
      </c>
      <c r="P259" s="12"/>
    </row>
    <row r="260">
      <c r="A260" s="12" t="s">
        <v>45</v>
      </c>
      <c r="B260" s="12" t="s">
        <v>102</v>
      </c>
      <c r="C260" s="12">
        <v>14.0</v>
      </c>
      <c r="D260" s="12">
        <v>64.0</v>
      </c>
      <c r="E260" s="12">
        <v>78.0</v>
      </c>
      <c r="F260" s="13">
        <f t="shared" si="5"/>
        <v>0.8205128205</v>
      </c>
      <c r="G260" s="12" t="s">
        <v>50</v>
      </c>
      <c r="H260" s="4"/>
      <c r="I260" s="4"/>
      <c r="J260" s="4"/>
      <c r="K260" s="4"/>
      <c r="L260" s="4"/>
      <c r="M260" s="12"/>
      <c r="N260" s="12">
        <v>3.0</v>
      </c>
      <c r="O260" s="12">
        <v>11.0</v>
      </c>
      <c r="P260" s="12"/>
    </row>
    <row r="261">
      <c r="A261" s="12" t="s">
        <v>124</v>
      </c>
      <c r="B261" s="12" t="s">
        <v>125</v>
      </c>
      <c r="C261" s="12">
        <v>0.0</v>
      </c>
      <c r="D261" s="12">
        <v>1.0</v>
      </c>
      <c r="E261" s="12">
        <v>1.0</v>
      </c>
      <c r="F261" s="13">
        <f t="shared" si="5"/>
        <v>1</v>
      </c>
      <c r="G261" s="12" t="s">
        <v>33</v>
      </c>
      <c r="H261" s="4"/>
      <c r="I261" s="4"/>
      <c r="J261" s="4"/>
      <c r="K261" s="4"/>
      <c r="L261" s="4"/>
      <c r="M261" s="12"/>
      <c r="N261" s="12"/>
      <c r="O261" s="12"/>
      <c r="P261" s="12"/>
    </row>
    <row r="262">
      <c r="G262" s="29"/>
      <c r="M262" s="29"/>
      <c r="N262" s="29"/>
      <c r="O262" s="29"/>
      <c r="P262" s="29"/>
    </row>
    <row r="263">
      <c r="A263" s="42" t="s">
        <v>147</v>
      </c>
      <c r="B263" s="2"/>
      <c r="C263" s="2"/>
      <c r="D263" s="2"/>
      <c r="E263" s="2"/>
      <c r="F263" s="2"/>
      <c r="G263" s="3"/>
      <c r="M263" s="29"/>
      <c r="N263" s="29"/>
      <c r="O263" s="29"/>
      <c r="P263" s="29"/>
      <c r="S263" s="1" t="s">
        <v>2</v>
      </c>
      <c r="T263" s="3"/>
    </row>
    <row r="264">
      <c r="A264" s="8" t="s">
        <v>5</v>
      </c>
      <c r="B264" s="9"/>
      <c r="C264" s="9" t="s">
        <v>7</v>
      </c>
      <c r="D264" s="9" t="s">
        <v>8</v>
      </c>
      <c r="E264" s="9" t="s">
        <v>9</v>
      </c>
      <c r="F264" s="9" t="s">
        <v>10</v>
      </c>
      <c r="G264" s="9" t="s">
        <v>11</v>
      </c>
      <c r="M264" s="29"/>
      <c r="N264" s="29"/>
      <c r="O264" s="29"/>
      <c r="P264" s="29"/>
      <c r="S264" s="8" t="s">
        <v>16</v>
      </c>
      <c r="T264" s="9" t="s">
        <v>17</v>
      </c>
    </row>
    <row r="265">
      <c r="A265" s="12" t="s">
        <v>61</v>
      </c>
      <c r="B265" s="12" t="s">
        <v>62</v>
      </c>
      <c r="C265" s="12">
        <v>8.0</v>
      </c>
      <c r="D265" s="12">
        <v>4.0</v>
      </c>
      <c r="E265" s="12">
        <v>12.0</v>
      </c>
      <c r="F265" s="13">
        <f t="shared" ref="F265:F271" si="6">D265/E265</f>
        <v>0.3333333333</v>
      </c>
      <c r="G265" s="12" t="s">
        <v>50</v>
      </c>
      <c r="M265" s="29"/>
      <c r="N265" s="29"/>
      <c r="O265" s="29"/>
      <c r="P265" s="29"/>
      <c r="S265" s="4" t="s">
        <v>37</v>
      </c>
      <c r="T265" s="4">
        <v>73.0</v>
      </c>
    </row>
    <row r="266">
      <c r="A266" s="12" t="s">
        <v>122</v>
      </c>
      <c r="B266" s="12" t="s">
        <v>123</v>
      </c>
      <c r="C266" s="12">
        <v>5.0</v>
      </c>
      <c r="D266" s="12">
        <v>3.0</v>
      </c>
      <c r="E266" s="12">
        <v>8.0</v>
      </c>
      <c r="F266" s="13">
        <f t="shared" si="6"/>
        <v>0.375</v>
      </c>
      <c r="G266" s="12" t="s">
        <v>40</v>
      </c>
      <c r="M266" s="29"/>
      <c r="N266" s="29"/>
      <c r="O266" s="29"/>
      <c r="P266" s="29"/>
      <c r="S266" s="4" t="s">
        <v>98</v>
      </c>
      <c r="T266" s="4">
        <v>58.0</v>
      </c>
    </row>
    <row r="267">
      <c r="A267" s="12" t="s">
        <v>82</v>
      </c>
      <c r="B267" s="12" t="s">
        <v>53</v>
      </c>
      <c r="C267" s="12">
        <v>18.0</v>
      </c>
      <c r="D267" s="12">
        <v>171.0</v>
      </c>
      <c r="E267" s="12">
        <v>189.0</v>
      </c>
      <c r="F267" s="13">
        <f t="shared" si="6"/>
        <v>0.9047619048</v>
      </c>
      <c r="G267" s="12" t="s">
        <v>50</v>
      </c>
      <c r="M267" s="29"/>
      <c r="N267" s="29"/>
      <c r="O267" s="29"/>
      <c r="P267" s="29"/>
      <c r="S267" s="4" t="s">
        <v>44</v>
      </c>
      <c r="T267" s="4">
        <v>28.0</v>
      </c>
    </row>
    <row r="268">
      <c r="A268" s="12" t="s">
        <v>64</v>
      </c>
      <c r="B268" s="12" t="s">
        <v>65</v>
      </c>
      <c r="C268" s="12">
        <v>12.0</v>
      </c>
      <c r="D268" s="12">
        <v>58.0</v>
      </c>
      <c r="E268" s="12">
        <v>70.0</v>
      </c>
      <c r="F268" s="13">
        <f t="shared" si="6"/>
        <v>0.8285714286</v>
      </c>
      <c r="G268" s="12" t="s">
        <v>40</v>
      </c>
      <c r="M268" s="29"/>
      <c r="N268" s="29"/>
      <c r="O268" s="29"/>
      <c r="P268" s="29"/>
      <c r="S268" s="4" t="s">
        <v>57</v>
      </c>
      <c r="T268" s="4">
        <v>26.0</v>
      </c>
    </row>
    <row r="269">
      <c r="A269" s="12" t="s">
        <v>42</v>
      </c>
      <c r="B269" s="12" t="s">
        <v>43</v>
      </c>
      <c r="C269" s="12">
        <v>7.0</v>
      </c>
      <c r="D269" s="12">
        <v>20.0</v>
      </c>
      <c r="E269" s="12">
        <v>27.0</v>
      </c>
      <c r="F269" s="13">
        <f t="shared" si="6"/>
        <v>0.7407407407</v>
      </c>
      <c r="G269" s="12" t="s">
        <v>33</v>
      </c>
      <c r="M269" s="29"/>
      <c r="N269" s="29"/>
      <c r="O269" s="29"/>
      <c r="P269" s="29"/>
      <c r="S269" s="4" t="s">
        <v>136</v>
      </c>
      <c r="T269" s="4">
        <v>12.0</v>
      </c>
    </row>
    <row r="270">
      <c r="A270" s="12" t="s">
        <v>45</v>
      </c>
      <c r="B270" s="12" t="s">
        <v>102</v>
      </c>
      <c r="C270" s="12">
        <v>10.0</v>
      </c>
      <c r="D270" s="12">
        <v>60.0</v>
      </c>
      <c r="E270" s="12">
        <v>70.0</v>
      </c>
      <c r="F270" s="13">
        <f t="shared" si="6"/>
        <v>0.8571428571</v>
      </c>
      <c r="G270" s="12" t="s">
        <v>50</v>
      </c>
      <c r="M270" s="29"/>
      <c r="N270" s="29"/>
      <c r="O270" s="29"/>
      <c r="P270" s="29"/>
      <c r="S270" s="4" t="s">
        <v>148</v>
      </c>
      <c r="T270" s="4">
        <v>3.0</v>
      </c>
    </row>
    <row r="271">
      <c r="A271" s="12" t="s">
        <v>124</v>
      </c>
      <c r="B271" s="12" t="s">
        <v>125</v>
      </c>
      <c r="C271" s="12">
        <v>0.0</v>
      </c>
      <c r="D271" s="12">
        <v>1.0</v>
      </c>
      <c r="E271" s="12">
        <v>1.0</v>
      </c>
      <c r="F271" s="13">
        <f t="shared" si="6"/>
        <v>1</v>
      </c>
      <c r="G271" s="12" t="s">
        <v>33</v>
      </c>
      <c r="M271" s="29"/>
      <c r="N271" s="29"/>
      <c r="O271" s="29"/>
      <c r="P271" s="29"/>
      <c r="S271" s="4" t="s">
        <v>149</v>
      </c>
      <c r="T271" s="4">
        <v>1.0</v>
      </c>
    </row>
    <row r="272">
      <c r="G272" s="29"/>
      <c r="M272" s="29"/>
      <c r="N272" s="29"/>
      <c r="O272" s="29"/>
      <c r="P272" s="29"/>
    </row>
    <row r="273">
      <c r="A273" s="42" t="s">
        <v>150</v>
      </c>
      <c r="B273" s="2"/>
      <c r="C273" s="2"/>
      <c r="D273" s="2"/>
      <c r="E273" s="2"/>
      <c r="F273" s="3"/>
      <c r="G273" s="29"/>
      <c r="M273" s="29"/>
      <c r="N273" s="29"/>
      <c r="O273" s="29"/>
      <c r="P273" s="29"/>
    </row>
    <row r="274">
      <c r="A274" s="8" t="s">
        <v>5</v>
      </c>
      <c r="B274" s="9"/>
      <c r="C274" s="9" t="s">
        <v>7</v>
      </c>
      <c r="D274" s="9" t="s">
        <v>8</v>
      </c>
      <c r="E274" s="9" t="s">
        <v>9</v>
      </c>
      <c r="F274" s="9" t="s">
        <v>10</v>
      </c>
      <c r="G274" s="29"/>
      <c r="M274" s="29"/>
      <c r="N274" s="29"/>
      <c r="O274" s="29"/>
      <c r="P274" s="29"/>
    </row>
    <row r="275">
      <c r="A275" s="12" t="s">
        <v>61</v>
      </c>
      <c r="B275" s="12" t="s">
        <v>62</v>
      </c>
      <c r="C275" s="12">
        <v>5.0</v>
      </c>
      <c r="D275" s="12">
        <v>3.0</v>
      </c>
      <c r="E275" s="12">
        <v>8.0</v>
      </c>
      <c r="F275" s="13">
        <f t="shared" ref="F275:F281" si="7">D275/E275</f>
        <v>0.375</v>
      </c>
      <c r="G275" s="29"/>
      <c r="I275" s="9" t="s">
        <v>151</v>
      </c>
      <c r="J275" s="9" t="s">
        <v>152</v>
      </c>
      <c r="K275" s="9" t="s">
        <v>153</v>
      </c>
      <c r="L275" s="9" t="s">
        <v>154</v>
      </c>
      <c r="M275" s="29"/>
      <c r="N275" s="29"/>
      <c r="O275" s="29"/>
      <c r="P275" s="29"/>
    </row>
    <row r="276">
      <c r="A276" s="12" t="s">
        <v>122</v>
      </c>
      <c r="B276" s="12" t="s">
        <v>123</v>
      </c>
      <c r="C276" s="12">
        <v>8.0</v>
      </c>
      <c r="D276" s="12">
        <v>4.0</v>
      </c>
      <c r="E276" s="12">
        <v>12.0</v>
      </c>
      <c r="F276" s="13">
        <f t="shared" si="7"/>
        <v>0.3333333333</v>
      </c>
      <c r="G276" s="29"/>
      <c r="I276" s="27" t="s">
        <v>98</v>
      </c>
      <c r="J276" s="12"/>
      <c r="K276" s="12"/>
      <c r="L276" s="12"/>
      <c r="M276" s="29"/>
      <c r="N276" s="29"/>
      <c r="O276" s="29"/>
      <c r="P276" s="29"/>
    </row>
    <row r="277">
      <c r="A277" s="12" t="s">
        <v>82</v>
      </c>
      <c r="B277" s="12" t="s">
        <v>53</v>
      </c>
      <c r="C277" s="12">
        <v>17.0</v>
      </c>
      <c r="D277" s="12">
        <v>171.0</v>
      </c>
      <c r="E277" s="12">
        <v>188.0</v>
      </c>
      <c r="F277" s="13">
        <f t="shared" si="7"/>
        <v>0.9095744681</v>
      </c>
      <c r="G277" s="29"/>
      <c r="I277" s="12" t="s">
        <v>44</v>
      </c>
      <c r="J277" s="12"/>
      <c r="K277" s="12"/>
      <c r="L277" s="12"/>
      <c r="M277" s="29"/>
      <c r="N277" s="29"/>
      <c r="O277" s="29"/>
      <c r="P277" s="29"/>
    </row>
    <row r="278" ht="14.25" customHeight="1">
      <c r="A278" s="12" t="s">
        <v>64</v>
      </c>
      <c r="B278" s="12" t="s">
        <v>65</v>
      </c>
      <c r="C278" s="12">
        <v>25.0</v>
      </c>
      <c r="D278" s="12">
        <v>45.0</v>
      </c>
      <c r="E278" s="12">
        <v>70.0</v>
      </c>
      <c r="F278" s="13">
        <f t="shared" si="7"/>
        <v>0.6428571429</v>
      </c>
      <c r="G278" s="29"/>
      <c r="I278" s="27" t="s">
        <v>37</v>
      </c>
      <c r="J278" s="12"/>
      <c r="K278" s="12"/>
      <c r="L278" s="12"/>
      <c r="M278" s="29"/>
      <c r="N278" s="29"/>
      <c r="O278" s="29"/>
      <c r="P278" s="29"/>
    </row>
    <row r="279" ht="14.25" customHeight="1">
      <c r="A279" s="12" t="s">
        <v>42</v>
      </c>
      <c r="B279" s="12" t="s">
        <v>43</v>
      </c>
      <c r="C279" s="12">
        <v>7.0</v>
      </c>
      <c r="D279" s="12">
        <v>20.0</v>
      </c>
      <c r="E279" s="12">
        <v>27.0</v>
      </c>
      <c r="F279" s="13">
        <f t="shared" si="7"/>
        <v>0.7407407407</v>
      </c>
      <c r="G279" s="29"/>
      <c r="I279" s="27" t="s">
        <v>136</v>
      </c>
      <c r="J279" s="12"/>
      <c r="K279" s="12"/>
      <c r="L279" s="12"/>
      <c r="M279" s="29"/>
      <c r="N279" s="29"/>
      <c r="O279" s="29"/>
      <c r="P279" s="29"/>
    </row>
    <row r="280" ht="14.25" customHeight="1">
      <c r="A280" s="12" t="s">
        <v>45</v>
      </c>
      <c r="B280" s="12" t="s">
        <v>102</v>
      </c>
      <c r="C280" s="12">
        <v>9.0</v>
      </c>
      <c r="D280" s="12">
        <v>60.0</v>
      </c>
      <c r="E280" s="12">
        <v>69.0</v>
      </c>
      <c r="F280" s="13">
        <f t="shared" si="7"/>
        <v>0.8695652174</v>
      </c>
      <c r="G280" s="29"/>
      <c r="I280" s="12" t="s">
        <v>57</v>
      </c>
      <c r="J280" s="12"/>
      <c r="K280" s="12"/>
      <c r="L280" s="12"/>
      <c r="M280" s="29"/>
      <c r="N280" s="29"/>
      <c r="O280" s="29"/>
      <c r="P280" s="29"/>
    </row>
    <row r="281" ht="14.25" customHeight="1">
      <c r="A281" s="12" t="s">
        <v>124</v>
      </c>
      <c r="B281" s="12" t="s">
        <v>125</v>
      </c>
      <c r="C281" s="12">
        <v>0.0</v>
      </c>
      <c r="D281" s="12">
        <v>1.0</v>
      </c>
      <c r="E281" s="12">
        <v>1.0</v>
      </c>
      <c r="F281" s="13">
        <f t="shared" si="7"/>
        <v>1</v>
      </c>
      <c r="G281" s="29"/>
      <c r="M281" s="29"/>
      <c r="N281" s="29"/>
      <c r="O281" s="29"/>
      <c r="P281" s="29"/>
    </row>
    <row r="282" ht="14.25" customHeight="1">
      <c r="G282" s="29"/>
      <c r="M282" s="29"/>
      <c r="N282" s="29"/>
      <c r="O282" s="29"/>
      <c r="P282" s="29"/>
    </row>
    <row r="283" ht="14.25" customHeight="1">
      <c r="A283" s="42" t="s">
        <v>155</v>
      </c>
      <c r="B283" s="2"/>
      <c r="C283" s="2"/>
      <c r="D283" s="2"/>
      <c r="E283" s="2"/>
      <c r="F283" s="3"/>
      <c r="G283" s="29"/>
      <c r="M283" s="29"/>
      <c r="N283" s="29"/>
      <c r="O283" s="29"/>
      <c r="P283" s="29"/>
    </row>
    <row r="284" ht="14.25" customHeight="1">
      <c r="A284" s="8" t="s">
        <v>5</v>
      </c>
      <c r="B284" s="9"/>
      <c r="C284" s="9" t="s">
        <v>7</v>
      </c>
      <c r="D284" s="9" t="s">
        <v>8</v>
      </c>
      <c r="E284" s="9" t="s">
        <v>9</v>
      </c>
      <c r="F284" s="9" t="s">
        <v>10</v>
      </c>
      <c r="G284" s="29"/>
      <c r="M284" s="29"/>
      <c r="N284" s="29"/>
      <c r="O284" s="29"/>
      <c r="P284" s="29"/>
    </row>
    <row r="285" ht="14.25" customHeight="1">
      <c r="A285" s="12" t="s">
        <v>61</v>
      </c>
      <c r="B285" s="12" t="s">
        <v>62</v>
      </c>
      <c r="C285" s="12">
        <v>5.0</v>
      </c>
      <c r="D285" s="12">
        <v>3.0</v>
      </c>
      <c r="E285" s="12">
        <v>8.0</v>
      </c>
      <c r="F285" s="13">
        <f t="shared" ref="F285:F291" si="8">D285/E285</f>
        <v>0.375</v>
      </c>
      <c r="G285" s="29"/>
      <c r="M285" s="29"/>
      <c r="N285" s="29"/>
      <c r="O285" s="29"/>
      <c r="P285" s="29"/>
    </row>
    <row r="286" ht="14.25" customHeight="1">
      <c r="A286" s="12" t="s">
        <v>122</v>
      </c>
      <c r="B286" s="12" t="s">
        <v>123</v>
      </c>
      <c r="C286" s="12">
        <v>8.0</v>
      </c>
      <c r="D286" s="12">
        <v>4.0</v>
      </c>
      <c r="E286" s="12">
        <v>12.0</v>
      </c>
      <c r="F286" s="13">
        <f t="shared" si="8"/>
        <v>0.3333333333</v>
      </c>
      <c r="G286" s="29"/>
      <c r="M286" s="29"/>
      <c r="N286" s="29"/>
      <c r="O286" s="29"/>
      <c r="P286" s="29"/>
    </row>
    <row r="287">
      <c r="A287" s="12" t="s">
        <v>82</v>
      </c>
      <c r="B287" s="12" t="s">
        <v>53</v>
      </c>
      <c r="C287" s="12">
        <v>18.0</v>
      </c>
      <c r="D287" s="12">
        <v>169.0</v>
      </c>
      <c r="E287" s="12">
        <v>187.0</v>
      </c>
      <c r="F287" s="13">
        <f t="shared" si="8"/>
        <v>0.9037433155</v>
      </c>
      <c r="G287" s="29"/>
      <c r="M287" s="29"/>
      <c r="N287" s="29"/>
      <c r="O287" s="29"/>
      <c r="P287" s="29"/>
    </row>
    <row r="288">
      <c r="A288" s="12" t="s">
        <v>64</v>
      </c>
      <c r="B288" s="12" t="s">
        <v>65</v>
      </c>
      <c r="C288" s="46">
        <v>25.0</v>
      </c>
      <c r="D288" s="46">
        <v>45.0</v>
      </c>
      <c r="E288" s="46">
        <v>70.0</v>
      </c>
      <c r="F288" s="13">
        <f t="shared" si="8"/>
        <v>0.6428571429</v>
      </c>
      <c r="G288" s="29"/>
      <c r="M288" s="29"/>
      <c r="N288" s="29"/>
      <c r="O288" s="29"/>
      <c r="P288" s="29"/>
    </row>
    <row r="289">
      <c r="A289" s="12" t="s">
        <v>42</v>
      </c>
      <c r="B289" s="12" t="s">
        <v>43</v>
      </c>
      <c r="C289" s="12">
        <v>7.0</v>
      </c>
      <c r="D289" s="12">
        <v>20.0</v>
      </c>
      <c r="E289" s="12">
        <v>27.0</v>
      </c>
      <c r="F289" s="13">
        <f t="shared" si="8"/>
        <v>0.7407407407</v>
      </c>
      <c r="G289" s="29"/>
      <c r="M289" s="29"/>
      <c r="N289" s="29"/>
      <c r="O289" s="29"/>
      <c r="P289" s="29"/>
    </row>
    <row r="290">
      <c r="A290" s="12" t="s">
        <v>45</v>
      </c>
      <c r="B290" s="12" t="s">
        <v>102</v>
      </c>
      <c r="C290" s="12">
        <v>2.0</v>
      </c>
      <c r="D290" s="12">
        <v>60.0</v>
      </c>
      <c r="E290" s="12">
        <v>62.0</v>
      </c>
      <c r="F290" s="13">
        <f t="shared" si="8"/>
        <v>0.9677419355</v>
      </c>
      <c r="G290" s="29"/>
      <c r="M290" s="29"/>
      <c r="N290" s="29"/>
      <c r="O290" s="29"/>
      <c r="P290" s="29"/>
    </row>
    <row r="291">
      <c r="A291" s="12" t="s">
        <v>124</v>
      </c>
      <c r="B291" s="12" t="s">
        <v>125</v>
      </c>
      <c r="C291" s="12">
        <v>0.0</v>
      </c>
      <c r="D291" s="12">
        <v>1.0</v>
      </c>
      <c r="E291" s="12">
        <v>1.0</v>
      </c>
      <c r="F291" s="13">
        <f t="shared" si="8"/>
        <v>1</v>
      </c>
      <c r="G291" s="29"/>
      <c r="M291" s="29"/>
      <c r="N291" s="29"/>
      <c r="O291" s="29"/>
      <c r="P291" s="29"/>
    </row>
    <row r="292">
      <c r="G292" s="29"/>
      <c r="M292" s="29"/>
      <c r="N292" s="29"/>
      <c r="O292" s="29"/>
      <c r="P292" s="29"/>
    </row>
    <row r="293">
      <c r="G293" s="29"/>
      <c r="M293" s="29"/>
      <c r="N293" s="29"/>
      <c r="O293" s="29"/>
      <c r="P293" s="29"/>
    </row>
    <row r="294">
      <c r="G294" s="29"/>
      <c r="M294" s="29"/>
      <c r="N294" s="29"/>
      <c r="O294" s="29"/>
      <c r="P294" s="29"/>
    </row>
    <row r="295" ht="14.25" customHeight="1">
      <c r="G295" s="29"/>
      <c r="M295" s="29"/>
      <c r="N295" s="29"/>
      <c r="O295" s="29"/>
      <c r="P295" s="29"/>
    </row>
    <row r="296" ht="14.25" customHeight="1">
      <c r="G296" s="29"/>
      <c r="M296" s="29"/>
      <c r="N296" s="29"/>
      <c r="O296" s="29"/>
      <c r="P296" s="29"/>
    </row>
    <row r="297" ht="14.25" customHeight="1">
      <c r="G297" s="29"/>
      <c r="M297" s="29"/>
      <c r="N297" s="29"/>
      <c r="O297" s="29"/>
      <c r="P297" s="29"/>
    </row>
    <row r="298" ht="14.25" customHeight="1">
      <c r="G298" s="29"/>
      <c r="M298" s="29"/>
      <c r="N298" s="29"/>
      <c r="O298" s="29"/>
      <c r="P298" s="29"/>
    </row>
    <row r="299" ht="14.25" customHeight="1">
      <c r="G299" s="29"/>
      <c r="M299" s="29"/>
      <c r="N299" s="29"/>
      <c r="O299" s="29"/>
      <c r="P299" s="29"/>
    </row>
    <row r="300" ht="14.25" customHeight="1">
      <c r="G300" s="29"/>
      <c r="M300" s="29"/>
      <c r="N300" s="29"/>
      <c r="O300" s="29"/>
      <c r="P300" s="29"/>
    </row>
    <row r="301" ht="14.25" customHeight="1">
      <c r="G301" s="29"/>
      <c r="M301" s="29"/>
      <c r="N301" s="29"/>
      <c r="O301" s="29"/>
      <c r="P301" s="29"/>
    </row>
    <row r="302" ht="14.25" customHeight="1">
      <c r="G302" s="29"/>
      <c r="M302" s="29"/>
      <c r="N302" s="29"/>
      <c r="O302" s="29"/>
      <c r="P302" s="29"/>
    </row>
    <row r="303" ht="14.25" customHeight="1">
      <c r="G303" s="29"/>
      <c r="M303" s="29"/>
      <c r="N303" s="29"/>
      <c r="O303" s="29"/>
      <c r="P303" s="29"/>
    </row>
    <row r="304" ht="14.25" customHeight="1">
      <c r="G304" s="29"/>
      <c r="M304" s="29"/>
      <c r="N304" s="29"/>
      <c r="O304" s="29"/>
      <c r="P304" s="29"/>
    </row>
    <row r="305" ht="14.25" customHeight="1">
      <c r="G305" s="29"/>
      <c r="M305" s="29"/>
      <c r="N305" s="29"/>
      <c r="O305" s="29"/>
      <c r="P305" s="29"/>
    </row>
    <row r="306" ht="14.25" customHeight="1">
      <c r="G306" s="29"/>
      <c r="M306" s="29"/>
      <c r="N306" s="29"/>
      <c r="O306" s="29"/>
      <c r="P306" s="29"/>
    </row>
    <row r="307" ht="14.25" customHeight="1">
      <c r="G307" s="29"/>
      <c r="M307" s="29"/>
      <c r="N307" s="29"/>
      <c r="O307" s="29"/>
      <c r="P307" s="29"/>
    </row>
    <row r="308" ht="14.25" customHeight="1">
      <c r="G308" s="29"/>
      <c r="M308" s="29"/>
      <c r="N308" s="29"/>
      <c r="O308" s="29"/>
      <c r="P308" s="29"/>
    </row>
    <row r="309" ht="14.25" customHeight="1">
      <c r="G309" s="29"/>
      <c r="M309" s="29"/>
      <c r="N309" s="29"/>
      <c r="O309" s="29"/>
      <c r="P309" s="29"/>
    </row>
    <row r="310" ht="14.25" customHeight="1">
      <c r="G310" s="29"/>
      <c r="M310" s="29"/>
      <c r="N310" s="29"/>
      <c r="O310" s="29"/>
      <c r="P310" s="29"/>
    </row>
    <row r="311" ht="14.25" customHeight="1">
      <c r="G311" s="29"/>
      <c r="M311" s="29"/>
      <c r="N311" s="29"/>
      <c r="O311" s="29"/>
      <c r="P311" s="29"/>
    </row>
    <row r="312" ht="14.25" customHeight="1">
      <c r="G312" s="29"/>
      <c r="M312" s="29"/>
      <c r="N312" s="29"/>
      <c r="O312" s="29"/>
      <c r="P312" s="29"/>
    </row>
    <row r="313" ht="14.25" customHeight="1">
      <c r="G313" s="29"/>
      <c r="M313" s="29"/>
      <c r="N313" s="29"/>
      <c r="O313" s="29"/>
      <c r="P313" s="29"/>
    </row>
    <row r="314" ht="14.25" customHeight="1">
      <c r="G314" s="29"/>
      <c r="M314" s="29"/>
      <c r="N314" s="29"/>
      <c r="O314" s="29"/>
      <c r="P314" s="29"/>
    </row>
    <row r="315" ht="14.25" customHeight="1">
      <c r="G315" s="29"/>
      <c r="M315" s="29"/>
      <c r="N315" s="29"/>
      <c r="O315" s="29"/>
      <c r="P315" s="29"/>
    </row>
    <row r="316" ht="14.25" customHeight="1">
      <c r="G316" s="29"/>
      <c r="M316" s="29"/>
      <c r="N316" s="29"/>
      <c r="O316" s="29"/>
      <c r="P316" s="29"/>
    </row>
    <row r="317" ht="14.25" customHeight="1">
      <c r="G317" s="29"/>
      <c r="M317" s="29"/>
      <c r="N317" s="29"/>
      <c r="O317" s="29"/>
      <c r="P317" s="29"/>
    </row>
    <row r="318" ht="14.25" customHeight="1">
      <c r="G318" s="29"/>
      <c r="M318" s="29"/>
      <c r="N318" s="29"/>
      <c r="O318" s="29"/>
      <c r="P318" s="29"/>
    </row>
    <row r="319" ht="14.25" customHeight="1">
      <c r="G319" s="29"/>
      <c r="M319" s="29"/>
      <c r="N319" s="29"/>
      <c r="O319" s="29"/>
      <c r="P319" s="29"/>
    </row>
    <row r="320" ht="14.25" customHeight="1">
      <c r="G320" s="29"/>
      <c r="M320" s="29"/>
      <c r="N320" s="29"/>
      <c r="O320" s="29"/>
      <c r="P320" s="29"/>
    </row>
    <row r="321" ht="14.25" customHeight="1">
      <c r="G321" s="29"/>
      <c r="M321" s="29"/>
      <c r="N321" s="29"/>
      <c r="O321" s="29"/>
      <c r="P321" s="29"/>
    </row>
    <row r="322" ht="14.25" customHeight="1">
      <c r="G322" s="29"/>
      <c r="M322" s="29"/>
      <c r="N322" s="29"/>
      <c r="O322" s="29"/>
      <c r="P322" s="29"/>
    </row>
    <row r="323" ht="14.25" customHeight="1">
      <c r="G323" s="29"/>
      <c r="M323" s="29"/>
      <c r="N323" s="29"/>
      <c r="O323" s="29"/>
      <c r="P323" s="29"/>
    </row>
    <row r="324" ht="14.25" customHeight="1">
      <c r="G324" s="29"/>
      <c r="M324" s="29"/>
      <c r="N324" s="29"/>
      <c r="O324" s="29"/>
      <c r="P324" s="29"/>
    </row>
    <row r="325" ht="14.25" customHeight="1">
      <c r="G325" s="29"/>
      <c r="M325" s="29"/>
      <c r="N325" s="29"/>
      <c r="O325" s="29"/>
      <c r="P325" s="29"/>
    </row>
    <row r="326" ht="14.25" customHeight="1">
      <c r="G326" s="29"/>
      <c r="M326" s="29"/>
      <c r="N326" s="29"/>
      <c r="O326" s="29"/>
      <c r="P326" s="29"/>
    </row>
    <row r="327" ht="14.25" customHeight="1">
      <c r="G327" s="29"/>
      <c r="M327" s="29"/>
      <c r="N327" s="29"/>
      <c r="O327" s="29"/>
      <c r="P327" s="29"/>
    </row>
    <row r="328" ht="14.25" customHeight="1">
      <c r="G328" s="29"/>
      <c r="M328" s="29"/>
      <c r="N328" s="29"/>
      <c r="O328" s="29"/>
      <c r="P328" s="29"/>
    </row>
    <row r="329" ht="14.25" customHeight="1">
      <c r="G329" s="29"/>
      <c r="M329" s="29"/>
      <c r="N329" s="29"/>
      <c r="O329" s="29"/>
      <c r="P329" s="29"/>
    </row>
    <row r="330" ht="14.25" customHeight="1">
      <c r="G330" s="29"/>
      <c r="M330" s="29"/>
      <c r="N330" s="29"/>
      <c r="O330" s="29"/>
      <c r="P330" s="29"/>
    </row>
    <row r="331" ht="14.25" customHeight="1">
      <c r="G331" s="29"/>
      <c r="M331" s="29"/>
      <c r="N331" s="29"/>
      <c r="O331" s="29"/>
      <c r="P331" s="29"/>
    </row>
    <row r="332" ht="14.25" customHeight="1">
      <c r="G332" s="29"/>
      <c r="M332" s="29"/>
      <c r="N332" s="29"/>
      <c r="O332" s="29"/>
      <c r="P332" s="29"/>
    </row>
    <row r="333" ht="14.25" customHeight="1">
      <c r="G333" s="29"/>
      <c r="M333" s="29"/>
      <c r="N333" s="29"/>
      <c r="O333" s="29"/>
      <c r="P333" s="29"/>
    </row>
    <row r="334" ht="14.25" customHeight="1">
      <c r="G334" s="29"/>
      <c r="M334" s="29"/>
      <c r="N334" s="29"/>
      <c r="O334" s="29"/>
      <c r="P334" s="29"/>
    </row>
    <row r="335" ht="14.25" customHeight="1">
      <c r="G335" s="29"/>
      <c r="M335" s="29"/>
      <c r="N335" s="29"/>
      <c r="O335" s="29"/>
      <c r="P335" s="29"/>
    </row>
    <row r="336" ht="14.25" customHeight="1">
      <c r="G336" s="29"/>
      <c r="M336" s="29"/>
      <c r="N336" s="29"/>
      <c r="O336" s="29"/>
      <c r="P336" s="29"/>
    </row>
    <row r="337" ht="14.25" customHeight="1">
      <c r="G337" s="29"/>
      <c r="M337" s="29"/>
      <c r="N337" s="29"/>
      <c r="O337" s="29"/>
      <c r="P337" s="29"/>
    </row>
    <row r="338" ht="14.25" customHeight="1">
      <c r="G338" s="29"/>
      <c r="M338" s="29"/>
      <c r="N338" s="29"/>
      <c r="O338" s="29"/>
      <c r="P338" s="29"/>
    </row>
    <row r="339" ht="14.25" customHeight="1">
      <c r="G339" s="29"/>
      <c r="M339" s="29"/>
      <c r="N339" s="29"/>
      <c r="O339" s="29"/>
      <c r="P339" s="29"/>
    </row>
    <row r="340" ht="14.25" customHeight="1">
      <c r="G340" s="29"/>
      <c r="M340" s="29"/>
      <c r="N340" s="29"/>
      <c r="O340" s="29"/>
      <c r="P340" s="29"/>
    </row>
    <row r="341" ht="14.25" customHeight="1">
      <c r="G341" s="29"/>
      <c r="M341" s="29"/>
      <c r="N341" s="29"/>
      <c r="O341" s="29"/>
      <c r="P341" s="29"/>
    </row>
    <row r="342" ht="14.25" customHeight="1">
      <c r="G342" s="29"/>
      <c r="M342" s="29"/>
      <c r="N342" s="29"/>
      <c r="O342" s="29"/>
      <c r="P342" s="29"/>
    </row>
    <row r="343" ht="14.25" customHeight="1">
      <c r="G343" s="29"/>
      <c r="M343" s="29"/>
      <c r="N343" s="29"/>
      <c r="O343" s="29"/>
      <c r="P343" s="29"/>
    </row>
    <row r="344" ht="14.25" customHeight="1">
      <c r="G344" s="29"/>
      <c r="M344" s="29"/>
      <c r="N344" s="29"/>
      <c r="O344" s="29"/>
      <c r="P344" s="29"/>
    </row>
    <row r="345" ht="14.25" customHeight="1">
      <c r="G345" s="29"/>
      <c r="M345" s="29"/>
      <c r="N345" s="29"/>
      <c r="O345" s="29"/>
      <c r="P345" s="29"/>
    </row>
    <row r="346" ht="14.25" customHeight="1">
      <c r="G346" s="29"/>
      <c r="M346" s="29"/>
      <c r="N346" s="29"/>
      <c r="O346" s="29"/>
      <c r="P346" s="29"/>
    </row>
    <row r="347" ht="14.25" customHeight="1">
      <c r="G347" s="29"/>
      <c r="M347" s="29"/>
      <c r="N347" s="29"/>
      <c r="O347" s="29"/>
      <c r="P347" s="29"/>
    </row>
    <row r="348" ht="14.25" customHeight="1">
      <c r="G348" s="29"/>
      <c r="M348" s="29"/>
      <c r="N348" s="29"/>
      <c r="O348" s="29"/>
      <c r="P348" s="29"/>
    </row>
    <row r="349" ht="14.25" customHeight="1">
      <c r="G349" s="29"/>
      <c r="M349" s="29"/>
      <c r="N349" s="29"/>
      <c r="O349" s="29"/>
      <c r="P349" s="29"/>
    </row>
    <row r="350" ht="14.25" customHeight="1">
      <c r="G350" s="29"/>
      <c r="M350" s="29"/>
      <c r="N350" s="29"/>
      <c r="O350" s="29"/>
      <c r="P350" s="29"/>
    </row>
    <row r="351" ht="14.25" customHeight="1">
      <c r="G351" s="29"/>
      <c r="M351" s="29"/>
      <c r="N351" s="29"/>
      <c r="O351" s="29"/>
      <c r="P351" s="29"/>
    </row>
    <row r="352" ht="14.25" customHeight="1">
      <c r="G352" s="29"/>
      <c r="M352" s="29"/>
      <c r="N352" s="29"/>
      <c r="O352" s="29"/>
      <c r="P352" s="29"/>
    </row>
    <row r="353" ht="14.25" customHeight="1">
      <c r="G353" s="29"/>
      <c r="M353" s="29"/>
      <c r="N353" s="29"/>
      <c r="O353" s="29"/>
      <c r="P353" s="29"/>
    </row>
    <row r="354" ht="14.25" customHeight="1">
      <c r="G354" s="29"/>
      <c r="M354" s="29"/>
      <c r="N354" s="29"/>
      <c r="O354" s="29"/>
      <c r="P354" s="29"/>
    </row>
    <row r="355" ht="14.25" customHeight="1">
      <c r="G355" s="29"/>
      <c r="M355" s="29"/>
      <c r="N355" s="29"/>
      <c r="O355" s="29"/>
      <c r="P355" s="29"/>
    </row>
    <row r="356" ht="14.25" customHeight="1">
      <c r="G356" s="29"/>
      <c r="M356" s="29"/>
      <c r="N356" s="29"/>
      <c r="O356" s="29"/>
      <c r="P356" s="29"/>
    </row>
    <row r="357" ht="14.25" customHeight="1">
      <c r="G357" s="29"/>
      <c r="M357" s="29"/>
      <c r="N357" s="29"/>
      <c r="O357" s="29"/>
      <c r="P357" s="29"/>
    </row>
    <row r="358" ht="14.25" customHeight="1">
      <c r="G358" s="29"/>
      <c r="M358" s="29"/>
      <c r="N358" s="29"/>
      <c r="O358" s="29"/>
      <c r="P358" s="29"/>
    </row>
    <row r="359" ht="14.25" customHeight="1">
      <c r="G359" s="29"/>
      <c r="M359" s="29"/>
      <c r="N359" s="29"/>
      <c r="O359" s="29"/>
      <c r="P359" s="29"/>
    </row>
    <row r="360" ht="14.25" customHeight="1">
      <c r="G360" s="29"/>
      <c r="M360" s="29"/>
      <c r="N360" s="29"/>
      <c r="O360" s="29"/>
      <c r="P360" s="29"/>
    </row>
    <row r="361" ht="14.25" customHeight="1">
      <c r="G361" s="29"/>
      <c r="M361" s="29"/>
      <c r="N361" s="29"/>
      <c r="O361" s="29"/>
      <c r="P361" s="29"/>
    </row>
    <row r="362" ht="14.25" customHeight="1">
      <c r="G362" s="29"/>
      <c r="M362" s="29"/>
      <c r="N362" s="29"/>
      <c r="O362" s="29"/>
      <c r="P362" s="29"/>
    </row>
    <row r="363" ht="14.25" customHeight="1">
      <c r="G363" s="29"/>
      <c r="M363" s="29"/>
      <c r="N363" s="29"/>
      <c r="O363" s="29"/>
      <c r="P363" s="29"/>
    </row>
    <row r="364" ht="14.25" customHeight="1">
      <c r="G364" s="29"/>
      <c r="M364" s="29"/>
      <c r="N364" s="29"/>
      <c r="O364" s="29"/>
      <c r="P364" s="29"/>
    </row>
    <row r="365" ht="14.25" customHeight="1">
      <c r="G365" s="29"/>
      <c r="M365" s="29"/>
      <c r="N365" s="29"/>
      <c r="O365" s="29"/>
      <c r="P365" s="29"/>
    </row>
    <row r="366" ht="14.25" customHeight="1">
      <c r="G366" s="29"/>
      <c r="M366" s="29"/>
      <c r="N366" s="29"/>
      <c r="O366" s="29"/>
      <c r="P366" s="29"/>
    </row>
    <row r="367" ht="14.25" customHeight="1">
      <c r="G367" s="29"/>
      <c r="M367" s="29"/>
      <c r="N367" s="29"/>
      <c r="O367" s="29"/>
      <c r="P367" s="29"/>
    </row>
    <row r="368" ht="14.25" customHeight="1">
      <c r="G368" s="29"/>
      <c r="M368" s="29"/>
      <c r="N368" s="29"/>
      <c r="O368" s="29"/>
      <c r="P368" s="29"/>
    </row>
    <row r="369" ht="14.25" customHeight="1">
      <c r="G369" s="29"/>
      <c r="M369" s="29"/>
      <c r="N369" s="29"/>
      <c r="O369" s="29"/>
      <c r="P369" s="29"/>
    </row>
    <row r="370" ht="14.25" customHeight="1">
      <c r="G370" s="29"/>
      <c r="M370" s="29"/>
      <c r="N370" s="29"/>
      <c r="O370" s="29"/>
      <c r="P370" s="29"/>
    </row>
    <row r="371" ht="14.25" customHeight="1">
      <c r="G371" s="29"/>
      <c r="M371" s="29"/>
      <c r="N371" s="29"/>
      <c r="O371" s="29"/>
      <c r="P371" s="29"/>
    </row>
    <row r="372" ht="14.25" customHeight="1">
      <c r="G372" s="29"/>
      <c r="M372" s="29"/>
      <c r="N372" s="29"/>
      <c r="O372" s="29"/>
      <c r="P372" s="29"/>
    </row>
    <row r="373" ht="14.25" customHeight="1">
      <c r="G373" s="29"/>
      <c r="M373" s="29"/>
      <c r="N373" s="29"/>
      <c r="O373" s="29"/>
      <c r="P373" s="29"/>
    </row>
    <row r="374" ht="14.25" customHeight="1">
      <c r="G374" s="29"/>
      <c r="M374" s="29"/>
      <c r="N374" s="29"/>
      <c r="O374" s="29"/>
      <c r="P374" s="29"/>
    </row>
    <row r="375" ht="14.25" customHeight="1">
      <c r="G375" s="29"/>
      <c r="M375" s="29"/>
      <c r="N375" s="29"/>
      <c r="O375" s="29"/>
      <c r="P375" s="29"/>
    </row>
    <row r="376" ht="14.25" customHeight="1">
      <c r="G376" s="29"/>
      <c r="M376" s="29"/>
      <c r="N376" s="29"/>
      <c r="O376" s="29"/>
      <c r="P376" s="29"/>
    </row>
    <row r="377" ht="14.25" customHeight="1">
      <c r="G377" s="29"/>
      <c r="M377" s="29"/>
      <c r="N377" s="29"/>
      <c r="O377" s="29"/>
      <c r="P377" s="29"/>
    </row>
    <row r="378" ht="14.25" customHeight="1">
      <c r="G378" s="29"/>
      <c r="M378" s="29"/>
      <c r="N378" s="29"/>
      <c r="O378" s="29"/>
      <c r="P378" s="29"/>
    </row>
    <row r="379" ht="14.25" customHeight="1">
      <c r="G379" s="29"/>
      <c r="M379" s="29"/>
      <c r="N379" s="29"/>
      <c r="O379" s="29"/>
      <c r="P379" s="29"/>
    </row>
    <row r="380" ht="14.25" customHeight="1">
      <c r="G380" s="29"/>
      <c r="M380" s="29"/>
      <c r="N380" s="29"/>
      <c r="O380" s="29"/>
      <c r="P380" s="29"/>
    </row>
    <row r="381" ht="14.25" customHeight="1">
      <c r="G381" s="29"/>
      <c r="M381" s="29"/>
      <c r="N381" s="29"/>
      <c r="O381" s="29"/>
      <c r="P381" s="29"/>
    </row>
    <row r="382" ht="14.25" customHeight="1">
      <c r="G382" s="29"/>
      <c r="M382" s="29"/>
      <c r="N382" s="29"/>
      <c r="O382" s="29"/>
      <c r="P382" s="29"/>
    </row>
    <row r="383" ht="14.25" customHeight="1">
      <c r="G383" s="29"/>
      <c r="M383" s="29"/>
      <c r="N383" s="29"/>
      <c r="O383" s="29"/>
      <c r="P383" s="29"/>
    </row>
    <row r="384" ht="14.25" customHeight="1">
      <c r="G384" s="29"/>
      <c r="M384" s="29"/>
      <c r="N384" s="29"/>
      <c r="O384" s="29"/>
      <c r="P384" s="29"/>
    </row>
    <row r="385" ht="14.25" customHeight="1">
      <c r="G385" s="29"/>
      <c r="M385" s="29"/>
      <c r="N385" s="29"/>
      <c r="O385" s="29"/>
      <c r="P385" s="29"/>
    </row>
    <row r="386" ht="14.25" customHeight="1">
      <c r="G386" s="29"/>
      <c r="M386" s="29"/>
      <c r="N386" s="29"/>
      <c r="O386" s="29"/>
      <c r="P386" s="29"/>
    </row>
    <row r="387" ht="14.25" customHeight="1">
      <c r="G387" s="29"/>
      <c r="M387" s="29"/>
      <c r="N387" s="29"/>
      <c r="O387" s="29"/>
      <c r="P387" s="29"/>
    </row>
    <row r="388" ht="14.25" customHeight="1">
      <c r="G388" s="29"/>
      <c r="M388" s="29"/>
      <c r="N388" s="29"/>
      <c r="O388" s="29"/>
      <c r="P388" s="29"/>
    </row>
    <row r="389" ht="14.25" customHeight="1">
      <c r="G389" s="29"/>
      <c r="M389" s="29"/>
      <c r="N389" s="29"/>
      <c r="O389" s="29"/>
      <c r="P389" s="29"/>
    </row>
    <row r="390" ht="14.25" customHeight="1">
      <c r="G390" s="29"/>
      <c r="M390" s="29"/>
      <c r="N390" s="29"/>
      <c r="O390" s="29"/>
      <c r="P390" s="29"/>
    </row>
    <row r="391" ht="14.25" customHeight="1">
      <c r="G391" s="29"/>
      <c r="M391" s="29"/>
      <c r="N391" s="29"/>
      <c r="O391" s="29"/>
      <c r="P391" s="29"/>
    </row>
    <row r="392" ht="14.25" customHeight="1">
      <c r="G392" s="29"/>
      <c r="M392" s="29"/>
      <c r="N392" s="29"/>
      <c r="O392" s="29"/>
      <c r="P392" s="29"/>
    </row>
    <row r="393" ht="14.25" customHeight="1">
      <c r="G393" s="29"/>
      <c r="M393" s="29"/>
      <c r="N393" s="29"/>
      <c r="O393" s="29"/>
      <c r="P393" s="29"/>
    </row>
    <row r="394" ht="14.25" customHeight="1">
      <c r="G394" s="29"/>
      <c r="M394" s="29"/>
      <c r="N394" s="29"/>
      <c r="O394" s="29"/>
      <c r="P394" s="29"/>
    </row>
    <row r="395" ht="14.25" customHeight="1">
      <c r="G395" s="29"/>
      <c r="M395" s="29"/>
      <c r="N395" s="29"/>
      <c r="O395" s="29"/>
      <c r="P395" s="29"/>
    </row>
    <row r="396" ht="14.25" customHeight="1">
      <c r="G396" s="29"/>
      <c r="M396" s="29"/>
      <c r="N396" s="29"/>
      <c r="O396" s="29"/>
      <c r="P396" s="29"/>
    </row>
    <row r="397" ht="14.25" customHeight="1">
      <c r="G397" s="29"/>
      <c r="M397" s="29"/>
      <c r="N397" s="29"/>
      <c r="O397" s="29"/>
      <c r="P397" s="29"/>
    </row>
    <row r="398" ht="14.25" customHeight="1">
      <c r="G398" s="29"/>
      <c r="M398" s="29"/>
      <c r="N398" s="29"/>
      <c r="O398" s="29"/>
      <c r="P398" s="29"/>
    </row>
    <row r="399" ht="14.25" customHeight="1">
      <c r="G399" s="29"/>
      <c r="M399" s="29"/>
      <c r="N399" s="29"/>
      <c r="O399" s="29"/>
      <c r="P399" s="29"/>
    </row>
    <row r="400" ht="14.25" customHeight="1">
      <c r="G400" s="29"/>
      <c r="M400" s="29"/>
      <c r="N400" s="29"/>
      <c r="O400" s="29"/>
      <c r="P400" s="29"/>
    </row>
    <row r="401" ht="14.25" customHeight="1">
      <c r="G401" s="29"/>
      <c r="M401" s="29"/>
      <c r="N401" s="29"/>
      <c r="O401" s="29"/>
      <c r="P401" s="29"/>
    </row>
    <row r="402" ht="14.25" customHeight="1">
      <c r="G402" s="29"/>
      <c r="M402" s="29"/>
      <c r="N402" s="29"/>
      <c r="O402" s="29"/>
      <c r="P402" s="29"/>
    </row>
    <row r="403" ht="14.25" customHeight="1">
      <c r="G403" s="29"/>
      <c r="M403" s="29"/>
      <c r="N403" s="29"/>
      <c r="O403" s="29"/>
      <c r="P403" s="29"/>
    </row>
    <row r="404" ht="14.25" customHeight="1">
      <c r="G404" s="29"/>
      <c r="M404" s="29"/>
      <c r="N404" s="29"/>
      <c r="O404" s="29"/>
      <c r="P404" s="29"/>
    </row>
    <row r="405" ht="14.25" customHeight="1">
      <c r="G405" s="29"/>
      <c r="M405" s="29"/>
      <c r="N405" s="29"/>
      <c r="O405" s="29"/>
      <c r="P405" s="29"/>
    </row>
    <row r="406" ht="14.25" customHeight="1">
      <c r="G406" s="29"/>
      <c r="M406" s="29"/>
      <c r="N406" s="29"/>
      <c r="O406" s="29"/>
      <c r="P406" s="29"/>
    </row>
    <row r="407" ht="14.25" customHeight="1">
      <c r="G407" s="29"/>
      <c r="M407" s="29"/>
      <c r="N407" s="29"/>
      <c r="O407" s="29"/>
      <c r="P407" s="29"/>
    </row>
    <row r="408" ht="14.25" customHeight="1">
      <c r="G408" s="29"/>
      <c r="M408" s="29"/>
      <c r="N408" s="29"/>
      <c r="O408" s="29"/>
      <c r="P408" s="29"/>
    </row>
    <row r="409" ht="14.25" customHeight="1">
      <c r="G409" s="29"/>
      <c r="M409" s="29"/>
      <c r="N409" s="29"/>
      <c r="O409" s="29"/>
      <c r="P409" s="29"/>
    </row>
    <row r="410" ht="14.25" customHeight="1">
      <c r="G410" s="29"/>
      <c r="M410" s="29"/>
      <c r="N410" s="29"/>
      <c r="O410" s="29"/>
      <c r="P410" s="29"/>
    </row>
    <row r="411" ht="14.25" customHeight="1">
      <c r="G411" s="29"/>
      <c r="M411" s="29"/>
      <c r="N411" s="29"/>
      <c r="O411" s="29"/>
      <c r="P411" s="29"/>
    </row>
    <row r="412" ht="14.25" customHeight="1">
      <c r="G412" s="29"/>
      <c r="M412" s="29"/>
      <c r="N412" s="29"/>
      <c r="O412" s="29"/>
      <c r="P412" s="29"/>
    </row>
    <row r="413" ht="14.25" customHeight="1">
      <c r="G413" s="29"/>
      <c r="M413" s="29"/>
      <c r="N413" s="29"/>
      <c r="O413" s="29"/>
      <c r="P413" s="29"/>
    </row>
    <row r="414" ht="14.25" customHeight="1">
      <c r="G414" s="29"/>
      <c r="M414" s="29"/>
      <c r="N414" s="29"/>
      <c r="O414" s="29"/>
      <c r="P414" s="29"/>
    </row>
    <row r="415" ht="14.25" customHeight="1">
      <c r="G415" s="29"/>
      <c r="M415" s="29"/>
      <c r="N415" s="29"/>
      <c r="O415" s="29"/>
      <c r="P415" s="29"/>
    </row>
    <row r="416" ht="14.25" customHeight="1">
      <c r="G416" s="29"/>
      <c r="M416" s="29"/>
      <c r="N416" s="29"/>
      <c r="O416" s="29"/>
      <c r="P416" s="29"/>
    </row>
    <row r="417" ht="14.25" customHeight="1">
      <c r="G417" s="29"/>
      <c r="M417" s="29"/>
      <c r="N417" s="29"/>
      <c r="O417" s="29"/>
      <c r="P417" s="29"/>
    </row>
    <row r="418" ht="14.25" customHeight="1">
      <c r="G418" s="29"/>
      <c r="M418" s="29"/>
      <c r="N418" s="29"/>
      <c r="O418" s="29"/>
      <c r="P418" s="29"/>
    </row>
    <row r="419" ht="14.25" customHeight="1">
      <c r="G419" s="29"/>
      <c r="M419" s="29"/>
      <c r="N419" s="29"/>
      <c r="O419" s="29"/>
      <c r="P419" s="29"/>
    </row>
    <row r="420" ht="14.25" customHeight="1">
      <c r="G420" s="29"/>
      <c r="M420" s="29"/>
      <c r="N420" s="29"/>
      <c r="O420" s="29"/>
      <c r="P420" s="29"/>
    </row>
    <row r="421" ht="14.25" customHeight="1">
      <c r="G421" s="29"/>
      <c r="M421" s="29"/>
      <c r="N421" s="29"/>
      <c r="O421" s="29"/>
      <c r="P421" s="29"/>
    </row>
    <row r="422" ht="14.25" customHeight="1">
      <c r="G422" s="29"/>
      <c r="M422" s="29"/>
      <c r="N422" s="29"/>
      <c r="O422" s="29"/>
      <c r="P422" s="29"/>
    </row>
    <row r="423" ht="14.25" customHeight="1">
      <c r="G423" s="29"/>
      <c r="M423" s="29"/>
      <c r="N423" s="29"/>
      <c r="O423" s="29"/>
      <c r="P423" s="29"/>
    </row>
    <row r="424" ht="14.25" customHeight="1">
      <c r="G424" s="29"/>
      <c r="M424" s="29"/>
      <c r="N424" s="29"/>
      <c r="O424" s="29"/>
      <c r="P424" s="29"/>
    </row>
    <row r="425" ht="14.25" customHeight="1">
      <c r="G425" s="29"/>
      <c r="M425" s="29"/>
      <c r="N425" s="29"/>
      <c r="O425" s="29"/>
      <c r="P425" s="29"/>
    </row>
    <row r="426" ht="14.25" customHeight="1">
      <c r="G426" s="29"/>
      <c r="M426" s="29"/>
      <c r="N426" s="29"/>
      <c r="O426" s="29"/>
      <c r="P426" s="29"/>
    </row>
    <row r="427" ht="14.25" customHeight="1">
      <c r="G427" s="29"/>
      <c r="M427" s="29"/>
      <c r="N427" s="29"/>
      <c r="O427" s="29"/>
      <c r="P427" s="29"/>
    </row>
    <row r="428" ht="14.25" customHeight="1">
      <c r="G428" s="29"/>
      <c r="M428" s="29"/>
      <c r="N428" s="29"/>
      <c r="O428" s="29"/>
      <c r="P428" s="29"/>
    </row>
    <row r="429" ht="14.25" customHeight="1">
      <c r="G429" s="29"/>
      <c r="M429" s="29"/>
      <c r="N429" s="29"/>
      <c r="O429" s="29"/>
      <c r="P429" s="29"/>
    </row>
    <row r="430" ht="14.25" customHeight="1">
      <c r="G430" s="29"/>
      <c r="M430" s="29"/>
      <c r="N430" s="29"/>
      <c r="O430" s="29"/>
      <c r="P430" s="29"/>
    </row>
    <row r="431" ht="14.25" customHeight="1">
      <c r="G431" s="29"/>
      <c r="M431" s="29"/>
      <c r="N431" s="29"/>
      <c r="O431" s="29"/>
      <c r="P431" s="29"/>
    </row>
    <row r="432" ht="14.25" customHeight="1">
      <c r="G432" s="29"/>
      <c r="M432" s="29"/>
      <c r="N432" s="29"/>
      <c r="O432" s="29"/>
      <c r="P432" s="29"/>
    </row>
    <row r="433" ht="14.25" customHeight="1">
      <c r="G433" s="29"/>
      <c r="M433" s="29"/>
      <c r="N433" s="29"/>
      <c r="O433" s="29"/>
      <c r="P433" s="29"/>
    </row>
    <row r="434" ht="14.25" customHeight="1">
      <c r="G434" s="29"/>
      <c r="M434" s="29"/>
      <c r="N434" s="29"/>
      <c r="O434" s="29"/>
      <c r="P434" s="29"/>
    </row>
    <row r="435" ht="14.25" customHeight="1">
      <c r="G435" s="29"/>
      <c r="M435" s="29"/>
      <c r="N435" s="29"/>
      <c r="O435" s="29"/>
      <c r="P435" s="29"/>
    </row>
    <row r="436" ht="14.25" customHeight="1">
      <c r="G436" s="29"/>
      <c r="M436" s="29"/>
      <c r="N436" s="29"/>
      <c r="O436" s="29"/>
      <c r="P436" s="29"/>
    </row>
    <row r="437" ht="14.25" customHeight="1">
      <c r="G437" s="29"/>
      <c r="M437" s="29"/>
      <c r="N437" s="29"/>
      <c r="O437" s="29"/>
      <c r="P437" s="29"/>
    </row>
    <row r="438" ht="14.25" customHeight="1">
      <c r="G438" s="29"/>
      <c r="M438" s="29"/>
      <c r="N438" s="29"/>
      <c r="O438" s="29"/>
      <c r="P438" s="29"/>
    </row>
    <row r="439" ht="14.25" customHeight="1">
      <c r="G439" s="29"/>
      <c r="M439" s="29"/>
      <c r="N439" s="29"/>
      <c r="O439" s="29"/>
      <c r="P439" s="29"/>
    </row>
    <row r="440" ht="14.25" customHeight="1">
      <c r="G440" s="29"/>
      <c r="M440" s="29"/>
      <c r="N440" s="29"/>
      <c r="O440" s="29"/>
      <c r="P440" s="29"/>
    </row>
    <row r="441" ht="14.25" customHeight="1">
      <c r="G441" s="29"/>
      <c r="M441" s="29"/>
      <c r="N441" s="29"/>
      <c r="O441" s="29"/>
      <c r="P441" s="29"/>
    </row>
    <row r="442" ht="14.25" customHeight="1">
      <c r="G442" s="29"/>
      <c r="M442" s="29"/>
      <c r="N442" s="29"/>
      <c r="O442" s="29"/>
      <c r="P442" s="29"/>
    </row>
    <row r="443" ht="14.25" customHeight="1">
      <c r="G443" s="29"/>
      <c r="M443" s="29"/>
      <c r="N443" s="29"/>
      <c r="O443" s="29"/>
      <c r="P443" s="29"/>
    </row>
    <row r="444" ht="14.25" customHeight="1">
      <c r="G444" s="29"/>
      <c r="M444" s="29"/>
      <c r="N444" s="29"/>
      <c r="O444" s="29"/>
      <c r="P444" s="29"/>
    </row>
    <row r="445" ht="14.25" customHeight="1">
      <c r="G445" s="29"/>
      <c r="M445" s="29"/>
      <c r="N445" s="29"/>
      <c r="O445" s="29"/>
      <c r="P445" s="29"/>
    </row>
    <row r="446" ht="14.25" customHeight="1">
      <c r="G446" s="29"/>
      <c r="M446" s="29"/>
      <c r="N446" s="29"/>
      <c r="O446" s="29"/>
      <c r="P446" s="29"/>
    </row>
    <row r="447" ht="14.25" customHeight="1">
      <c r="G447" s="29"/>
      <c r="M447" s="29"/>
      <c r="N447" s="29"/>
      <c r="O447" s="29"/>
      <c r="P447" s="29"/>
    </row>
    <row r="448" ht="14.25" customHeight="1">
      <c r="G448" s="29"/>
      <c r="M448" s="29"/>
      <c r="N448" s="29"/>
      <c r="O448" s="29"/>
      <c r="P448" s="29"/>
    </row>
    <row r="449" ht="14.25" customHeight="1">
      <c r="G449" s="29"/>
      <c r="M449" s="29"/>
      <c r="N449" s="29"/>
      <c r="O449" s="29"/>
      <c r="P449" s="29"/>
    </row>
    <row r="450" ht="14.25" customHeight="1">
      <c r="G450" s="29"/>
      <c r="M450" s="29"/>
      <c r="N450" s="29"/>
      <c r="O450" s="29"/>
      <c r="P450" s="29"/>
    </row>
    <row r="451" ht="14.25" customHeight="1">
      <c r="G451" s="29"/>
      <c r="M451" s="29"/>
      <c r="N451" s="29"/>
      <c r="O451" s="29"/>
      <c r="P451" s="29"/>
    </row>
    <row r="452" ht="14.25" customHeight="1">
      <c r="G452" s="29"/>
      <c r="M452" s="29"/>
      <c r="N452" s="29"/>
      <c r="O452" s="29"/>
      <c r="P452" s="29"/>
    </row>
    <row r="453" ht="14.25" customHeight="1">
      <c r="G453" s="29"/>
      <c r="M453" s="29"/>
      <c r="N453" s="29"/>
      <c r="O453" s="29"/>
      <c r="P453" s="29"/>
    </row>
    <row r="454" ht="14.25" customHeight="1">
      <c r="G454" s="29"/>
      <c r="M454" s="29"/>
      <c r="N454" s="29"/>
      <c r="O454" s="29"/>
      <c r="P454" s="29"/>
    </row>
    <row r="455" ht="14.25" customHeight="1">
      <c r="G455" s="29"/>
      <c r="M455" s="29"/>
      <c r="N455" s="29"/>
      <c r="O455" s="29"/>
      <c r="P455" s="29"/>
    </row>
    <row r="456" ht="14.25" customHeight="1">
      <c r="G456" s="29"/>
      <c r="M456" s="29"/>
      <c r="N456" s="29"/>
      <c r="O456" s="29"/>
      <c r="P456" s="29"/>
    </row>
    <row r="457" ht="14.25" customHeight="1">
      <c r="G457" s="29"/>
      <c r="M457" s="29"/>
      <c r="N457" s="29"/>
      <c r="O457" s="29"/>
      <c r="P457" s="29"/>
    </row>
    <row r="458" ht="14.25" customHeight="1">
      <c r="G458" s="29"/>
      <c r="M458" s="29"/>
      <c r="N458" s="29"/>
      <c r="O458" s="29"/>
      <c r="P458" s="29"/>
    </row>
    <row r="459" ht="14.25" customHeight="1">
      <c r="G459" s="29"/>
      <c r="M459" s="29"/>
      <c r="N459" s="29"/>
      <c r="O459" s="29"/>
      <c r="P459" s="29"/>
    </row>
    <row r="460" ht="14.25" customHeight="1">
      <c r="G460" s="29"/>
      <c r="M460" s="29"/>
      <c r="N460" s="29"/>
      <c r="O460" s="29"/>
      <c r="P460" s="29"/>
    </row>
    <row r="461" ht="14.25" customHeight="1">
      <c r="G461" s="29"/>
      <c r="M461" s="29"/>
      <c r="N461" s="29"/>
      <c r="O461" s="29"/>
      <c r="P461" s="29"/>
    </row>
    <row r="462" ht="14.25" customHeight="1">
      <c r="G462" s="29"/>
      <c r="M462" s="29"/>
      <c r="N462" s="29"/>
      <c r="O462" s="29"/>
      <c r="P462" s="29"/>
    </row>
    <row r="463" ht="14.25" customHeight="1">
      <c r="G463" s="29"/>
      <c r="M463" s="29"/>
      <c r="N463" s="29"/>
      <c r="O463" s="29"/>
      <c r="P463" s="29"/>
    </row>
    <row r="464" ht="14.25" customHeight="1">
      <c r="G464" s="29"/>
      <c r="M464" s="29"/>
      <c r="N464" s="29"/>
      <c r="O464" s="29"/>
      <c r="P464" s="29"/>
    </row>
    <row r="465" ht="14.25" customHeight="1">
      <c r="G465" s="29"/>
      <c r="M465" s="29"/>
      <c r="N465" s="29"/>
      <c r="O465" s="29"/>
      <c r="P465" s="29"/>
    </row>
    <row r="466" ht="14.25" customHeight="1">
      <c r="G466" s="29"/>
      <c r="M466" s="29"/>
      <c r="N466" s="29"/>
      <c r="O466" s="29"/>
      <c r="P466" s="29"/>
    </row>
    <row r="467" ht="14.25" customHeight="1">
      <c r="G467" s="29"/>
      <c r="M467" s="29"/>
      <c r="N467" s="29"/>
      <c r="O467" s="29"/>
      <c r="P467" s="29"/>
    </row>
    <row r="468" ht="14.25" customHeight="1">
      <c r="G468" s="29"/>
      <c r="M468" s="29"/>
      <c r="N468" s="29"/>
      <c r="O468" s="29"/>
      <c r="P468" s="29"/>
    </row>
    <row r="469" ht="14.25" customHeight="1">
      <c r="G469" s="29"/>
      <c r="M469" s="29"/>
      <c r="N469" s="29"/>
      <c r="O469" s="29"/>
      <c r="P469" s="29"/>
    </row>
    <row r="470" ht="14.25" customHeight="1">
      <c r="G470" s="29"/>
      <c r="M470" s="29"/>
      <c r="N470" s="29"/>
      <c r="O470" s="29"/>
      <c r="P470" s="29"/>
    </row>
    <row r="471" ht="14.25" customHeight="1">
      <c r="G471" s="29"/>
      <c r="M471" s="29"/>
      <c r="N471" s="29"/>
      <c r="O471" s="29"/>
      <c r="P471" s="29"/>
    </row>
    <row r="472" ht="14.25" customHeight="1">
      <c r="G472" s="29"/>
      <c r="M472" s="29"/>
      <c r="N472" s="29"/>
      <c r="O472" s="29"/>
      <c r="P472" s="29"/>
    </row>
    <row r="473" ht="14.25" customHeight="1">
      <c r="G473" s="29"/>
      <c r="M473" s="29"/>
      <c r="N473" s="29"/>
      <c r="O473" s="29"/>
      <c r="P473" s="29"/>
    </row>
    <row r="474" ht="14.25" customHeight="1">
      <c r="G474" s="29"/>
      <c r="M474" s="29"/>
      <c r="N474" s="29"/>
      <c r="O474" s="29"/>
      <c r="P474" s="29"/>
    </row>
    <row r="475" ht="14.25" customHeight="1">
      <c r="G475" s="29"/>
      <c r="M475" s="29"/>
      <c r="N475" s="29"/>
      <c r="O475" s="29"/>
      <c r="P475" s="29"/>
    </row>
    <row r="476" ht="14.25" customHeight="1">
      <c r="G476" s="29"/>
      <c r="M476" s="29"/>
      <c r="N476" s="29"/>
      <c r="O476" s="29"/>
      <c r="P476" s="29"/>
    </row>
    <row r="477" ht="14.25" customHeight="1">
      <c r="G477" s="29"/>
      <c r="M477" s="29"/>
      <c r="N477" s="29"/>
      <c r="O477" s="29"/>
      <c r="P477" s="29"/>
    </row>
    <row r="478" ht="14.25" customHeight="1">
      <c r="G478" s="29"/>
      <c r="M478" s="29"/>
      <c r="N478" s="29"/>
      <c r="O478" s="29"/>
      <c r="P478" s="29"/>
    </row>
    <row r="479" ht="14.25" customHeight="1">
      <c r="G479" s="29"/>
      <c r="M479" s="29"/>
      <c r="N479" s="29"/>
      <c r="O479" s="29"/>
      <c r="P479" s="29"/>
    </row>
    <row r="480" ht="14.25" customHeight="1">
      <c r="G480" s="29"/>
      <c r="M480" s="29"/>
      <c r="N480" s="29"/>
      <c r="O480" s="29"/>
      <c r="P480" s="29"/>
    </row>
    <row r="481" ht="14.25" customHeight="1">
      <c r="G481" s="29"/>
      <c r="M481" s="29"/>
      <c r="N481" s="29"/>
      <c r="O481" s="29"/>
      <c r="P481" s="29"/>
    </row>
    <row r="482" ht="14.25" customHeight="1">
      <c r="G482" s="29"/>
      <c r="M482" s="29"/>
      <c r="N482" s="29"/>
      <c r="O482" s="29"/>
      <c r="P482" s="29"/>
    </row>
    <row r="483" ht="14.25" customHeight="1">
      <c r="G483" s="29"/>
      <c r="M483" s="29"/>
      <c r="N483" s="29"/>
      <c r="O483" s="29"/>
      <c r="P483" s="29"/>
    </row>
    <row r="484" ht="14.25" customHeight="1">
      <c r="G484" s="29"/>
      <c r="M484" s="29"/>
      <c r="N484" s="29"/>
      <c r="O484" s="29"/>
      <c r="P484" s="29"/>
    </row>
    <row r="485" ht="14.25" customHeight="1">
      <c r="G485" s="29"/>
      <c r="M485" s="29"/>
      <c r="N485" s="29"/>
      <c r="O485" s="29"/>
      <c r="P485" s="29"/>
    </row>
    <row r="486" ht="14.25" customHeight="1">
      <c r="G486" s="29"/>
      <c r="M486" s="29"/>
      <c r="N486" s="29"/>
      <c r="O486" s="29"/>
      <c r="P486" s="29"/>
    </row>
    <row r="487" ht="14.25" customHeight="1">
      <c r="G487" s="29"/>
      <c r="M487" s="29"/>
      <c r="N487" s="29"/>
      <c r="O487" s="29"/>
      <c r="P487" s="29"/>
    </row>
    <row r="488" ht="14.25" customHeight="1">
      <c r="G488" s="29"/>
      <c r="M488" s="29"/>
      <c r="N488" s="29"/>
      <c r="O488" s="29"/>
      <c r="P488" s="29"/>
    </row>
    <row r="489" ht="14.25" customHeight="1">
      <c r="G489" s="29"/>
      <c r="M489" s="29"/>
      <c r="N489" s="29"/>
      <c r="O489" s="29"/>
      <c r="P489" s="29"/>
    </row>
    <row r="490" ht="14.25" customHeight="1">
      <c r="G490" s="29"/>
      <c r="M490" s="29"/>
      <c r="N490" s="29"/>
      <c r="O490" s="29"/>
      <c r="P490" s="29"/>
    </row>
    <row r="491" ht="14.25" customHeight="1">
      <c r="G491" s="29"/>
      <c r="M491" s="29"/>
      <c r="N491" s="29"/>
      <c r="O491" s="29"/>
      <c r="P491" s="29"/>
    </row>
    <row r="492" ht="14.25" customHeight="1">
      <c r="G492" s="29"/>
      <c r="M492" s="29"/>
      <c r="N492" s="29"/>
      <c r="O492" s="29"/>
      <c r="P492" s="29"/>
    </row>
    <row r="493" ht="14.25" customHeight="1">
      <c r="G493" s="29"/>
      <c r="M493" s="29"/>
      <c r="N493" s="29"/>
      <c r="O493" s="29"/>
      <c r="P493" s="29"/>
    </row>
    <row r="494" ht="14.25" customHeight="1">
      <c r="G494" s="29"/>
      <c r="M494" s="29"/>
      <c r="N494" s="29"/>
      <c r="O494" s="29"/>
      <c r="P494" s="29"/>
    </row>
    <row r="495" ht="14.25" customHeight="1">
      <c r="G495" s="29"/>
      <c r="M495" s="29"/>
      <c r="N495" s="29"/>
      <c r="O495" s="29"/>
      <c r="P495" s="29"/>
    </row>
    <row r="496" ht="14.25" customHeight="1">
      <c r="G496" s="29"/>
      <c r="M496" s="29"/>
      <c r="N496" s="29"/>
      <c r="O496" s="29"/>
      <c r="P496" s="29"/>
    </row>
    <row r="497" ht="14.25" customHeight="1">
      <c r="G497" s="29"/>
      <c r="M497" s="29"/>
      <c r="N497" s="29"/>
      <c r="O497" s="29"/>
      <c r="P497" s="29"/>
    </row>
    <row r="498" ht="14.25" customHeight="1">
      <c r="G498" s="29"/>
      <c r="M498" s="29"/>
      <c r="N498" s="29"/>
      <c r="O498" s="29"/>
      <c r="P498" s="29"/>
    </row>
    <row r="499" ht="14.25" customHeight="1">
      <c r="G499" s="29"/>
      <c r="M499" s="29"/>
      <c r="N499" s="29"/>
      <c r="O499" s="29"/>
      <c r="P499" s="29"/>
    </row>
    <row r="500" ht="14.25" customHeight="1">
      <c r="G500" s="29"/>
      <c r="M500" s="29"/>
      <c r="N500" s="29"/>
      <c r="O500" s="29"/>
      <c r="P500" s="29"/>
    </row>
    <row r="501" ht="14.25" customHeight="1">
      <c r="G501" s="29"/>
      <c r="M501" s="29"/>
      <c r="N501" s="29"/>
      <c r="O501" s="29"/>
      <c r="P501" s="29"/>
    </row>
    <row r="502" ht="14.25" customHeight="1">
      <c r="G502" s="29"/>
      <c r="M502" s="29"/>
      <c r="N502" s="29"/>
      <c r="O502" s="29"/>
      <c r="P502" s="29"/>
    </row>
    <row r="503" ht="14.25" customHeight="1">
      <c r="G503" s="29"/>
      <c r="M503" s="29"/>
      <c r="N503" s="29"/>
      <c r="O503" s="29"/>
      <c r="P503" s="29"/>
    </row>
    <row r="504" ht="14.25" customHeight="1">
      <c r="G504" s="29"/>
      <c r="M504" s="29"/>
      <c r="N504" s="29"/>
      <c r="O504" s="29"/>
      <c r="P504" s="29"/>
    </row>
    <row r="505" ht="14.25" customHeight="1">
      <c r="G505" s="29"/>
      <c r="M505" s="29"/>
      <c r="N505" s="29"/>
      <c r="O505" s="29"/>
      <c r="P505" s="29"/>
    </row>
    <row r="506" ht="14.25" customHeight="1">
      <c r="G506" s="29"/>
      <c r="M506" s="29"/>
      <c r="N506" s="29"/>
      <c r="O506" s="29"/>
      <c r="P506" s="29"/>
    </row>
    <row r="507" ht="14.25" customHeight="1">
      <c r="G507" s="29"/>
      <c r="M507" s="29"/>
      <c r="N507" s="29"/>
      <c r="O507" s="29"/>
      <c r="P507" s="29"/>
    </row>
    <row r="508" ht="14.25" customHeight="1">
      <c r="G508" s="29"/>
      <c r="M508" s="29"/>
      <c r="N508" s="29"/>
      <c r="O508" s="29"/>
      <c r="P508" s="29"/>
    </row>
    <row r="509" ht="14.25" customHeight="1">
      <c r="G509" s="29"/>
      <c r="M509" s="29"/>
      <c r="N509" s="29"/>
      <c r="O509" s="29"/>
      <c r="P509" s="29"/>
    </row>
    <row r="510" ht="14.25" customHeight="1">
      <c r="G510" s="29"/>
      <c r="M510" s="29"/>
      <c r="N510" s="29"/>
      <c r="O510" s="29"/>
      <c r="P510" s="29"/>
    </row>
    <row r="511" ht="14.25" customHeight="1">
      <c r="G511" s="29"/>
      <c r="M511" s="29"/>
      <c r="N511" s="29"/>
      <c r="O511" s="29"/>
      <c r="P511" s="29"/>
    </row>
    <row r="512" ht="14.25" customHeight="1">
      <c r="G512" s="29"/>
      <c r="M512" s="29"/>
      <c r="N512" s="29"/>
      <c r="O512" s="29"/>
      <c r="P512" s="29"/>
    </row>
    <row r="513" ht="14.25" customHeight="1">
      <c r="G513" s="29"/>
      <c r="M513" s="29"/>
      <c r="N513" s="29"/>
      <c r="O513" s="29"/>
      <c r="P513" s="29"/>
    </row>
    <row r="514" ht="14.25" customHeight="1">
      <c r="G514" s="29"/>
      <c r="M514" s="29"/>
      <c r="N514" s="29"/>
      <c r="O514" s="29"/>
      <c r="P514" s="29"/>
    </row>
    <row r="515" ht="14.25" customHeight="1">
      <c r="G515" s="29"/>
      <c r="M515" s="29"/>
      <c r="N515" s="29"/>
      <c r="O515" s="29"/>
      <c r="P515" s="29"/>
    </row>
    <row r="516" ht="14.25" customHeight="1">
      <c r="G516" s="29"/>
      <c r="M516" s="29"/>
      <c r="N516" s="29"/>
      <c r="O516" s="29"/>
      <c r="P516" s="29"/>
    </row>
    <row r="517" ht="14.25" customHeight="1">
      <c r="G517" s="29"/>
      <c r="M517" s="29"/>
      <c r="N517" s="29"/>
      <c r="O517" s="29"/>
      <c r="P517" s="29"/>
    </row>
    <row r="518" ht="14.25" customHeight="1">
      <c r="G518" s="29"/>
      <c r="M518" s="29"/>
      <c r="N518" s="29"/>
      <c r="O518" s="29"/>
      <c r="P518" s="29"/>
    </row>
    <row r="519" ht="14.25" customHeight="1">
      <c r="G519" s="29"/>
      <c r="M519" s="29"/>
      <c r="N519" s="29"/>
      <c r="O519" s="29"/>
      <c r="P519" s="29"/>
    </row>
    <row r="520" ht="14.25" customHeight="1">
      <c r="G520" s="29"/>
      <c r="M520" s="29"/>
      <c r="N520" s="29"/>
      <c r="O520" s="29"/>
      <c r="P520" s="29"/>
    </row>
    <row r="521" ht="14.25" customHeight="1">
      <c r="G521" s="29"/>
      <c r="M521" s="29"/>
      <c r="N521" s="29"/>
      <c r="O521" s="29"/>
      <c r="P521" s="29"/>
    </row>
    <row r="522" ht="14.25" customHeight="1">
      <c r="G522" s="29"/>
      <c r="M522" s="29"/>
      <c r="N522" s="29"/>
      <c r="O522" s="29"/>
      <c r="P522" s="29"/>
    </row>
    <row r="523" ht="14.25" customHeight="1">
      <c r="G523" s="29"/>
      <c r="M523" s="29"/>
      <c r="N523" s="29"/>
      <c r="O523" s="29"/>
      <c r="P523" s="29"/>
    </row>
    <row r="524" ht="14.25" customHeight="1">
      <c r="G524" s="29"/>
      <c r="M524" s="29"/>
      <c r="N524" s="29"/>
      <c r="O524" s="29"/>
      <c r="P524" s="29"/>
    </row>
    <row r="525" ht="14.25" customHeight="1">
      <c r="G525" s="29"/>
      <c r="M525" s="29"/>
      <c r="N525" s="29"/>
      <c r="O525" s="29"/>
      <c r="P525" s="29"/>
    </row>
    <row r="526" ht="14.25" customHeight="1">
      <c r="G526" s="29"/>
      <c r="M526" s="29"/>
      <c r="N526" s="29"/>
      <c r="O526" s="29"/>
      <c r="P526" s="29"/>
    </row>
    <row r="527" ht="14.25" customHeight="1">
      <c r="G527" s="29"/>
      <c r="M527" s="29"/>
      <c r="N527" s="29"/>
      <c r="O527" s="29"/>
      <c r="P527" s="29"/>
    </row>
    <row r="528" ht="14.25" customHeight="1">
      <c r="G528" s="29"/>
      <c r="M528" s="29"/>
      <c r="N528" s="29"/>
      <c r="O528" s="29"/>
      <c r="P528" s="29"/>
    </row>
    <row r="529" ht="14.25" customHeight="1">
      <c r="G529" s="29"/>
      <c r="M529" s="29"/>
      <c r="N529" s="29"/>
      <c r="O529" s="29"/>
      <c r="P529" s="29"/>
    </row>
    <row r="530" ht="14.25" customHeight="1">
      <c r="G530" s="29"/>
      <c r="M530" s="29"/>
      <c r="N530" s="29"/>
      <c r="O530" s="29"/>
      <c r="P530" s="29"/>
    </row>
    <row r="531" ht="14.25" customHeight="1">
      <c r="G531" s="29"/>
      <c r="M531" s="29"/>
      <c r="N531" s="29"/>
      <c r="O531" s="29"/>
      <c r="P531" s="29"/>
    </row>
    <row r="532" ht="14.25" customHeight="1">
      <c r="G532" s="29"/>
      <c r="M532" s="29"/>
      <c r="N532" s="29"/>
      <c r="O532" s="29"/>
      <c r="P532" s="29"/>
    </row>
    <row r="533" ht="14.25" customHeight="1">
      <c r="G533" s="29"/>
      <c r="M533" s="29"/>
      <c r="N533" s="29"/>
      <c r="O533" s="29"/>
      <c r="P533" s="29"/>
    </row>
    <row r="534" ht="14.25" customHeight="1">
      <c r="G534" s="29"/>
      <c r="M534" s="29"/>
      <c r="N534" s="29"/>
      <c r="O534" s="29"/>
      <c r="P534" s="29"/>
    </row>
    <row r="535" ht="14.25" customHeight="1">
      <c r="G535" s="29"/>
      <c r="M535" s="29"/>
      <c r="N535" s="29"/>
      <c r="O535" s="29"/>
      <c r="P535" s="29"/>
    </row>
    <row r="536" ht="14.25" customHeight="1">
      <c r="G536" s="29"/>
      <c r="M536" s="29"/>
      <c r="N536" s="29"/>
      <c r="O536" s="29"/>
      <c r="P536" s="29"/>
    </row>
    <row r="537" ht="14.25" customHeight="1">
      <c r="G537" s="29"/>
      <c r="M537" s="29"/>
      <c r="N537" s="29"/>
      <c r="O537" s="29"/>
      <c r="P537" s="29"/>
    </row>
    <row r="538" ht="14.25" customHeight="1">
      <c r="G538" s="29"/>
      <c r="M538" s="29"/>
      <c r="N538" s="29"/>
      <c r="O538" s="29"/>
      <c r="P538" s="29"/>
    </row>
    <row r="539" ht="14.25" customHeight="1">
      <c r="G539" s="29"/>
      <c r="M539" s="29"/>
      <c r="N539" s="29"/>
      <c r="O539" s="29"/>
      <c r="P539" s="29"/>
    </row>
    <row r="540" ht="14.25" customHeight="1">
      <c r="G540" s="29"/>
      <c r="M540" s="29"/>
      <c r="N540" s="29"/>
      <c r="O540" s="29"/>
      <c r="P540" s="29"/>
    </row>
    <row r="541" ht="14.25" customHeight="1">
      <c r="G541" s="29"/>
      <c r="M541" s="29"/>
      <c r="N541" s="29"/>
      <c r="O541" s="29"/>
      <c r="P541" s="29"/>
    </row>
    <row r="542" ht="14.25" customHeight="1">
      <c r="G542" s="29"/>
      <c r="M542" s="29"/>
      <c r="N542" s="29"/>
      <c r="O542" s="29"/>
      <c r="P542" s="29"/>
    </row>
    <row r="543" ht="14.25" customHeight="1">
      <c r="G543" s="29"/>
      <c r="M543" s="29"/>
      <c r="N543" s="29"/>
      <c r="O543" s="29"/>
      <c r="P543" s="29"/>
    </row>
    <row r="544" ht="14.25" customHeight="1">
      <c r="G544" s="29"/>
      <c r="M544" s="29"/>
      <c r="N544" s="29"/>
      <c r="O544" s="29"/>
      <c r="P544" s="29"/>
    </row>
    <row r="545" ht="14.25" customHeight="1">
      <c r="G545" s="29"/>
      <c r="M545" s="29"/>
      <c r="N545" s="29"/>
      <c r="O545" s="29"/>
      <c r="P545" s="29"/>
    </row>
    <row r="546" ht="14.25" customHeight="1">
      <c r="G546" s="29"/>
      <c r="M546" s="29"/>
      <c r="N546" s="29"/>
      <c r="O546" s="29"/>
      <c r="P546" s="29"/>
    </row>
    <row r="547" ht="14.25" customHeight="1">
      <c r="G547" s="29"/>
      <c r="M547" s="29"/>
      <c r="N547" s="29"/>
      <c r="O547" s="29"/>
      <c r="P547" s="29"/>
    </row>
    <row r="548" ht="14.25" customHeight="1">
      <c r="G548" s="29"/>
      <c r="M548" s="29"/>
      <c r="N548" s="29"/>
      <c r="O548" s="29"/>
      <c r="P548" s="29"/>
    </row>
    <row r="549" ht="14.25" customHeight="1">
      <c r="G549" s="29"/>
      <c r="M549" s="29"/>
      <c r="N549" s="29"/>
      <c r="O549" s="29"/>
      <c r="P549" s="29"/>
    </row>
    <row r="550" ht="14.25" customHeight="1">
      <c r="G550" s="29"/>
      <c r="M550" s="29"/>
      <c r="N550" s="29"/>
      <c r="O550" s="29"/>
      <c r="P550" s="29"/>
    </row>
    <row r="551" ht="14.25" customHeight="1">
      <c r="G551" s="29"/>
      <c r="M551" s="29"/>
      <c r="N551" s="29"/>
      <c r="O551" s="29"/>
      <c r="P551" s="29"/>
    </row>
    <row r="552" ht="14.25" customHeight="1">
      <c r="G552" s="29"/>
      <c r="M552" s="29"/>
      <c r="N552" s="29"/>
      <c r="O552" s="29"/>
      <c r="P552" s="29"/>
    </row>
    <row r="553" ht="14.25" customHeight="1">
      <c r="G553" s="29"/>
      <c r="M553" s="29"/>
      <c r="N553" s="29"/>
      <c r="O553" s="29"/>
      <c r="P553" s="29"/>
    </row>
    <row r="554" ht="14.25" customHeight="1">
      <c r="G554" s="29"/>
      <c r="M554" s="29"/>
      <c r="N554" s="29"/>
      <c r="O554" s="29"/>
      <c r="P554" s="29"/>
    </row>
    <row r="555" ht="14.25" customHeight="1">
      <c r="G555" s="29"/>
      <c r="M555" s="29"/>
      <c r="N555" s="29"/>
      <c r="O555" s="29"/>
      <c r="P555" s="29"/>
    </row>
    <row r="556" ht="14.25" customHeight="1">
      <c r="G556" s="29"/>
      <c r="M556" s="29"/>
      <c r="N556" s="29"/>
      <c r="O556" s="29"/>
      <c r="P556" s="29"/>
    </row>
    <row r="557" ht="14.25" customHeight="1">
      <c r="G557" s="29"/>
      <c r="M557" s="29"/>
      <c r="N557" s="29"/>
      <c r="O557" s="29"/>
      <c r="P557" s="29"/>
    </row>
    <row r="558" ht="14.25" customHeight="1">
      <c r="G558" s="29"/>
      <c r="M558" s="29"/>
      <c r="N558" s="29"/>
      <c r="O558" s="29"/>
      <c r="P558" s="29"/>
    </row>
    <row r="559" ht="14.25" customHeight="1">
      <c r="G559" s="29"/>
      <c r="M559" s="29"/>
      <c r="N559" s="29"/>
      <c r="O559" s="29"/>
      <c r="P559" s="29"/>
    </row>
    <row r="560" ht="14.25" customHeight="1">
      <c r="G560" s="29"/>
      <c r="M560" s="29"/>
      <c r="N560" s="29"/>
      <c r="O560" s="29"/>
      <c r="P560" s="29"/>
    </row>
    <row r="561" ht="14.25" customHeight="1">
      <c r="G561" s="29"/>
      <c r="M561" s="29"/>
      <c r="N561" s="29"/>
      <c r="O561" s="29"/>
      <c r="P561" s="29"/>
    </row>
    <row r="562" ht="14.25" customHeight="1">
      <c r="G562" s="29"/>
      <c r="M562" s="29"/>
      <c r="N562" s="29"/>
      <c r="O562" s="29"/>
      <c r="P562" s="29"/>
    </row>
    <row r="563" ht="14.25" customHeight="1">
      <c r="G563" s="29"/>
      <c r="M563" s="29"/>
      <c r="N563" s="29"/>
      <c r="O563" s="29"/>
      <c r="P563" s="29"/>
    </row>
    <row r="564" ht="14.25" customHeight="1">
      <c r="G564" s="29"/>
      <c r="M564" s="29"/>
      <c r="N564" s="29"/>
      <c r="O564" s="29"/>
      <c r="P564" s="29"/>
    </row>
    <row r="565" ht="14.25" customHeight="1">
      <c r="G565" s="29"/>
      <c r="M565" s="29"/>
      <c r="N565" s="29"/>
      <c r="O565" s="29"/>
      <c r="P565" s="29"/>
    </row>
    <row r="566" ht="14.25" customHeight="1">
      <c r="G566" s="29"/>
      <c r="M566" s="29"/>
      <c r="N566" s="29"/>
      <c r="O566" s="29"/>
      <c r="P566" s="29"/>
    </row>
    <row r="567" ht="14.25" customHeight="1">
      <c r="G567" s="29"/>
      <c r="M567" s="29"/>
      <c r="N567" s="29"/>
      <c r="O567" s="29"/>
      <c r="P567" s="29"/>
    </row>
    <row r="568" ht="14.25" customHeight="1">
      <c r="G568" s="29"/>
      <c r="M568" s="29"/>
      <c r="N568" s="29"/>
      <c r="O568" s="29"/>
      <c r="P568" s="29"/>
    </row>
    <row r="569" ht="14.25" customHeight="1">
      <c r="G569" s="29"/>
      <c r="M569" s="29"/>
      <c r="N569" s="29"/>
      <c r="O569" s="29"/>
      <c r="P569" s="29"/>
    </row>
    <row r="570" ht="14.25" customHeight="1">
      <c r="G570" s="29"/>
      <c r="M570" s="29"/>
      <c r="N570" s="29"/>
      <c r="O570" s="29"/>
      <c r="P570" s="29"/>
    </row>
    <row r="571" ht="14.25" customHeight="1">
      <c r="G571" s="29"/>
      <c r="M571" s="29"/>
      <c r="N571" s="29"/>
      <c r="O571" s="29"/>
      <c r="P571" s="29"/>
    </row>
    <row r="572" ht="14.25" customHeight="1">
      <c r="G572" s="29"/>
      <c r="M572" s="29"/>
      <c r="N572" s="29"/>
      <c r="O572" s="29"/>
      <c r="P572" s="29"/>
    </row>
    <row r="573" ht="14.25" customHeight="1">
      <c r="G573" s="29"/>
      <c r="M573" s="29"/>
      <c r="N573" s="29"/>
      <c r="O573" s="29"/>
      <c r="P573" s="29"/>
    </row>
    <row r="574" ht="14.25" customHeight="1">
      <c r="G574" s="29"/>
      <c r="M574" s="29"/>
      <c r="N574" s="29"/>
      <c r="O574" s="29"/>
      <c r="P574" s="29"/>
    </row>
    <row r="575" ht="14.25" customHeight="1">
      <c r="G575" s="29"/>
      <c r="M575" s="29"/>
      <c r="N575" s="29"/>
      <c r="O575" s="29"/>
      <c r="P575" s="29"/>
    </row>
    <row r="576" ht="14.25" customHeight="1">
      <c r="G576" s="29"/>
      <c r="M576" s="29"/>
      <c r="N576" s="29"/>
      <c r="O576" s="29"/>
      <c r="P576" s="29"/>
    </row>
    <row r="577" ht="14.25" customHeight="1">
      <c r="G577" s="29"/>
      <c r="M577" s="29"/>
      <c r="N577" s="29"/>
      <c r="O577" s="29"/>
      <c r="P577" s="29"/>
    </row>
    <row r="578" ht="14.25" customHeight="1">
      <c r="G578" s="29"/>
      <c r="M578" s="29"/>
      <c r="N578" s="29"/>
      <c r="O578" s="29"/>
      <c r="P578" s="29"/>
    </row>
    <row r="579" ht="14.25" customHeight="1">
      <c r="G579" s="29"/>
      <c r="M579" s="29"/>
      <c r="N579" s="29"/>
      <c r="O579" s="29"/>
      <c r="P579" s="29"/>
    </row>
    <row r="580" ht="14.25" customHeight="1">
      <c r="G580" s="29"/>
      <c r="M580" s="29"/>
      <c r="N580" s="29"/>
      <c r="O580" s="29"/>
      <c r="P580" s="29"/>
    </row>
    <row r="581" ht="14.25" customHeight="1">
      <c r="G581" s="29"/>
      <c r="M581" s="29"/>
      <c r="N581" s="29"/>
      <c r="O581" s="29"/>
      <c r="P581" s="29"/>
    </row>
    <row r="582" ht="14.25" customHeight="1">
      <c r="G582" s="29"/>
      <c r="M582" s="29"/>
      <c r="N582" s="29"/>
      <c r="O582" s="29"/>
      <c r="P582" s="29"/>
    </row>
    <row r="583" ht="14.25" customHeight="1">
      <c r="G583" s="29"/>
      <c r="M583" s="29"/>
      <c r="N583" s="29"/>
      <c r="O583" s="29"/>
      <c r="P583" s="29"/>
    </row>
    <row r="584" ht="14.25" customHeight="1">
      <c r="G584" s="29"/>
      <c r="M584" s="29"/>
      <c r="N584" s="29"/>
      <c r="O584" s="29"/>
      <c r="P584" s="29"/>
    </row>
    <row r="585" ht="14.25" customHeight="1">
      <c r="G585" s="29"/>
      <c r="M585" s="29"/>
      <c r="N585" s="29"/>
      <c r="O585" s="29"/>
      <c r="P585" s="29"/>
    </row>
    <row r="586" ht="14.25" customHeight="1">
      <c r="G586" s="29"/>
      <c r="M586" s="29"/>
      <c r="N586" s="29"/>
      <c r="O586" s="29"/>
      <c r="P586" s="29"/>
    </row>
    <row r="587" ht="14.25" customHeight="1">
      <c r="G587" s="29"/>
      <c r="M587" s="29"/>
      <c r="N587" s="29"/>
      <c r="O587" s="29"/>
      <c r="P587" s="29"/>
    </row>
    <row r="588" ht="14.25" customHeight="1">
      <c r="G588" s="29"/>
      <c r="M588" s="29"/>
      <c r="N588" s="29"/>
      <c r="O588" s="29"/>
      <c r="P588" s="29"/>
    </row>
    <row r="589" ht="14.25" customHeight="1">
      <c r="G589" s="29"/>
      <c r="M589" s="29"/>
      <c r="N589" s="29"/>
      <c r="O589" s="29"/>
      <c r="P589" s="29"/>
    </row>
    <row r="590" ht="14.25" customHeight="1">
      <c r="G590" s="29"/>
      <c r="M590" s="29"/>
      <c r="N590" s="29"/>
      <c r="O590" s="29"/>
      <c r="P590" s="29"/>
    </row>
    <row r="591" ht="14.25" customHeight="1">
      <c r="G591" s="29"/>
      <c r="M591" s="29"/>
      <c r="N591" s="29"/>
      <c r="O591" s="29"/>
      <c r="P591" s="29"/>
    </row>
    <row r="592" ht="14.25" customHeight="1">
      <c r="G592" s="29"/>
      <c r="M592" s="29"/>
      <c r="N592" s="29"/>
      <c r="O592" s="29"/>
      <c r="P592" s="29"/>
    </row>
    <row r="593" ht="14.25" customHeight="1">
      <c r="G593" s="29"/>
      <c r="M593" s="29"/>
      <c r="N593" s="29"/>
      <c r="O593" s="29"/>
      <c r="P593" s="29"/>
    </row>
    <row r="594" ht="14.25" customHeight="1">
      <c r="G594" s="29"/>
      <c r="M594" s="29"/>
      <c r="N594" s="29"/>
      <c r="O594" s="29"/>
      <c r="P594" s="29"/>
    </row>
    <row r="595" ht="14.25" customHeight="1">
      <c r="G595" s="29"/>
      <c r="M595" s="29"/>
      <c r="N595" s="29"/>
      <c r="O595" s="29"/>
      <c r="P595" s="29"/>
    </row>
    <row r="596" ht="14.25" customHeight="1">
      <c r="G596" s="29"/>
      <c r="M596" s="29"/>
      <c r="N596" s="29"/>
      <c r="O596" s="29"/>
      <c r="P596" s="29"/>
    </row>
    <row r="597" ht="14.25" customHeight="1">
      <c r="G597" s="29"/>
      <c r="M597" s="29"/>
      <c r="N597" s="29"/>
      <c r="O597" s="29"/>
      <c r="P597" s="29"/>
    </row>
    <row r="598" ht="14.25" customHeight="1">
      <c r="G598" s="29"/>
      <c r="M598" s="29"/>
      <c r="N598" s="29"/>
      <c r="O598" s="29"/>
      <c r="P598" s="29"/>
    </row>
    <row r="599" ht="14.25" customHeight="1">
      <c r="G599" s="29"/>
      <c r="M599" s="29"/>
      <c r="N599" s="29"/>
      <c r="O599" s="29"/>
      <c r="P599" s="29"/>
    </row>
    <row r="600" ht="14.25" customHeight="1">
      <c r="G600" s="29"/>
      <c r="M600" s="29"/>
      <c r="N600" s="29"/>
      <c r="O600" s="29"/>
      <c r="P600" s="29"/>
    </row>
    <row r="601" ht="14.25" customHeight="1">
      <c r="G601" s="29"/>
      <c r="M601" s="29"/>
      <c r="N601" s="29"/>
      <c r="O601" s="29"/>
      <c r="P601" s="29"/>
    </row>
    <row r="602" ht="14.25" customHeight="1">
      <c r="G602" s="29"/>
      <c r="M602" s="29"/>
      <c r="N602" s="29"/>
      <c r="O602" s="29"/>
      <c r="P602" s="29"/>
    </row>
    <row r="603" ht="14.25" customHeight="1">
      <c r="G603" s="29"/>
      <c r="M603" s="29"/>
      <c r="N603" s="29"/>
      <c r="O603" s="29"/>
      <c r="P603" s="29"/>
    </row>
    <row r="604" ht="14.25" customHeight="1">
      <c r="G604" s="29"/>
      <c r="M604" s="29"/>
      <c r="N604" s="29"/>
      <c r="O604" s="29"/>
      <c r="P604" s="29"/>
    </row>
    <row r="605" ht="14.25" customHeight="1">
      <c r="G605" s="29"/>
      <c r="M605" s="29"/>
      <c r="N605" s="29"/>
      <c r="O605" s="29"/>
      <c r="P605" s="29"/>
    </row>
    <row r="606" ht="14.25" customHeight="1">
      <c r="G606" s="29"/>
      <c r="M606" s="29"/>
      <c r="N606" s="29"/>
      <c r="O606" s="29"/>
      <c r="P606" s="29"/>
    </row>
    <row r="607" ht="14.25" customHeight="1">
      <c r="G607" s="29"/>
      <c r="M607" s="29"/>
      <c r="N607" s="29"/>
      <c r="O607" s="29"/>
      <c r="P607" s="29"/>
    </row>
    <row r="608" ht="14.25" customHeight="1">
      <c r="G608" s="29"/>
      <c r="M608" s="29"/>
      <c r="N608" s="29"/>
      <c r="O608" s="29"/>
      <c r="P608" s="29"/>
    </row>
    <row r="609" ht="14.25" customHeight="1">
      <c r="G609" s="29"/>
      <c r="M609" s="29"/>
      <c r="N609" s="29"/>
      <c r="O609" s="29"/>
      <c r="P609" s="29"/>
    </row>
    <row r="610" ht="14.25" customHeight="1">
      <c r="G610" s="29"/>
      <c r="M610" s="29"/>
      <c r="N610" s="29"/>
      <c r="O610" s="29"/>
      <c r="P610" s="29"/>
    </row>
    <row r="611" ht="14.25" customHeight="1">
      <c r="G611" s="29"/>
      <c r="M611" s="29"/>
      <c r="N611" s="29"/>
      <c r="O611" s="29"/>
      <c r="P611" s="29"/>
    </row>
    <row r="612" ht="14.25" customHeight="1">
      <c r="G612" s="29"/>
      <c r="M612" s="29"/>
      <c r="N612" s="29"/>
      <c r="O612" s="29"/>
      <c r="P612" s="29"/>
    </row>
    <row r="613" ht="14.25" customHeight="1">
      <c r="G613" s="29"/>
      <c r="M613" s="29"/>
      <c r="N613" s="29"/>
      <c r="O613" s="29"/>
      <c r="P613" s="29"/>
    </row>
    <row r="614" ht="14.25" customHeight="1">
      <c r="G614" s="29"/>
      <c r="M614" s="29"/>
      <c r="N614" s="29"/>
      <c r="O614" s="29"/>
      <c r="P614" s="29"/>
    </row>
    <row r="615" ht="14.25" customHeight="1">
      <c r="G615" s="29"/>
      <c r="M615" s="29"/>
      <c r="N615" s="29"/>
      <c r="O615" s="29"/>
      <c r="P615" s="29"/>
    </row>
    <row r="616" ht="14.25" customHeight="1">
      <c r="G616" s="29"/>
      <c r="M616" s="29"/>
      <c r="N616" s="29"/>
      <c r="O616" s="29"/>
      <c r="P616" s="29"/>
    </row>
    <row r="617" ht="14.25" customHeight="1">
      <c r="G617" s="29"/>
      <c r="M617" s="29"/>
      <c r="N617" s="29"/>
      <c r="O617" s="29"/>
      <c r="P617" s="29"/>
    </row>
    <row r="618" ht="14.25" customHeight="1">
      <c r="G618" s="29"/>
      <c r="M618" s="29"/>
      <c r="N618" s="29"/>
      <c r="O618" s="29"/>
      <c r="P618" s="29"/>
    </row>
    <row r="619" ht="14.25" customHeight="1">
      <c r="G619" s="29"/>
      <c r="M619" s="29"/>
      <c r="N619" s="29"/>
      <c r="O619" s="29"/>
      <c r="P619" s="29"/>
    </row>
    <row r="620" ht="14.25" customHeight="1">
      <c r="G620" s="29"/>
      <c r="M620" s="29"/>
      <c r="N620" s="29"/>
      <c r="O620" s="29"/>
      <c r="P620" s="29"/>
    </row>
    <row r="621" ht="14.25" customHeight="1">
      <c r="G621" s="29"/>
      <c r="M621" s="29"/>
      <c r="N621" s="29"/>
      <c r="O621" s="29"/>
      <c r="P621" s="29"/>
    </row>
    <row r="622" ht="14.25" customHeight="1">
      <c r="G622" s="29"/>
      <c r="M622" s="29"/>
      <c r="N622" s="29"/>
      <c r="O622" s="29"/>
      <c r="P622" s="29"/>
    </row>
    <row r="623" ht="14.25" customHeight="1">
      <c r="G623" s="29"/>
      <c r="M623" s="29"/>
      <c r="N623" s="29"/>
      <c r="O623" s="29"/>
      <c r="P623" s="29"/>
    </row>
    <row r="624" ht="14.25" customHeight="1">
      <c r="G624" s="29"/>
      <c r="M624" s="29"/>
      <c r="N624" s="29"/>
      <c r="O624" s="29"/>
      <c r="P624" s="29"/>
    </row>
    <row r="625" ht="14.25" customHeight="1">
      <c r="G625" s="29"/>
      <c r="M625" s="29"/>
      <c r="N625" s="29"/>
      <c r="O625" s="29"/>
      <c r="P625" s="29"/>
    </row>
    <row r="626" ht="14.25" customHeight="1">
      <c r="G626" s="29"/>
      <c r="M626" s="29"/>
      <c r="N626" s="29"/>
      <c r="O626" s="29"/>
      <c r="P626" s="29"/>
    </row>
    <row r="627" ht="14.25" customHeight="1">
      <c r="G627" s="29"/>
      <c r="M627" s="29"/>
      <c r="N627" s="29"/>
      <c r="O627" s="29"/>
      <c r="P627" s="29"/>
    </row>
    <row r="628" ht="14.25" customHeight="1">
      <c r="G628" s="29"/>
      <c r="M628" s="29"/>
      <c r="N628" s="29"/>
      <c r="O628" s="29"/>
      <c r="P628" s="29"/>
    </row>
    <row r="629" ht="14.25" customHeight="1">
      <c r="G629" s="29"/>
      <c r="M629" s="29"/>
      <c r="N629" s="29"/>
      <c r="O629" s="29"/>
      <c r="P629" s="29"/>
    </row>
    <row r="630" ht="14.25" customHeight="1">
      <c r="G630" s="29"/>
      <c r="M630" s="29"/>
      <c r="N630" s="29"/>
      <c r="O630" s="29"/>
      <c r="P630" s="29"/>
    </row>
    <row r="631" ht="14.25" customHeight="1">
      <c r="G631" s="29"/>
      <c r="M631" s="29"/>
      <c r="N631" s="29"/>
      <c r="O631" s="29"/>
      <c r="P631" s="29"/>
    </row>
    <row r="632" ht="14.25" customHeight="1">
      <c r="G632" s="29"/>
      <c r="M632" s="29"/>
      <c r="N632" s="29"/>
      <c r="O632" s="29"/>
      <c r="P632" s="29"/>
    </row>
    <row r="633" ht="14.25" customHeight="1">
      <c r="G633" s="29"/>
      <c r="M633" s="29"/>
      <c r="N633" s="29"/>
      <c r="O633" s="29"/>
      <c r="P633" s="29"/>
    </row>
    <row r="634" ht="14.25" customHeight="1">
      <c r="G634" s="29"/>
      <c r="M634" s="29"/>
      <c r="N634" s="29"/>
      <c r="O634" s="29"/>
      <c r="P634" s="29"/>
    </row>
    <row r="635" ht="14.25" customHeight="1">
      <c r="G635" s="29"/>
      <c r="M635" s="29"/>
      <c r="N635" s="29"/>
      <c r="O635" s="29"/>
      <c r="P635" s="29"/>
    </row>
    <row r="636" ht="14.25" customHeight="1">
      <c r="G636" s="29"/>
      <c r="M636" s="29"/>
      <c r="N636" s="29"/>
      <c r="O636" s="29"/>
      <c r="P636" s="29"/>
    </row>
    <row r="637" ht="14.25" customHeight="1">
      <c r="G637" s="29"/>
      <c r="M637" s="29"/>
      <c r="N637" s="29"/>
      <c r="O637" s="29"/>
      <c r="P637" s="29"/>
    </row>
    <row r="638" ht="14.25" customHeight="1">
      <c r="G638" s="29"/>
      <c r="M638" s="29"/>
      <c r="N638" s="29"/>
      <c r="O638" s="29"/>
      <c r="P638" s="29"/>
    </row>
    <row r="639" ht="14.25" customHeight="1">
      <c r="G639" s="29"/>
      <c r="M639" s="29"/>
      <c r="N639" s="29"/>
      <c r="O639" s="29"/>
      <c r="P639" s="29"/>
    </row>
    <row r="640" ht="14.25" customHeight="1">
      <c r="G640" s="29"/>
      <c r="M640" s="29"/>
      <c r="N640" s="29"/>
      <c r="O640" s="29"/>
      <c r="P640" s="29"/>
    </row>
    <row r="641" ht="14.25" customHeight="1">
      <c r="G641" s="29"/>
      <c r="M641" s="29"/>
      <c r="N641" s="29"/>
      <c r="O641" s="29"/>
      <c r="P641" s="29"/>
    </row>
    <row r="642" ht="14.25" customHeight="1">
      <c r="G642" s="29"/>
      <c r="M642" s="29"/>
      <c r="N642" s="29"/>
      <c r="O642" s="29"/>
      <c r="P642" s="29"/>
    </row>
    <row r="643" ht="14.25" customHeight="1">
      <c r="G643" s="29"/>
      <c r="M643" s="29"/>
      <c r="N643" s="29"/>
      <c r="O643" s="29"/>
      <c r="P643" s="29"/>
    </row>
    <row r="644" ht="14.25" customHeight="1">
      <c r="G644" s="29"/>
      <c r="M644" s="29"/>
      <c r="N644" s="29"/>
      <c r="O644" s="29"/>
      <c r="P644" s="29"/>
    </row>
    <row r="645" ht="14.25" customHeight="1">
      <c r="G645" s="29"/>
      <c r="M645" s="29"/>
      <c r="N645" s="29"/>
      <c r="O645" s="29"/>
      <c r="P645" s="29"/>
    </row>
    <row r="646" ht="14.25" customHeight="1">
      <c r="G646" s="29"/>
      <c r="M646" s="29"/>
      <c r="N646" s="29"/>
      <c r="O646" s="29"/>
      <c r="P646" s="29"/>
    </row>
    <row r="647" ht="14.25" customHeight="1">
      <c r="G647" s="29"/>
      <c r="M647" s="29"/>
      <c r="N647" s="29"/>
      <c r="O647" s="29"/>
      <c r="P647" s="29"/>
    </row>
    <row r="648" ht="14.25" customHeight="1">
      <c r="G648" s="29"/>
      <c r="M648" s="29"/>
      <c r="N648" s="29"/>
      <c r="O648" s="29"/>
      <c r="P648" s="29"/>
    </row>
    <row r="649" ht="14.25" customHeight="1">
      <c r="G649" s="29"/>
      <c r="M649" s="29"/>
      <c r="N649" s="29"/>
      <c r="O649" s="29"/>
      <c r="P649" s="29"/>
    </row>
    <row r="650" ht="14.25" customHeight="1">
      <c r="G650" s="29"/>
      <c r="M650" s="29"/>
      <c r="N650" s="29"/>
      <c r="O650" s="29"/>
      <c r="P650" s="29"/>
    </row>
    <row r="651" ht="14.25" customHeight="1">
      <c r="G651" s="29"/>
      <c r="M651" s="29"/>
      <c r="N651" s="29"/>
      <c r="O651" s="29"/>
      <c r="P651" s="29"/>
    </row>
    <row r="652" ht="14.25" customHeight="1">
      <c r="G652" s="29"/>
      <c r="M652" s="29"/>
      <c r="N652" s="29"/>
      <c r="O652" s="29"/>
      <c r="P652" s="29"/>
    </row>
    <row r="653" ht="14.25" customHeight="1">
      <c r="G653" s="29"/>
      <c r="M653" s="29"/>
      <c r="N653" s="29"/>
      <c r="O653" s="29"/>
      <c r="P653" s="29"/>
    </row>
    <row r="654" ht="14.25" customHeight="1">
      <c r="G654" s="29"/>
      <c r="M654" s="29"/>
      <c r="N654" s="29"/>
      <c r="O654" s="29"/>
      <c r="P654" s="29"/>
    </row>
    <row r="655" ht="14.25" customHeight="1">
      <c r="G655" s="29"/>
      <c r="M655" s="29"/>
      <c r="N655" s="29"/>
      <c r="O655" s="29"/>
      <c r="P655" s="29"/>
    </row>
    <row r="656" ht="14.25" customHeight="1">
      <c r="G656" s="29"/>
      <c r="M656" s="29"/>
      <c r="N656" s="29"/>
      <c r="O656" s="29"/>
      <c r="P656" s="29"/>
    </row>
    <row r="657" ht="14.25" customHeight="1">
      <c r="G657" s="29"/>
      <c r="M657" s="29"/>
      <c r="N657" s="29"/>
      <c r="O657" s="29"/>
      <c r="P657" s="29"/>
    </row>
    <row r="658" ht="14.25" customHeight="1">
      <c r="G658" s="29"/>
      <c r="M658" s="29"/>
      <c r="N658" s="29"/>
      <c r="O658" s="29"/>
      <c r="P658" s="29"/>
    </row>
    <row r="659" ht="14.25" customHeight="1">
      <c r="G659" s="29"/>
      <c r="M659" s="29"/>
      <c r="N659" s="29"/>
      <c r="O659" s="29"/>
      <c r="P659" s="29"/>
    </row>
    <row r="660" ht="14.25" customHeight="1">
      <c r="G660" s="29"/>
      <c r="M660" s="29"/>
      <c r="N660" s="29"/>
      <c r="O660" s="29"/>
      <c r="P660" s="29"/>
    </row>
    <row r="661" ht="14.25" customHeight="1">
      <c r="G661" s="29"/>
      <c r="M661" s="29"/>
      <c r="N661" s="29"/>
      <c r="O661" s="29"/>
      <c r="P661" s="29"/>
    </row>
    <row r="662" ht="14.25" customHeight="1">
      <c r="G662" s="29"/>
      <c r="M662" s="29"/>
      <c r="N662" s="29"/>
      <c r="O662" s="29"/>
      <c r="P662" s="29"/>
    </row>
    <row r="663" ht="14.25" customHeight="1">
      <c r="G663" s="29"/>
      <c r="M663" s="29"/>
      <c r="N663" s="29"/>
      <c r="O663" s="29"/>
      <c r="P663" s="29"/>
    </row>
    <row r="664" ht="14.25" customHeight="1">
      <c r="G664" s="29"/>
      <c r="M664" s="29"/>
      <c r="N664" s="29"/>
      <c r="O664" s="29"/>
      <c r="P664" s="29"/>
    </row>
    <row r="665" ht="14.25" customHeight="1">
      <c r="G665" s="29"/>
      <c r="M665" s="29"/>
      <c r="N665" s="29"/>
      <c r="O665" s="29"/>
      <c r="P665" s="29"/>
    </row>
    <row r="666" ht="14.25" customHeight="1">
      <c r="G666" s="29"/>
      <c r="M666" s="29"/>
      <c r="N666" s="29"/>
      <c r="O666" s="29"/>
      <c r="P666" s="29"/>
    </row>
    <row r="667" ht="14.25" customHeight="1">
      <c r="G667" s="29"/>
      <c r="M667" s="29"/>
      <c r="N667" s="29"/>
      <c r="O667" s="29"/>
      <c r="P667" s="29"/>
    </row>
    <row r="668" ht="14.25" customHeight="1">
      <c r="G668" s="29"/>
      <c r="M668" s="29"/>
      <c r="N668" s="29"/>
      <c r="O668" s="29"/>
      <c r="P668" s="29"/>
    </row>
    <row r="669" ht="14.25" customHeight="1">
      <c r="G669" s="29"/>
      <c r="M669" s="29"/>
      <c r="N669" s="29"/>
      <c r="O669" s="29"/>
      <c r="P669" s="29"/>
    </row>
    <row r="670" ht="14.25" customHeight="1">
      <c r="G670" s="29"/>
      <c r="M670" s="29"/>
      <c r="N670" s="29"/>
      <c r="O670" s="29"/>
      <c r="P670" s="29"/>
    </row>
    <row r="671" ht="14.25" customHeight="1">
      <c r="G671" s="29"/>
      <c r="M671" s="29"/>
      <c r="N671" s="29"/>
      <c r="O671" s="29"/>
      <c r="P671" s="29"/>
    </row>
    <row r="672" ht="14.25" customHeight="1">
      <c r="G672" s="29"/>
      <c r="M672" s="29"/>
      <c r="N672" s="29"/>
      <c r="O672" s="29"/>
      <c r="P672" s="29"/>
    </row>
    <row r="673" ht="14.25" customHeight="1">
      <c r="G673" s="29"/>
      <c r="M673" s="29"/>
      <c r="N673" s="29"/>
      <c r="O673" s="29"/>
      <c r="P673" s="29"/>
    </row>
    <row r="674" ht="14.25" customHeight="1">
      <c r="G674" s="29"/>
      <c r="M674" s="29"/>
      <c r="N674" s="29"/>
      <c r="O674" s="29"/>
      <c r="P674" s="29"/>
    </row>
    <row r="675" ht="14.25" customHeight="1">
      <c r="G675" s="29"/>
      <c r="M675" s="29"/>
      <c r="N675" s="29"/>
      <c r="O675" s="29"/>
      <c r="P675" s="29"/>
    </row>
    <row r="676" ht="14.25" customHeight="1">
      <c r="G676" s="29"/>
      <c r="M676" s="29"/>
      <c r="N676" s="29"/>
      <c r="O676" s="29"/>
      <c r="P676" s="29"/>
    </row>
    <row r="677" ht="14.25" customHeight="1">
      <c r="G677" s="29"/>
      <c r="M677" s="29"/>
      <c r="N677" s="29"/>
      <c r="O677" s="29"/>
      <c r="P677" s="29"/>
    </row>
    <row r="678" ht="14.25" customHeight="1">
      <c r="G678" s="29"/>
      <c r="M678" s="29"/>
      <c r="N678" s="29"/>
      <c r="O678" s="29"/>
      <c r="P678" s="29"/>
    </row>
    <row r="679" ht="14.25" customHeight="1">
      <c r="G679" s="29"/>
      <c r="M679" s="29"/>
      <c r="N679" s="29"/>
      <c r="O679" s="29"/>
      <c r="P679" s="29"/>
    </row>
    <row r="680" ht="14.25" customHeight="1">
      <c r="G680" s="29"/>
      <c r="M680" s="29"/>
      <c r="N680" s="29"/>
      <c r="O680" s="29"/>
      <c r="P680" s="29"/>
    </row>
    <row r="681" ht="14.25" customHeight="1">
      <c r="G681" s="29"/>
      <c r="M681" s="29"/>
      <c r="N681" s="29"/>
      <c r="O681" s="29"/>
      <c r="P681" s="29"/>
    </row>
    <row r="682" ht="14.25" customHeight="1">
      <c r="G682" s="29"/>
      <c r="M682" s="29"/>
      <c r="N682" s="29"/>
      <c r="O682" s="29"/>
      <c r="P682" s="29"/>
    </row>
    <row r="683" ht="14.25" customHeight="1">
      <c r="G683" s="29"/>
      <c r="M683" s="29"/>
      <c r="N683" s="29"/>
      <c r="O683" s="29"/>
      <c r="P683" s="29"/>
    </row>
    <row r="684" ht="14.25" customHeight="1">
      <c r="G684" s="29"/>
      <c r="M684" s="29"/>
      <c r="N684" s="29"/>
      <c r="O684" s="29"/>
      <c r="P684" s="29"/>
    </row>
    <row r="685" ht="14.25" customHeight="1">
      <c r="G685" s="29"/>
      <c r="M685" s="29"/>
      <c r="N685" s="29"/>
      <c r="O685" s="29"/>
      <c r="P685" s="29"/>
    </row>
    <row r="686" ht="14.25" customHeight="1">
      <c r="G686" s="29"/>
      <c r="M686" s="29"/>
      <c r="N686" s="29"/>
      <c r="O686" s="29"/>
      <c r="P686" s="29"/>
    </row>
    <row r="687" ht="14.25" customHeight="1">
      <c r="G687" s="29"/>
      <c r="M687" s="29"/>
      <c r="N687" s="29"/>
      <c r="O687" s="29"/>
      <c r="P687" s="29"/>
    </row>
    <row r="688" ht="14.25" customHeight="1">
      <c r="G688" s="29"/>
      <c r="M688" s="29"/>
      <c r="N688" s="29"/>
      <c r="O688" s="29"/>
      <c r="P688" s="29"/>
    </row>
    <row r="689" ht="14.25" customHeight="1">
      <c r="G689" s="29"/>
      <c r="M689" s="29"/>
      <c r="N689" s="29"/>
      <c r="O689" s="29"/>
      <c r="P689" s="29"/>
    </row>
    <row r="690" ht="14.25" customHeight="1">
      <c r="G690" s="29"/>
      <c r="M690" s="29"/>
      <c r="N690" s="29"/>
      <c r="O690" s="29"/>
      <c r="P690" s="29"/>
    </row>
    <row r="691" ht="14.25" customHeight="1">
      <c r="G691" s="29"/>
      <c r="M691" s="29"/>
      <c r="N691" s="29"/>
      <c r="O691" s="29"/>
      <c r="P691" s="29"/>
    </row>
    <row r="692" ht="14.25" customHeight="1">
      <c r="G692" s="29"/>
      <c r="M692" s="29"/>
      <c r="N692" s="29"/>
      <c r="O692" s="29"/>
      <c r="P692" s="29"/>
    </row>
    <row r="693" ht="14.25" customHeight="1">
      <c r="G693" s="29"/>
      <c r="M693" s="29"/>
      <c r="N693" s="29"/>
      <c r="O693" s="29"/>
      <c r="P693" s="29"/>
    </row>
    <row r="694" ht="14.25" customHeight="1">
      <c r="G694" s="29"/>
      <c r="M694" s="29"/>
      <c r="N694" s="29"/>
      <c r="O694" s="29"/>
      <c r="P694" s="29"/>
    </row>
    <row r="695" ht="14.25" customHeight="1">
      <c r="G695" s="29"/>
      <c r="M695" s="29"/>
      <c r="N695" s="29"/>
      <c r="O695" s="29"/>
      <c r="P695" s="29"/>
    </row>
    <row r="696" ht="14.25" customHeight="1">
      <c r="G696" s="29"/>
      <c r="M696" s="29"/>
      <c r="N696" s="29"/>
      <c r="O696" s="29"/>
      <c r="P696" s="29"/>
    </row>
    <row r="697" ht="14.25" customHeight="1">
      <c r="G697" s="29"/>
      <c r="M697" s="29"/>
      <c r="N697" s="29"/>
      <c r="O697" s="29"/>
      <c r="P697" s="29"/>
    </row>
    <row r="698" ht="14.25" customHeight="1">
      <c r="G698" s="29"/>
      <c r="M698" s="29"/>
      <c r="N698" s="29"/>
      <c r="O698" s="29"/>
      <c r="P698" s="29"/>
    </row>
    <row r="699" ht="14.25" customHeight="1">
      <c r="G699" s="29"/>
      <c r="M699" s="29"/>
      <c r="N699" s="29"/>
      <c r="O699" s="29"/>
      <c r="P699" s="29"/>
    </row>
    <row r="700" ht="14.25" customHeight="1">
      <c r="G700" s="29"/>
      <c r="M700" s="29"/>
      <c r="N700" s="29"/>
      <c r="O700" s="29"/>
      <c r="P700" s="29"/>
    </row>
    <row r="701" ht="14.25" customHeight="1">
      <c r="G701" s="29"/>
      <c r="M701" s="29"/>
      <c r="N701" s="29"/>
      <c r="O701" s="29"/>
      <c r="P701" s="29"/>
    </row>
    <row r="702" ht="14.25" customHeight="1">
      <c r="G702" s="29"/>
      <c r="M702" s="29"/>
      <c r="N702" s="29"/>
      <c r="O702" s="29"/>
      <c r="P702" s="29"/>
    </row>
    <row r="703" ht="14.25" customHeight="1">
      <c r="G703" s="29"/>
      <c r="M703" s="29"/>
      <c r="N703" s="29"/>
      <c r="O703" s="29"/>
      <c r="P703" s="29"/>
    </row>
    <row r="704" ht="14.25" customHeight="1">
      <c r="G704" s="29"/>
      <c r="M704" s="29"/>
      <c r="N704" s="29"/>
      <c r="O704" s="29"/>
      <c r="P704" s="29"/>
    </row>
    <row r="705" ht="14.25" customHeight="1">
      <c r="G705" s="29"/>
      <c r="M705" s="29"/>
      <c r="N705" s="29"/>
      <c r="O705" s="29"/>
      <c r="P705" s="29"/>
    </row>
    <row r="706" ht="14.25" customHeight="1">
      <c r="G706" s="29"/>
      <c r="M706" s="29"/>
      <c r="N706" s="29"/>
      <c r="O706" s="29"/>
      <c r="P706" s="29"/>
    </row>
    <row r="707" ht="14.25" customHeight="1">
      <c r="G707" s="29"/>
      <c r="M707" s="29"/>
      <c r="N707" s="29"/>
      <c r="O707" s="29"/>
      <c r="P707" s="29"/>
    </row>
    <row r="708" ht="14.25" customHeight="1">
      <c r="G708" s="29"/>
      <c r="M708" s="29"/>
      <c r="N708" s="29"/>
      <c r="O708" s="29"/>
      <c r="P708" s="29"/>
    </row>
    <row r="709" ht="14.25" customHeight="1">
      <c r="G709" s="29"/>
      <c r="M709" s="29"/>
      <c r="N709" s="29"/>
      <c r="O709" s="29"/>
      <c r="P709" s="29"/>
    </row>
    <row r="710" ht="14.25" customHeight="1">
      <c r="G710" s="29"/>
      <c r="M710" s="29"/>
      <c r="N710" s="29"/>
      <c r="O710" s="29"/>
      <c r="P710" s="29"/>
    </row>
    <row r="711" ht="14.25" customHeight="1">
      <c r="G711" s="29"/>
      <c r="M711" s="29"/>
      <c r="N711" s="29"/>
      <c r="O711" s="29"/>
      <c r="P711" s="29"/>
    </row>
    <row r="712" ht="14.25" customHeight="1">
      <c r="G712" s="29"/>
      <c r="M712" s="29"/>
      <c r="N712" s="29"/>
      <c r="O712" s="29"/>
      <c r="P712" s="29"/>
    </row>
    <row r="713" ht="14.25" customHeight="1">
      <c r="G713" s="29"/>
      <c r="M713" s="29"/>
      <c r="N713" s="29"/>
      <c r="O713" s="29"/>
      <c r="P713" s="29"/>
    </row>
    <row r="714" ht="14.25" customHeight="1">
      <c r="G714" s="29"/>
      <c r="M714" s="29"/>
      <c r="N714" s="29"/>
      <c r="O714" s="29"/>
      <c r="P714" s="29"/>
    </row>
    <row r="715" ht="14.25" customHeight="1">
      <c r="G715" s="29"/>
      <c r="M715" s="29"/>
      <c r="N715" s="29"/>
      <c r="O715" s="29"/>
      <c r="P715" s="29"/>
    </row>
    <row r="716" ht="14.25" customHeight="1">
      <c r="G716" s="29"/>
      <c r="M716" s="29"/>
      <c r="N716" s="29"/>
      <c r="O716" s="29"/>
      <c r="P716" s="29"/>
    </row>
    <row r="717" ht="14.25" customHeight="1">
      <c r="G717" s="29"/>
      <c r="M717" s="29"/>
      <c r="N717" s="29"/>
      <c r="O717" s="29"/>
      <c r="P717" s="29"/>
    </row>
    <row r="718" ht="14.25" customHeight="1">
      <c r="G718" s="29"/>
      <c r="M718" s="29"/>
      <c r="N718" s="29"/>
      <c r="O718" s="29"/>
      <c r="P718" s="29"/>
    </row>
    <row r="719" ht="14.25" customHeight="1">
      <c r="G719" s="29"/>
      <c r="M719" s="29"/>
      <c r="N719" s="29"/>
      <c r="O719" s="29"/>
      <c r="P719" s="29"/>
    </row>
    <row r="720" ht="14.25" customHeight="1">
      <c r="G720" s="29"/>
      <c r="M720" s="29"/>
      <c r="N720" s="29"/>
      <c r="O720" s="29"/>
      <c r="P720" s="29"/>
    </row>
    <row r="721" ht="14.25" customHeight="1">
      <c r="G721" s="29"/>
      <c r="M721" s="29"/>
      <c r="N721" s="29"/>
      <c r="O721" s="29"/>
      <c r="P721" s="29"/>
    </row>
    <row r="722" ht="14.25" customHeight="1">
      <c r="G722" s="29"/>
      <c r="M722" s="29"/>
      <c r="N722" s="29"/>
      <c r="O722" s="29"/>
      <c r="P722" s="29"/>
    </row>
    <row r="723" ht="14.25" customHeight="1">
      <c r="G723" s="29"/>
      <c r="M723" s="29"/>
      <c r="N723" s="29"/>
      <c r="O723" s="29"/>
      <c r="P723" s="29"/>
    </row>
    <row r="724" ht="14.25" customHeight="1">
      <c r="G724" s="29"/>
      <c r="M724" s="29"/>
      <c r="N724" s="29"/>
      <c r="O724" s="29"/>
      <c r="P724" s="29"/>
    </row>
    <row r="725" ht="14.25" customHeight="1">
      <c r="G725" s="29"/>
      <c r="M725" s="29"/>
      <c r="N725" s="29"/>
      <c r="O725" s="29"/>
      <c r="P725" s="29"/>
    </row>
    <row r="726" ht="14.25" customHeight="1">
      <c r="G726" s="29"/>
      <c r="M726" s="29"/>
      <c r="N726" s="29"/>
      <c r="O726" s="29"/>
      <c r="P726" s="29"/>
    </row>
    <row r="727" ht="14.25" customHeight="1">
      <c r="G727" s="29"/>
      <c r="M727" s="29"/>
      <c r="N727" s="29"/>
      <c r="O727" s="29"/>
      <c r="P727" s="29"/>
    </row>
    <row r="728" ht="14.25" customHeight="1">
      <c r="G728" s="29"/>
      <c r="M728" s="29"/>
      <c r="N728" s="29"/>
      <c r="O728" s="29"/>
      <c r="P728" s="29"/>
    </row>
    <row r="729" ht="14.25" customHeight="1">
      <c r="G729" s="29"/>
      <c r="M729" s="29"/>
      <c r="N729" s="29"/>
      <c r="O729" s="29"/>
      <c r="P729" s="29"/>
    </row>
    <row r="730" ht="14.25" customHeight="1">
      <c r="G730" s="29"/>
      <c r="M730" s="29"/>
      <c r="N730" s="29"/>
      <c r="O730" s="29"/>
      <c r="P730" s="29"/>
    </row>
    <row r="731" ht="14.25" customHeight="1">
      <c r="G731" s="29"/>
      <c r="M731" s="29"/>
      <c r="N731" s="29"/>
      <c r="O731" s="29"/>
      <c r="P731" s="29"/>
    </row>
    <row r="732" ht="14.25" customHeight="1">
      <c r="G732" s="29"/>
      <c r="M732" s="29"/>
      <c r="N732" s="29"/>
      <c r="O732" s="29"/>
      <c r="P732" s="29"/>
    </row>
    <row r="733" ht="14.25" customHeight="1">
      <c r="G733" s="29"/>
      <c r="M733" s="29"/>
      <c r="N733" s="29"/>
      <c r="O733" s="29"/>
      <c r="P733" s="29"/>
    </row>
    <row r="734" ht="14.25" customHeight="1">
      <c r="G734" s="29"/>
      <c r="M734" s="29"/>
      <c r="N734" s="29"/>
      <c r="O734" s="29"/>
      <c r="P734" s="29"/>
    </row>
    <row r="735" ht="14.25" customHeight="1">
      <c r="G735" s="29"/>
      <c r="M735" s="29"/>
      <c r="N735" s="29"/>
      <c r="O735" s="29"/>
      <c r="P735" s="29"/>
    </row>
    <row r="736" ht="14.25" customHeight="1">
      <c r="G736" s="29"/>
      <c r="M736" s="29"/>
      <c r="N736" s="29"/>
      <c r="O736" s="29"/>
      <c r="P736" s="29"/>
    </row>
    <row r="737" ht="14.25" customHeight="1">
      <c r="G737" s="29"/>
      <c r="M737" s="29"/>
      <c r="N737" s="29"/>
      <c r="O737" s="29"/>
      <c r="P737" s="29"/>
    </row>
    <row r="738" ht="14.25" customHeight="1">
      <c r="G738" s="29"/>
      <c r="M738" s="29"/>
      <c r="N738" s="29"/>
      <c r="O738" s="29"/>
      <c r="P738" s="29"/>
    </row>
    <row r="739" ht="14.25" customHeight="1">
      <c r="G739" s="29"/>
      <c r="M739" s="29"/>
      <c r="N739" s="29"/>
      <c r="O739" s="29"/>
      <c r="P739" s="29"/>
    </row>
    <row r="740" ht="14.25" customHeight="1">
      <c r="G740" s="29"/>
      <c r="M740" s="29"/>
      <c r="N740" s="29"/>
      <c r="O740" s="29"/>
      <c r="P740" s="29"/>
    </row>
    <row r="741" ht="14.25" customHeight="1">
      <c r="G741" s="29"/>
      <c r="M741" s="29"/>
      <c r="N741" s="29"/>
      <c r="O741" s="29"/>
      <c r="P741" s="29"/>
    </row>
    <row r="742" ht="14.25" customHeight="1">
      <c r="G742" s="29"/>
      <c r="M742" s="29"/>
      <c r="N742" s="29"/>
      <c r="O742" s="29"/>
      <c r="P742" s="29"/>
    </row>
    <row r="743" ht="14.25" customHeight="1">
      <c r="G743" s="29"/>
      <c r="M743" s="29"/>
      <c r="N743" s="29"/>
      <c r="O743" s="29"/>
      <c r="P743" s="29"/>
    </row>
    <row r="744" ht="14.25" customHeight="1">
      <c r="G744" s="29"/>
      <c r="M744" s="29"/>
      <c r="N744" s="29"/>
      <c r="O744" s="29"/>
      <c r="P744" s="29"/>
    </row>
    <row r="745" ht="14.25" customHeight="1">
      <c r="G745" s="29"/>
      <c r="M745" s="29"/>
      <c r="N745" s="29"/>
      <c r="O745" s="29"/>
      <c r="P745" s="29"/>
    </row>
    <row r="746" ht="14.25" customHeight="1">
      <c r="G746" s="29"/>
      <c r="M746" s="29"/>
      <c r="N746" s="29"/>
      <c r="O746" s="29"/>
      <c r="P746" s="29"/>
    </row>
    <row r="747" ht="14.25" customHeight="1">
      <c r="G747" s="29"/>
      <c r="M747" s="29"/>
      <c r="N747" s="29"/>
      <c r="O747" s="29"/>
      <c r="P747" s="29"/>
    </row>
    <row r="748" ht="14.25" customHeight="1">
      <c r="G748" s="29"/>
      <c r="M748" s="29"/>
      <c r="N748" s="29"/>
      <c r="O748" s="29"/>
      <c r="P748" s="29"/>
    </row>
    <row r="749" ht="14.25" customHeight="1">
      <c r="G749" s="29"/>
      <c r="M749" s="29"/>
      <c r="N749" s="29"/>
      <c r="O749" s="29"/>
      <c r="P749" s="29"/>
    </row>
    <row r="750" ht="14.25" customHeight="1">
      <c r="G750" s="29"/>
      <c r="M750" s="29"/>
      <c r="N750" s="29"/>
      <c r="O750" s="29"/>
      <c r="P750" s="29"/>
    </row>
    <row r="751" ht="14.25" customHeight="1">
      <c r="G751" s="29"/>
      <c r="M751" s="29"/>
      <c r="N751" s="29"/>
      <c r="O751" s="29"/>
      <c r="P751" s="29"/>
    </row>
    <row r="752" ht="14.25" customHeight="1">
      <c r="G752" s="29"/>
      <c r="M752" s="29"/>
      <c r="N752" s="29"/>
      <c r="O752" s="29"/>
      <c r="P752" s="29"/>
    </row>
    <row r="753" ht="14.25" customHeight="1">
      <c r="G753" s="29"/>
      <c r="M753" s="29"/>
      <c r="N753" s="29"/>
      <c r="O753" s="29"/>
      <c r="P753" s="29"/>
    </row>
    <row r="754" ht="14.25" customHeight="1">
      <c r="G754" s="29"/>
      <c r="M754" s="29"/>
      <c r="N754" s="29"/>
      <c r="O754" s="29"/>
      <c r="P754" s="29"/>
    </row>
    <row r="755" ht="14.25" customHeight="1">
      <c r="G755" s="29"/>
      <c r="M755" s="29"/>
      <c r="N755" s="29"/>
      <c r="O755" s="29"/>
      <c r="P755" s="29"/>
    </row>
    <row r="756" ht="14.25" customHeight="1">
      <c r="G756" s="29"/>
      <c r="M756" s="29"/>
      <c r="N756" s="29"/>
      <c r="O756" s="29"/>
      <c r="P756" s="29"/>
    </row>
    <row r="757" ht="14.25" customHeight="1">
      <c r="G757" s="29"/>
      <c r="M757" s="29"/>
      <c r="N757" s="29"/>
      <c r="O757" s="29"/>
      <c r="P757" s="29"/>
    </row>
    <row r="758" ht="14.25" customHeight="1">
      <c r="G758" s="29"/>
      <c r="M758" s="29"/>
      <c r="N758" s="29"/>
      <c r="O758" s="29"/>
      <c r="P758" s="29"/>
    </row>
    <row r="759" ht="14.25" customHeight="1">
      <c r="G759" s="29"/>
      <c r="M759" s="29"/>
      <c r="N759" s="29"/>
      <c r="O759" s="29"/>
      <c r="P759" s="29"/>
    </row>
    <row r="760" ht="14.25" customHeight="1">
      <c r="G760" s="29"/>
      <c r="M760" s="29"/>
      <c r="N760" s="29"/>
      <c r="O760" s="29"/>
      <c r="P760" s="29"/>
    </row>
    <row r="761" ht="14.25" customHeight="1">
      <c r="G761" s="29"/>
      <c r="M761" s="29"/>
      <c r="N761" s="29"/>
      <c r="O761" s="29"/>
      <c r="P761" s="29"/>
    </row>
    <row r="762" ht="14.25" customHeight="1">
      <c r="G762" s="29"/>
      <c r="M762" s="29"/>
      <c r="N762" s="29"/>
      <c r="O762" s="29"/>
      <c r="P762" s="29"/>
    </row>
    <row r="763" ht="14.25" customHeight="1">
      <c r="G763" s="29"/>
      <c r="M763" s="29"/>
      <c r="N763" s="29"/>
      <c r="O763" s="29"/>
      <c r="P763" s="29"/>
    </row>
    <row r="764" ht="14.25" customHeight="1">
      <c r="G764" s="29"/>
      <c r="M764" s="29"/>
      <c r="N764" s="29"/>
      <c r="O764" s="29"/>
      <c r="P764" s="29"/>
    </row>
    <row r="765" ht="14.25" customHeight="1">
      <c r="G765" s="29"/>
      <c r="M765" s="29"/>
      <c r="N765" s="29"/>
      <c r="O765" s="29"/>
      <c r="P765" s="29"/>
    </row>
    <row r="766" ht="14.25" customHeight="1">
      <c r="G766" s="29"/>
      <c r="M766" s="29"/>
      <c r="N766" s="29"/>
      <c r="O766" s="29"/>
      <c r="P766" s="29"/>
    </row>
    <row r="767" ht="14.25" customHeight="1">
      <c r="G767" s="29"/>
      <c r="M767" s="29"/>
      <c r="N767" s="29"/>
      <c r="O767" s="29"/>
      <c r="P767" s="29"/>
    </row>
    <row r="768" ht="14.25" customHeight="1">
      <c r="G768" s="29"/>
      <c r="M768" s="29"/>
      <c r="N768" s="29"/>
      <c r="O768" s="29"/>
      <c r="P768" s="29"/>
    </row>
    <row r="769" ht="14.25" customHeight="1">
      <c r="G769" s="29"/>
      <c r="M769" s="29"/>
      <c r="N769" s="29"/>
      <c r="O769" s="29"/>
      <c r="P769" s="29"/>
    </row>
    <row r="770" ht="14.25" customHeight="1">
      <c r="G770" s="29"/>
      <c r="M770" s="29"/>
      <c r="N770" s="29"/>
      <c r="O770" s="29"/>
      <c r="P770" s="29"/>
    </row>
    <row r="771" ht="14.25" customHeight="1">
      <c r="G771" s="29"/>
      <c r="M771" s="29"/>
      <c r="N771" s="29"/>
      <c r="O771" s="29"/>
      <c r="P771" s="29"/>
    </row>
    <row r="772" ht="14.25" customHeight="1">
      <c r="G772" s="29"/>
      <c r="M772" s="29"/>
      <c r="N772" s="29"/>
      <c r="O772" s="29"/>
      <c r="P772" s="29"/>
    </row>
    <row r="773" ht="14.25" customHeight="1">
      <c r="G773" s="29"/>
      <c r="M773" s="29"/>
      <c r="N773" s="29"/>
      <c r="O773" s="29"/>
      <c r="P773" s="29"/>
    </row>
    <row r="774" ht="14.25" customHeight="1">
      <c r="G774" s="29"/>
      <c r="M774" s="29"/>
      <c r="N774" s="29"/>
      <c r="O774" s="29"/>
      <c r="P774" s="29"/>
    </row>
    <row r="775" ht="14.25" customHeight="1">
      <c r="G775" s="29"/>
      <c r="M775" s="29"/>
      <c r="N775" s="29"/>
      <c r="O775" s="29"/>
      <c r="P775" s="29"/>
    </row>
    <row r="776" ht="14.25" customHeight="1">
      <c r="G776" s="29"/>
      <c r="M776" s="29"/>
      <c r="N776" s="29"/>
      <c r="O776" s="29"/>
      <c r="P776" s="29"/>
    </row>
    <row r="777" ht="14.25" customHeight="1">
      <c r="G777" s="29"/>
      <c r="M777" s="29"/>
      <c r="N777" s="29"/>
      <c r="O777" s="29"/>
      <c r="P777" s="29"/>
    </row>
    <row r="778" ht="14.25" customHeight="1">
      <c r="G778" s="29"/>
      <c r="M778" s="29"/>
      <c r="N778" s="29"/>
      <c r="O778" s="29"/>
      <c r="P778" s="29"/>
    </row>
    <row r="779" ht="14.25" customHeight="1">
      <c r="G779" s="29"/>
      <c r="M779" s="29"/>
      <c r="N779" s="29"/>
      <c r="O779" s="29"/>
      <c r="P779" s="29"/>
    </row>
    <row r="780" ht="14.25" customHeight="1">
      <c r="G780" s="29"/>
      <c r="M780" s="29"/>
      <c r="N780" s="29"/>
      <c r="O780" s="29"/>
      <c r="P780" s="29"/>
    </row>
    <row r="781" ht="14.25" customHeight="1">
      <c r="G781" s="29"/>
      <c r="M781" s="29"/>
      <c r="N781" s="29"/>
      <c r="O781" s="29"/>
      <c r="P781" s="29"/>
    </row>
    <row r="782" ht="14.25" customHeight="1">
      <c r="G782" s="29"/>
      <c r="M782" s="29"/>
      <c r="N782" s="29"/>
      <c r="O782" s="29"/>
      <c r="P782" s="29"/>
    </row>
    <row r="783" ht="14.25" customHeight="1">
      <c r="G783" s="29"/>
      <c r="M783" s="29"/>
      <c r="N783" s="29"/>
      <c r="O783" s="29"/>
      <c r="P783" s="29"/>
    </row>
    <row r="784" ht="14.25" customHeight="1">
      <c r="G784" s="29"/>
      <c r="M784" s="29"/>
      <c r="N784" s="29"/>
      <c r="O784" s="29"/>
      <c r="P784" s="29"/>
    </row>
    <row r="785" ht="14.25" customHeight="1">
      <c r="G785" s="29"/>
      <c r="M785" s="29"/>
      <c r="N785" s="29"/>
      <c r="O785" s="29"/>
      <c r="P785" s="29"/>
    </row>
    <row r="786" ht="14.25" customHeight="1">
      <c r="G786" s="29"/>
      <c r="M786" s="29"/>
      <c r="N786" s="29"/>
      <c r="O786" s="29"/>
      <c r="P786" s="29"/>
    </row>
    <row r="787" ht="14.25" customHeight="1">
      <c r="G787" s="29"/>
      <c r="M787" s="29"/>
      <c r="N787" s="29"/>
      <c r="O787" s="29"/>
      <c r="P787" s="29"/>
    </row>
    <row r="788" ht="14.25" customHeight="1">
      <c r="G788" s="29"/>
      <c r="M788" s="29"/>
      <c r="N788" s="29"/>
      <c r="O788" s="29"/>
      <c r="P788" s="29"/>
    </row>
    <row r="789" ht="14.25" customHeight="1">
      <c r="G789" s="29"/>
      <c r="M789" s="29"/>
      <c r="N789" s="29"/>
      <c r="O789" s="29"/>
      <c r="P789" s="29"/>
    </row>
    <row r="790" ht="14.25" customHeight="1">
      <c r="G790" s="29"/>
      <c r="M790" s="29"/>
      <c r="N790" s="29"/>
      <c r="O790" s="29"/>
      <c r="P790" s="29"/>
    </row>
    <row r="791" ht="14.25" customHeight="1">
      <c r="G791" s="29"/>
      <c r="M791" s="29"/>
      <c r="N791" s="29"/>
      <c r="O791" s="29"/>
      <c r="P791" s="29"/>
    </row>
    <row r="792" ht="14.25" customHeight="1">
      <c r="G792" s="29"/>
      <c r="M792" s="29"/>
      <c r="N792" s="29"/>
      <c r="O792" s="29"/>
      <c r="P792" s="29"/>
    </row>
    <row r="793" ht="14.25" customHeight="1">
      <c r="G793" s="29"/>
      <c r="M793" s="29"/>
      <c r="N793" s="29"/>
      <c r="O793" s="29"/>
      <c r="P793" s="29"/>
    </row>
    <row r="794" ht="14.25" customHeight="1">
      <c r="G794" s="29"/>
      <c r="M794" s="29"/>
      <c r="N794" s="29"/>
      <c r="O794" s="29"/>
      <c r="P794" s="29"/>
    </row>
    <row r="795" ht="14.25" customHeight="1">
      <c r="G795" s="29"/>
      <c r="M795" s="29"/>
      <c r="N795" s="29"/>
      <c r="O795" s="29"/>
      <c r="P795" s="29"/>
    </row>
    <row r="796" ht="14.25" customHeight="1">
      <c r="G796" s="29"/>
      <c r="M796" s="29"/>
      <c r="N796" s="29"/>
      <c r="O796" s="29"/>
      <c r="P796" s="29"/>
    </row>
    <row r="797" ht="14.25" customHeight="1">
      <c r="G797" s="29"/>
      <c r="M797" s="29"/>
      <c r="N797" s="29"/>
      <c r="O797" s="29"/>
      <c r="P797" s="29"/>
    </row>
    <row r="798" ht="14.25" customHeight="1">
      <c r="G798" s="29"/>
      <c r="M798" s="29"/>
      <c r="N798" s="29"/>
      <c r="O798" s="29"/>
      <c r="P798" s="29"/>
    </row>
    <row r="799" ht="14.25" customHeight="1">
      <c r="G799" s="29"/>
      <c r="M799" s="29"/>
      <c r="N799" s="29"/>
      <c r="O799" s="29"/>
      <c r="P799" s="29"/>
    </row>
    <row r="800" ht="14.25" customHeight="1">
      <c r="G800" s="29"/>
      <c r="M800" s="29"/>
      <c r="N800" s="29"/>
      <c r="O800" s="29"/>
      <c r="P800" s="29"/>
    </row>
    <row r="801" ht="14.25" customHeight="1">
      <c r="G801" s="29"/>
      <c r="M801" s="29"/>
      <c r="N801" s="29"/>
      <c r="O801" s="29"/>
      <c r="P801" s="29"/>
    </row>
    <row r="802" ht="14.25" customHeight="1">
      <c r="G802" s="29"/>
      <c r="M802" s="29"/>
      <c r="N802" s="29"/>
      <c r="O802" s="29"/>
      <c r="P802" s="29"/>
    </row>
    <row r="803" ht="14.25" customHeight="1">
      <c r="G803" s="29"/>
      <c r="M803" s="29"/>
      <c r="N803" s="29"/>
      <c r="O803" s="29"/>
      <c r="P803" s="29"/>
    </row>
    <row r="804" ht="14.25" customHeight="1">
      <c r="G804" s="29"/>
      <c r="M804" s="29"/>
      <c r="N804" s="29"/>
      <c r="O804" s="29"/>
      <c r="P804" s="29"/>
    </row>
    <row r="805" ht="14.25" customHeight="1">
      <c r="G805" s="29"/>
      <c r="M805" s="29"/>
      <c r="N805" s="29"/>
      <c r="O805" s="29"/>
      <c r="P805" s="29"/>
    </row>
    <row r="806" ht="14.25" customHeight="1">
      <c r="G806" s="29"/>
      <c r="M806" s="29"/>
      <c r="N806" s="29"/>
      <c r="O806" s="29"/>
      <c r="P806" s="29"/>
    </row>
    <row r="807" ht="14.25" customHeight="1">
      <c r="G807" s="29"/>
      <c r="M807" s="29"/>
      <c r="N807" s="29"/>
      <c r="O807" s="29"/>
      <c r="P807" s="29"/>
    </row>
    <row r="808" ht="14.25" customHeight="1">
      <c r="G808" s="29"/>
      <c r="M808" s="29"/>
      <c r="N808" s="29"/>
      <c r="O808" s="29"/>
      <c r="P808" s="29"/>
    </row>
    <row r="809" ht="14.25" customHeight="1">
      <c r="G809" s="29"/>
      <c r="M809" s="29"/>
      <c r="N809" s="29"/>
      <c r="O809" s="29"/>
      <c r="P809" s="29"/>
    </row>
    <row r="810" ht="14.25" customHeight="1">
      <c r="G810" s="29"/>
      <c r="M810" s="29"/>
      <c r="N810" s="29"/>
      <c r="O810" s="29"/>
      <c r="P810" s="29"/>
    </row>
    <row r="811" ht="14.25" customHeight="1">
      <c r="G811" s="29"/>
      <c r="M811" s="29"/>
      <c r="N811" s="29"/>
      <c r="O811" s="29"/>
      <c r="P811" s="29"/>
    </row>
    <row r="812" ht="14.25" customHeight="1">
      <c r="G812" s="29"/>
      <c r="M812" s="29"/>
      <c r="N812" s="29"/>
      <c r="O812" s="29"/>
      <c r="P812" s="29"/>
    </row>
    <row r="813" ht="14.25" customHeight="1">
      <c r="G813" s="29"/>
      <c r="M813" s="29"/>
      <c r="N813" s="29"/>
      <c r="O813" s="29"/>
      <c r="P813" s="29"/>
    </row>
    <row r="814" ht="14.25" customHeight="1">
      <c r="G814" s="29"/>
      <c r="M814" s="29"/>
      <c r="N814" s="29"/>
      <c r="O814" s="29"/>
      <c r="P814" s="29"/>
    </row>
    <row r="815" ht="14.25" customHeight="1">
      <c r="G815" s="29"/>
      <c r="M815" s="29"/>
      <c r="N815" s="29"/>
      <c r="O815" s="29"/>
      <c r="P815" s="29"/>
    </row>
    <row r="816" ht="14.25" customHeight="1">
      <c r="G816" s="29"/>
      <c r="M816" s="29"/>
      <c r="N816" s="29"/>
      <c r="O816" s="29"/>
      <c r="P816" s="29"/>
    </row>
    <row r="817" ht="14.25" customHeight="1">
      <c r="G817" s="29"/>
      <c r="M817" s="29"/>
      <c r="N817" s="29"/>
      <c r="O817" s="29"/>
      <c r="P817" s="29"/>
    </row>
    <row r="818" ht="14.25" customHeight="1">
      <c r="G818" s="29"/>
      <c r="M818" s="29"/>
      <c r="N818" s="29"/>
      <c r="O818" s="29"/>
      <c r="P818" s="29"/>
    </row>
    <row r="819" ht="14.25" customHeight="1">
      <c r="G819" s="29"/>
      <c r="M819" s="29"/>
      <c r="N819" s="29"/>
      <c r="O819" s="29"/>
      <c r="P819" s="29"/>
    </row>
    <row r="820" ht="14.25" customHeight="1">
      <c r="G820" s="29"/>
      <c r="M820" s="29"/>
      <c r="N820" s="29"/>
      <c r="O820" s="29"/>
      <c r="P820" s="29"/>
    </row>
    <row r="821" ht="14.25" customHeight="1">
      <c r="G821" s="29"/>
      <c r="M821" s="29"/>
      <c r="N821" s="29"/>
      <c r="O821" s="29"/>
      <c r="P821" s="29"/>
    </row>
    <row r="822" ht="14.25" customHeight="1">
      <c r="G822" s="29"/>
      <c r="M822" s="29"/>
      <c r="N822" s="29"/>
      <c r="O822" s="29"/>
      <c r="P822" s="29"/>
    </row>
    <row r="823" ht="14.25" customHeight="1">
      <c r="G823" s="29"/>
      <c r="M823" s="29"/>
      <c r="N823" s="29"/>
      <c r="O823" s="29"/>
      <c r="P823" s="29"/>
    </row>
    <row r="824" ht="14.25" customHeight="1">
      <c r="G824" s="29"/>
      <c r="M824" s="29"/>
      <c r="N824" s="29"/>
      <c r="O824" s="29"/>
      <c r="P824" s="29"/>
    </row>
    <row r="825" ht="14.25" customHeight="1">
      <c r="G825" s="29"/>
      <c r="M825" s="29"/>
      <c r="N825" s="29"/>
      <c r="O825" s="29"/>
      <c r="P825" s="29"/>
    </row>
    <row r="826" ht="14.25" customHeight="1">
      <c r="G826" s="29"/>
      <c r="M826" s="29"/>
      <c r="N826" s="29"/>
      <c r="O826" s="29"/>
      <c r="P826" s="29"/>
    </row>
    <row r="827" ht="14.25" customHeight="1">
      <c r="G827" s="29"/>
      <c r="M827" s="29"/>
      <c r="N827" s="29"/>
      <c r="O827" s="29"/>
      <c r="P827" s="29"/>
    </row>
    <row r="828" ht="14.25" customHeight="1">
      <c r="G828" s="29"/>
      <c r="M828" s="29"/>
      <c r="N828" s="29"/>
      <c r="O828" s="29"/>
      <c r="P828" s="29"/>
    </row>
    <row r="829" ht="14.25" customHeight="1">
      <c r="G829" s="29"/>
      <c r="M829" s="29"/>
      <c r="N829" s="29"/>
      <c r="O829" s="29"/>
      <c r="P829" s="29"/>
    </row>
    <row r="830" ht="14.25" customHeight="1">
      <c r="G830" s="29"/>
      <c r="M830" s="29"/>
      <c r="N830" s="29"/>
      <c r="O830" s="29"/>
      <c r="P830" s="29"/>
    </row>
    <row r="831" ht="14.25" customHeight="1">
      <c r="G831" s="29"/>
      <c r="M831" s="29"/>
      <c r="N831" s="29"/>
      <c r="O831" s="29"/>
      <c r="P831" s="29"/>
    </row>
    <row r="832" ht="14.25" customHeight="1">
      <c r="G832" s="29"/>
      <c r="M832" s="29"/>
      <c r="N832" s="29"/>
      <c r="O832" s="29"/>
      <c r="P832" s="29"/>
    </row>
    <row r="833" ht="14.25" customHeight="1">
      <c r="G833" s="29"/>
      <c r="M833" s="29"/>
      <c r="N833" s="29"/>
      <c r="O833" s="29"/>
      <c r="P833" s="29"/>
    </row>
    <row r="834" ht="14.25" customHeight="1">
      <c r="G834" s="29"/>
      <c r="M834" s="29"/>
      <c r="N834" s="29"/>
      <c r="O834" s="29"/>
      <c r="P834" s="29"/>
    </row>
    <row r="835" ht="14.25" customHeight="1">
      <c r="G835" s="29"/>
      <c r="M835" s="29"/>
      <c r="N835" s="29"/>
      <c r="O835" s="29"/>
      <c r="P835" s="29"/>
    </row>
    <row r="836" ht="14.25" customHeight="1">
      <c r="G836" s="29"/>
      <c r="M836" s="29"/>
      <c r="N836" s="29"/>
      <c r="O836" s="29"/>
      <c r="P836" s="29"/>
    </row>
    <row r="837" ht="14.25" customHeight="1">
      <c r="G837" s="29"/>
      <c r="M837" s="29"/>
      <c r="N837" s="29"/>
      <c r="O837" s="29"/>
      <c r="P837" s="29"/>
    </row>
    <row r="838" ht="14.25" customHeight="1">
      <c r="G838" s="29"/>
      <c r="M838" s="29"/>
      <c r="N838" s="29"/>
      <c r="O838" s="29"/>
      <c r="P838" s="29"/>
    </row>
    <row r="839" ht="14.25" customHeight="1">
      <c r="G839" s="29"/>
      <c r="M839" s="29"/>
      <c r="N839" s="29"/>
      <c r="O839" s="29"/>
      <c r="P839" s="29"/>
    </row>
    <row r="840" ht="14.25" customHeight="1">
      <c r="G840" s="29"/>
      <c r="M840" s="29"/>
      <c r="N840" s="29"/>
      <c r="O840" s="29"/>
      <c r="P840" s="29"/>
    </row>
    <row r="841" ht="14.25" customHeight="1">
      <c r="G841" s="29"/>
      <c r="M841" s="29"/>
      <c r="N841" s="29"/>
      <c r="O841" s="29"/>
      <c r="P841" s="29"/>
    </row>
    <row r="842" ht="14.25" customHeight="1">
      <c r="G842" s="29"/>
      <c r="M842" s="29"/>
      <c r="N842" s="29"/>
      <c r="O842" s="29"/>
      <c r="P842" s="29"/>
    </row>
    <row r="843" ht="14.25" customHeight="1">
      <c r="G843" s="29"/>
      <c r="M843" s="29"/>
      <c r="N843" s="29"/>
      <c r="O843" s="29"/>
      <c r="P843" s="29"/>
    </row>
    <row r="844" ht="14.25" customHeight="1">
      <c r="G844" s="29"/>
      <c r="M844" s="29"/>
      <c r="N844" s="29"/>
      <c r="O844" s="29"/>
      <c r="P844" s="29"/>
    </row>
    <row r="845" ht="14.25" customHeight="1">
      <c r="G845" s="29"/>
      <c r="M845" s="29"/>
      <c r="N845" s="29"/>
      <c r="O845" s="29"/>
      <c r="P845" s="29"/>
    </row>
    <row r="846" ht="14.25" customHeight="1">
      <c r="G846" s="29"/>
      <c r="M846" s="29"/>
      <c r="N846" s="29"/>
      <c r="O846" s="29"/>
      <c r="P846" s="29"/>
    </row>
    <row r="847" ht="14.25" customHeight="1">
      <c r="G847" s="29"/>
      <c r="M847" s="29"/>
      <c r="N847" s="29"/>
      <c r="O847" s="29"/>
      <c r="P847" s="29"/>
    </row>
    <row r="848" ht="14.25" customHeight="1">
      <c r="G848" s="29"/>
      <c r="M848" s="29"/>
      <c r="N848" s="29"/>
      <c r="O848" s="29"/>
      <c r="P848" s="29"/>
    </row>
    <row r="849" ht="14.25" customHeight="1">
      <c r="G849" s="29"/>
      <c r="M849" s="29"/>
      <c r="N849" s="29"/>
      <c r="O849" s="29"/>
      <c r="P849" s="29"/>
    </row>
    <row r="850" ht="14.25" customHeight="1">
      <c r="G850" s="29"/>
      <c r="M850" s="29"/>
      <c r="N850" s="29"/>
      <c r="O850" s="29"/>
      <c r="P850" s="29"/>
    </row>
    <row r="851" ht="14.25" customHeight="1">
      <c r="G851" s="29"/>
      <c r="M851" s="29"/>
      <c r="N851" s="29"/>
      <c r="O851" s="29"/>
      <c r="P851" s="29"/>
    </row>
    <row r="852" ht="14.25" customHeight="1">
      <c r="G852" s="29"/>
      <c r="M852" s="29"/>
      <c r="N852" s="29"/>
      <c r="O852" s="29"/>
      <c r="P852" s="29"/>
    </row>
    <row r="853" ht="14.25" customHeight="1">
      <c r="G853" s="29"/>
      <c r="M853" s="29"/>
      <c r="N853" s="29"/>
      <c r="O853" s="29"/>
      <c r="P853" s="29"/>
    </row>
    <row r="854" ht="14.25" customHeight="1">
      <c r="G854" s="29"/>
      <c r="M854" s="29"/>
      <c r="N854" s="29"/>
      <c r="O854" s="29"/>
      <c r="P854" s="29"/>
    </row>
    <row r="855" ht="14.25" customHeight="1">
      <c r="G855" s="29"/>
      <c r="M855" s="29"/>
      <c r="N855" s="29"/>
      <c r="O855" s="29"/>
      <c r="P855" s="29"/>
    </row>
    <row r="856" ht="14.25" customHeight="1">
      <c r="G856" s="29"/>
      <c r="M856" s="29"/>
      <c r="N856" s="29"/>
      <c r="O856" s="29"/>
      <c r="P856" s="29"/>
    </row>
    <row r="857" ht="14.25" customHeight="1">
      <c r="G857" s="29"/>
      <c r="M857" s="29"/>
      <c r="N857" s="29"/>
      <c r="O857" s="29"/>
      <c r="P857" s="29"/>
    </row>
    <row r="858" ht="14.25" customHeight="1">
      <c r="G858" s="29"/>
      <c r="M858" s="29"/>
      <c r="N858" s="29"/>
      <c r="O858" s="29"/>
      <c r="P858" s="29"/>
    </row>
    <row r="859" ht="14.25" customHeight="1">
      <c r="G859" s="29"/>
      <c r="M859" s="29"/>
      <c r="N859" s="29"/>
      <c r="O859" s="29"/>
      <c r="P859" s="29"/>
    </row>
    <row r="860" ht="14.25" customHeight="1">
      <c r="G860" s="29"/>
      <c r="M860" s="29"/>
      <c r="N860" s="29"/>
      <c r="O860" s="29"/>
      <c r="P860" s="29"/>
    </row>
    <row r="861" ht="14.25" customHeight="1">
      <c r="G861" s="29"/>
      <c r="M861" s="29"/>
      <c r="N861" s="29"/>
      <c r="O861" s="29"/>
      <c r="P861" s="29"/>
    </row>
    <row r="862" ht="14.25" customHeight="1">
      <c r="G862" s="29"/>
      <c r="M862" s="29"/>
      <c r="N862" s="29"/>
      <c r="O862" s="29"/>
      <c r="P862" s="29"/>
    </row>
    <row r="863" ht="14.25" customHeight="1">
      <c r="G863" s="29"/>
      <c r="M863" s="29"/>
      <c r="N863" s="29"/>
      <c r="O863" s="29"/>
      <c r="P863" s="29"/>
    </row>
    <row r="864" ht="14.25" customHeight="1">
      <c r="G864" s="29"/>
      <c r="M864" s="29"/>
      <c r="N864" s="29"/>
      <c r="O864" s="29"/>
      <c r="P864" s="29"/>
    </row>
    <row r="865" ht="14.25" customHeight="1">
      <c r="G865" s="29"/>
      <c r="M865" s="29"/>
      <c r="N865" s="29"/>
      <c r="O865" s="29"/>
      <c r="P865" s="29"/>
    </row>
    <row r="866" ht="14.25" customHeight="1">
      <c r="G866" s="29"/>
      <c r="M866" s="29"/>
      <c r="N866" s="29"/>
      <c r="O866" s="29"/>
      <c r="P866" s="29"/>
    </row>
    <row r="867" ht="14.25" customHeight="1">
      <c r="G867" s="29"/>
      <c r="M867" s="29"/>
      <c r="N867" s="29"/>
      <c r="O867" s="29"/>
      <c r="P867" s="29"/>
    </row>
    <row r="868" ht="14.25" customHeight="1">
      <c r="G868" s="29"/>
      <c r="M868" s="29"/>
      <c r="N868" s="29"/>
      <c r="O868" s="29"/>
      <c r="P868" s="29"/>
    </row>
    <row r="869" ht="14.25" customHeight="1">
      <c r="G869" s="29"/>
      <c r="M869" s="29"/>
      <c r="N869" s="29"/>
      <c r="O869" s="29"/>
      <c r="P869" s="29"/>
    </row>
    <row r="870" ht="14.25" customHeight="1">
      <c r="G870" s="29"/>
      <c r="M870" s="29"/>
      <c r="N870" s="29"/>
      <c r="O870" s="29"/>
      <c r="P870" s="29"/>
    </row>
    <row r="871" ht="14.25" customHeight="1">
      <c r="G871" s="29"/>
      <c r="M871" s="29"/>
      <c r="N871" s="29"/>
      <c r="O871" s="29"/>
      <c r="P871" s="29"/>
    </row>
    <row r="872" ht="14.25" customHeight="1">
      <c r="G872" s="29"/>
      <c r="M872" s="29"/>
      <c r="N872" s="29"/>
      <c r="O872" s="29"/>
      <c r="P872" s="29"/>
    </row>
    <row r="873" ht="14.25" customHeight="1">
      <c r="G873" s="29"/>
      <c r="M873" s="29"/>
      <c r="N873" s="29"/>
      <c r="O873" s="29"/>
      <c r="P873" s="29"/>
    </row>
    <row r="874" ht="14.25" customHeight="1">
      <c r="G874" s="29"/>
      <c r="M874" s="29"/>
      <c r="N874" s="29"/>
      <c r="O874" s="29"/>
      <c r="P874" s="29"/>
    </row>
    <row r="875" ht="14.25" customHeight="1">
      <c r="G875" s="29"/>
      <c r="M875" s="29"/>
      <c r="N875" s="29"/>
      <c r="O875" s="29"/>
      <c r="P875" s="29"/>
    </row>
    <row r="876" ht="14.25" customHeight="1">
      <c r="G876" s="29"/>
      <c r="M876" s="29"/>
      <c r="N876" s="29"/>
      <c r="O876" s="29"/>
      <c r="P876" s="29"/>
    </row>
    <row r="877" ht="14.25" customHeight="1">
      <c r="G877" s="29"/>
      <c r="M877" s="29"/>
      <c r="N877" s="29"/>
      <c r="O877" s="29"/>
      <c r="P877" s="29"/>
    </row>
    <row r="878" ht="14.25" customHeight="1">
      <c r="G878" s="29"/>
      <c r="M878" s="29"/>
      <c r="N878" s="29"/>
      <c r="O878" s="29"/>
      <c r="P878" s="29"/>
    </row>
    <row r="879" ht="14.25" customHeight="1">
      <c r="G879" s="29"/>
      <c r="M879" s="29"/>
      <c r="N879" s="29"/>
      <c r="O879" s="29"/>
      <c r="P879" s="29"/>
    </row>
    <row r="880" ht="14.25" customHeight="1">
      <c r="G880" s="29"/>
      <c r="M880" s="29"/>
      <c r="N880" s="29"/>
      <c r="O880" s="29"/>
      <c r="P880" s="29"/>
    </row>
    <row r="881" ht="14.25" customHeight="1">
      <c r="G881" s="29"/>
      <c r="M881" s="29"/>
      <c r="N881" s="29"/>
      <c r="O881" s="29"/>
      <c r="P881" s="29"/>
    </row>
    <row r="882" ht="14.25" customHeight="1">
      <c r="G882" s="29"/>
      <c r="M882" s="29"/>
      <c r="N882" s="29"/>
      <c r="O882" s="29"/>
      <c r="P882" s="29"/>
    </row>
    <row r="883" ht="14.25" customHeight="1">
      <c r="G883" s="29"/>
      <c r="M883" s="29"/>
      <c r="N883" s="29"/>
      <c r="O883" s="29"/>
      <c r="P883" s="29"/>
    </row>
    <row r="884" ht="14.25" customHeight="1">
      <c r="G884" s="29"/>
      <c r="M884" s="29"/>
      <c r="N884" s="29"/>
      <c r="O884" s="29"/>
      <c r="P884" s="29"/>
    </row>
    <row r="885" ht="14.25" customHeight="1">
      <c r="G885" s="29"/>
      <c r="M885" s="29"/>
      <c r="N885" s="29"/>
      <c r="O885" s="29"/>
      <c r="P885" s="29"/>
    </row>
    <row r="886" ht="14.25" customHeight="1">
      <c r="G886" s="29"/>
      <c r="M886" s="29"/>
      <c r="N886" s="29"/>
      <c r="O886" s="29"/>
      <c r="P886" s="29"/>
    </row>
    <row r="887" ht="14.25" customHeight="1">
      <c r="G887" s="29"/>
      <c r="M887" s="29"/>
      <c r="N887" s="29"/>
      <c r="O887" s="29"/>
      <c r="P887" s="29"/>
    </row>
    <row r="888" ht="14.25" customHeight="1">
      <c r="G888" s="29"/>
      <c r="M888" s="29"/>
      <c r="N888" s="29"/>
      <c r="O888" s="29"/>
      <c r="P888" s="29"/>
    </row>
    <row r="889" ht="14.25" customHeight="1">
      <c r="G889" s="29"/>
      <c r="M889" s="29"/>
      <c r="N889" s="29"/>
      <c r="O889" s="29"/>
      <c r="P889" s="29"/>
    </row>
    <row r="890" ht="14.25" customHeight="1">
      <c r="G890" s="29"/>
      <c r="M890" s="29"/>
      <c r="N890" s="29"/>
      <c r="O890" s="29"/>
      <c r="P890" s="29"/>
    </row>
    <row r="891" ht="14.25" customHeight="1">
      <c r="G891" s="29"/>
      <c r="M891" s="29"/>
      <c r="N891" s="29"/>
      <c r="O891" s="29"/>
      <c r="P891" s="29"/>
    </row>
    <row r="892" ht="14.25" customHeight="1">
      <c r="G892" s="29"/>
      <c r="M892" s="29"/>
      <c r="N892" s="29"/>
      <c r="O892" s="29"/>
      <c r="P892" s="29"/>
    </row>
    <row r="893" ht="14.25" customHeight="1">
      <c r="G893" s="29"/>
      <c r="M893" s="29"/>
      <c r="N893" s="29"/>
      <c r="O893" s="29"/>
      <c r="P893" s="29"/>
    </row>
    <row r="894" ht="14.25" customHeight="1">
      <c r="G894" s="29"/>
      <c r="M894" s="29"/>
      <c r="N894" s="29"/>
      <c r="O894" s="29"/>
      <c r="P894" s="29"/>
    </row>
    <row r="895" ht="14.25" customHeight="1">
      <c r="G895" s="29"/>
      <c r="M895" s="29"/>
      <c r="N895" s="29"/>
      <c r="O895" s="29"/>
      <c r="P895" s="29"/>
    </row>
    <row r="896" ht="14.25" customHeight="1">
      <c r="G896" s="29"/>
      <c r="M896" s="29"/>
      <c r="N896" s="29"/>
      <c r="O896" s="29"/>
      <c r="P896" s="29"/>
    </row>
    <row r="897" ht="14.25" customHeight="1">
      <c r="G897" s="29"/>
      <c r="M897" s="29"/>
      <c r="N897" s="29"/>
      <c r="O897" s="29"/>
      <c r="P897" s="29"/>
    </row>
    <row r="898" ht="14.25" customHeight="1">
      <c r="G898" s="29"/>
      <c r="M898" s="29"/>
      <c r="N898" s="29"/>
      <c r="O898" s="29"/>
      <c r="P898" s="29"/>
    </row>
    <row r="899" ht="14.25" customHeight="1">
      <c r="G899" s="29"/>
      <c r="M899" s="29"/>
      <c r="N899" s="29"/>
      <c r="O899" s="29"/>
      <c r="P899" s="29"/>
    </row>
    <row r="900" ht="14.25" customHeight="1">
      <c r="G900" s="29"/>
      <c r="M900" s="29"/>
      <c r="N900" s="29"/>
      <c r="O900" s="29"/>
      <c r="P900" s="29"/>
    </row>
    <row r="901" ht="14.25" customHeight="1">
      <c r="G901" s="29"/>
      <c r="M901" s="29"/>
      <c r="N901" s="29"/>
      <c r="O901" s="29"/>
      <c r="P901" s="29"/>
    </row>
    <row r="902" ht="14.25" customHeight="1">
      <c r="G902" s="29"/>
      <c r="M902" s="29"/>
      <c r="N902" s="29"/>
      <c r="O902" s="29"/>
      <c r="P902" s="29"/>
    </row>
    <row r="903" ht="14.25" customHeight="1">
      <c r="G903" s="29"/>
      <c r="M903" s="29"/>
      <c r="N903" s="29"/>
      <c r="O903" s="29"/>
      <c r="P903" s="29"/>
    </row>
    <row r="904" ht="14.25" customHeight="1">
      <c r="G904" s="29"/>
      <c r="M904" s="29"/>
      <c r="N904" s="29"/>
      <c r="O904" s="29"/>
      <c r="P904" s="29"/>
    </row>
    <row r="905" ht="14.25" customHeight="1">
      <c r="G905" s="29"/>
      <c r="M905" s="29"/>
      <c r="N905" s="29"/>
      <c r="O905" s="29"/>
      <c r="P905" s="29"/>
    </row>
    <row r="906" ht="14.25" customHeight="1">
      <c r="G906" s="29"/>
      <c r="M906" s="29"/>
      <c r="N906" s="29"/>
      <c r="O906" s="29"/>
      <c r="P906" s="29"/>
    </row>
    <row r="907" ht="14.25" customHeight="1">
      <c r="G907" s="29"/>
      <c r="M907" s="29"/>
      <c r="N907" s="29"/>
      <c r="O907" s="29"/>
      <c r="P907" s="29"/>
    </row>
    <row r="908" ht="14.25" customHeight="1">
      <c r="G908" s="29"/>
      <c r="M908" s="29"/>
      <c r="N908" s="29"/>
      <c r="O908" s="29"/>
      <c r="P908" s="29"/>
    </row>
    <row r="909" ht="14.25" customHeight="1">
      <c r="G909" s="29"/>
      <c r="M909" s="29"/>
      <c r="N909" s="29"/>
      <c r="O909" s="29"/>
      <c r="P909" s="29"/>
    </row>
    <row r="910" ht="14.25" customHeight="1">
      <c r="G910" s="29"/>
      <c r="M910" s="29"/>
      <c r="N910" s="29"/>
      <c r="O910" s="29"/>
      <c r="P910" s="29"/>
    </row>
    <row r="911" ht="14.25" customHeight="1">
      <c r="G911" s="29"/>
      <c r="M911" s="29"/>
      <c r="N911" s="29"/>
      <c r="O911" s="29"/>
      <c r="P911" s="29"/>
    </row>
    <row r="912" ht="14.25" customHeight="1">
      <c r="G912" s="29"/>
      <c r="M912" s="29"/>
      <c r="N912" s="29"/>
      <c r="O912" s="29"/>
      <c r="P912" s="29"/>
    </row>
    <row r="913" ht="14.25" customHeight="1">
      <c r="G913" s="29"/>
      <c r="M913" s="29"/>
      <c r="N913" s="29"/>
      <c r="O913" s="29"/>
      <c r="P913" s="29"/>
    </row>
    <row r="914" ht="14.25" customHeight="1">
      <c r="G914" s="29"/>
      <c r="M914" s="29"/>
      <c r="N914" s="29"/>
      <c r="O914" s="29"/>
      <c r="P914" s="29"/>
    </row>
    <row r="915" ht="14.25" customHeight="1">
      <c r="G915" s="29"/>
      <c r="M915" s="29"/>
      <c r="N915" s="29"/>
      <c r="O915" s="29"/>
      <c r="P915" s="29"/>
    </row>
    <row r="916" ht="14.25" customHeight="1">
      <c r="G916" s="29"/>
      <c r="M916" s="29"/>
      <c r="N916" s="29"/>
      <c r="O916" s="29"/>
      <c r="P916" s="29"/>
    </row>
    <row r="917" ht="14.25" customHeight="1">
      <c r="G917" s="29"/>
      <c r="M917" s="29"/>
      <c r="N917" s="29"/>
      <c r="O917" s="29"/>
      <c r="P917" s="29"/>
    </row>
    <row r="918" ht="14.25" customHeight="1">
      <c r="G918" s="29"/>
      <c r="M918" s="29"/>
      <c r="N918" s="29"/>
      <c r="O918" s="29"/>
      <c r="P918" s="29"/>
    </row>
    <row r="919" ht="14.25" customHeight="1">
      <c r="G919" s="29"/>
      <c r="M919" s="29"/>
      <c r="N919" s="29"/>
      <c r="O919" s="29"/>
      <c r="P919" s="29"/>
    </row>
    <row r="920" ht="14.25" customHeight="1">
      <c r="G920" s="29"/>
      <c r="M920" s="29"/>
      <c r="N920" s="29"/>
      <c r="O920" s="29"/>
      <c r="P920" s="29"/>
    </row>
    <row r="921" ht="14.25" customHeight="1">
      <c r="G921" s="29"/>
      <c r="M921" s="29"/>
      <c r="N921" s="29"/>
      <c r="O921" s="29"/>
      <c r="P921" s="29"/>
    </row>
    <row r="922" ht="14.25" customHeight="1">
      <c r="G922" s="29"/>
      <c r="M922" s="29"/>
      <c r="N922" s="29"/>
      <c r="O922" s="29"/>
      <c r="P922" s="29"/>
    </row>
    <row r="923" ht="14.25" customHeight="1">
      <c r="G923" s="29"/>
      <c r="M923" s="29"/>
      <c r="N923" s="29"/>
      <c r="O923" s="29"/>
      <c r="P923" s="29"/>
    </row>
    <row r="924" ht="14.25" customHeight="1">
      <c r="G924" s="29"/>
      <c r="M924" s="29"/>
      <c r="N924" s="29"/>
      <c r="O924" s="29"/>
      <c r="P924" s="29"/>
    </row>
    <row r="925" ht="14.25" customHeight="1">
      <c r="G925" s="29"/>
      <c r="M925" s="29"/>
      <c r="N925" s="29"/>
      <c r="O925" s="29"/>
      <c r="P925" s="29"/>
    </row>
    <row r="926" ht="14.25" customHeight="1">
      <c r="G926" s="29"/>
      <c r="M926" s="29"/>
      <c r="N926" s="29"/>
      <c r="O926" s="29"/>
      <c r="P926" s="29"/>
    </row>
    <row r="927" ht="14.25" customHeight="1">
      <c r="G927" s="29"/>
      <c r="M927" s="29"/>
      <c r="N927" s="29"/>
      <c r="O927" s="29"/>
      <c r="P927" s="29"/>
    </row>
    <row r="928" ht="14.25" customHeight="1">
      <c r="G928" s="29"/>
      <c r="M928" s="29"/>
      <c r="N928" s="29"/>
      <c r="O928" s="29"/>
      <c r="P928" s="29"/>
    </row>
    <row r="929" ht="14.25" customHeight="1">
      <c r="G929" s="29"/>
      <c r="M929" s="29"/>
      <c r="N929" s="29"/>
      <c r="O929" s="29"/>
      <c r="P929" s="29"/>
    </row>
    <row r="930" ht="14.25" customHeight="1">
      <c r="G930" s="29"/>
      <c r="M930" s="29"/>
      <c r="N930" s="29"/>
      <c r="O930" s="29"/>
      <c r="P930" s="29"/>
    </row>
    <row r="931" ht="14.25" customHeight="1">
      <c r="G931" s="29"/>
      <c r="M931" s="29"/>
      <c r="N931" s="29"/>
      <c r="O931" s="29"/>
      <c r="P931" s="29"/>
    </row>
    <row r="932" ht="14.25" customHeight="1">
      <c r="G932" s="29"/>
      <c r="M932" s="29"/>
      <c r="N932" s="29"/>
      <c r="O932" s="29"/>
      <c r="P932" s="29"/>
    </row>
    <row r="933" ht="14.25" customHeight="1">
      <c r="G933" s="29"/>
      <c r="M933" s="29"/>
      <c r="N933" s="29"/>
      <c r="O933" s="29"/>
      <c r="P933" s="29"/>
    </row>
    <row r="934" ht="14.25" customHeight="1">
      <c r="G934" s="29"/>
      <c r="M934" s="29"/>
      <c r="N934" s="29"/>
      <c r="O934" s="29"/>
      <c r="P934" s="29"/>
    </row>
    <row r="935" ht="14.25" customHeight="1">
      <c r="G935" s="29"/>
      <c r="M935" s="29"/>
      <c r="N935" s="29"/>
      <c r="O935" s="29"/>
      <c r="P935" s="29"/>
    </row>
    <row r="936" ht="14.25" customHeight="1">
      <c r="G936" s="29"/>
      <c r="M936" s="29"/>
      <c r="N936" s="29"/>
      <c r="O936" s="29"/>
      <c r="P936" s="29"/>
    </row>
    <row r="937" ht="14.25" customHeight="1">
      <c r="G937" s="29"/>
      <c r="M937" s="29"/>
      <c r="N937" s="29"/>
      <c r="O937" s="29"/>
      <c r="P937" s="29"/>
    </row>
    <row r="938" ht="14.25" customHeight="1">
      <c r="G938" s="29"/>
      <c r="M938" s="29"/>
      <c r="N938" s="29"/>
      <c r="O938" s="29"/>
      <c r="P938" s="29"/>
    </row>
    <row r="939" ht="14.25" customHeight="1">
      <c r="G939" s="29"/>
      <c r="M939" s="29"/>
      <c r="N939" s="29"/>
      <c r="O939" s="29"/>
      <c r="P939" s="29"/>
    </row>
    <row r="940" ht="14.25" customHeight="1">
      <c r="G940" s="29"/>
      <c r="M940" s="29"/>
      <c r="N940" s="29"/>
      <c r="O940" s="29"/>
      <c r="P940" s="29"/>
    </row>
    <row r="941" ht="14.25" customHeight="1">
      <c r="G941" s="29"/>
      <c r="M941" s="29"/>
      <c r="N941" s="29"/>
      <c r="O941" s="29"/>
      <c r="P941" s="29"/>
    </row>
    <row r="942" ht="14.25" customHeight="1">
      <c r="G942" s="29"/>
      <c r="M942" s="29"/>
      <c r="N942" s="29"/>
      <c r="O942" s="29"/>
      <c r="P942" s="29"/>
    </row>
    <row r="943" ht="14.25" customHeight="1">
      <c r="G943" s="29"/>
      <c r="M943" s="29"/>
      <c r="N943" s="29"/>
      <c r="O943" s="29"/>
      <c r="P943" s="29"/>
    </row>
    <row r="944" ht="14.25" customHeight="1">
      <c r="G944" s="29"/>
      <c r="M944" s="29"/>
      <c r="N944" s="29"/>
      <c r="O944" s="29"/>
      <c r="P944" s="29"/>
    </row>
    <row r="945" ht="14.25" customHeight="1">
      <c r="G945" s="29"/>
      <c r="M945" s="29"/>
      <c r="N945" s="29"/>
      <c r="O945" s="29"/>
      <c r="P945" s="29"/>
    </row>
    <row r="946" ht="14.25" customHeight="1">
      <c r="G946" s="29"/>
      <c r="M946" s="29"/>
      <c r="N946" s="29"/>
      <c r="O946" s="29"/>
      <c r="P946" s="29"/>
    </row>
    <row r="947" ht="14.25" customHeight="1">
      <c r="G947" s="29"/>
      <c r="M947" s="29"/>
      <c r="N947" s="29"/>
      <c r="O947" s="29"/>
      <c r="P947" s="29"/>
    </row>
    <row r="948" ht="14.25" customHeight="1">
      <c r="G948" s="29"/>
      <c r="M948" s="29"/>
      <c r="N948" s="29"/>
      <c r="O948" s="29"/>
      <c r="P948" s="29"/>
    </row>
    <row r="949" ht="14.25" customHeight="1">
      <c r="G949" s="29"/>
      <c r="M949" s="29"/>
      <c r="N949" s="29"/>
      <c r="O949" s="29"/>
      <c r="P949" s="29"/>
    </row>
    <row r="950" ht="14.25" customHeight="1">
      <c r="G950" s="29"/>
      <c r="M950" s="29"/>
      <c r="N950" s="29"/>
      <c r="O950" s="29"/>
      <c r="P950" s="29"/>
    </row>
    <row r="951" ht="14.25" customHeight="1">
      <c r="G951" s="29"/>
      <c r="M951" s="29"/>
      <c r="N951" s="29"/>
      <c r="O951" s="29"/>
      <c r="P951" s="29"/>
    </row>
    <row r="952" ht="14.25" customHeight="1">
      <c r="G952" s="29"/>
      <c r="M952" s="29"/>
      <c r="N952" s="29"/>
      <c r="O952" s="29"/>
      <c r="P952" s="29"/>
    </row>
    <row r="953" ht="14.25" customHeight="1">
      <c r="G953" s="29"/>
      <c r="M953" s="29"/>
      <c r="N953" s="29"/>
      <c r="O953" s="29"/>
      <c r="P953" s="29"/>
    </row>
    <row r="954" ht="14.25" customHeight="1">
      <c r="G954" s="29"/>
      <c r="M954" s="29"/>
      <c r="N954" s="29"/>
      <c r="O954" s="29"/>
      <c r="P954" s="29"/>
    </row>
    <row r="955" ht="14.25" customHeight="1">
      <c r="G955" s="29"/>
      <c r="M955" s="29"/>
      <c r="N955" s="29"/>
      <c r="O955" s="29"/>
      <c r="P955" s="29"/>
    </row>
    <row r="956" ht="14.25" customHeight="1">
      <c r="G956" s="29"/>
      <c r="M956" s="29"/>
      <c r="N956" s="29"/>
      <c r="O956" s="29"/>
      <c r="P956" s="29"/>
    </row>
    <row r="957" ht="14.25" customHeight="1">
      <c r="G957" s="29"/>
      <c r="M957" s="29"/>
      <c r="N957" s="29"/>
      <c r="O957" s="29"/>
      <c r="P957" s="29"/>
    </row>
    <row r="958" ht="14.25" customHeight="1">
      <c r="G958" s="29"/>
      <c r="M958" s="29"/>
      <c r="N958" s="29"/>
      <c r="O958" s="29"/>
      <c r="P958" s="29"/>
    </row>
    <row r="959" ht="14.25" customHeight="1">
      <c r="G959" s="29"/>
      <c r="M959" s="29"/>
      <c r="N959" s="29"/>
      <c r="O959" s="29"/>
      <c r="P959" s="29"/>
    </row>
    <row r="960" ht="14.25" customHeight="1">
      <c r="G960" s="29"/>
      <c r="M960" s="29"/>
      <c r="N960" s="29"/>
      <c r="O960" s="29"/>
      <c r="P960" s="29"/>
    </row>
    <row r="961" ht="14.25" customHeight="1">
      <c r="G961" s="29"/>
      <c r="M961" s="29"/>
      <c r="N961" s="29"/>
      <c r="O961" s="29"/>
      <c r="P961" s="29"/>
    </row>
    <row r="962" ht="14.25" customHeight="1">
      <c r="G962" s="29"/>
      <c r="M962" s="29"/>
      <c r="N962" s="29"/>
      <c r="O962" s="29"/>
      <c r="P962" s="29"/>
    </row>
    <row r="963" ht="14.25" customHeight="1">
      <c r="G963" s="29"/>
      <c r="M963" s="29"/>
      <c r="N963" s="29"/>
      <c r="O963" s="29"/>
      <c r="P963" s="29"/>
    </row>
    <row r="964" ht="14.25" customHeight="1">
      <c r="G964" s="29"/>
      <c r="M964" s="29"/>
      <c r="N964" s="29"/>
      <c r="O964" s="29"/>
      <c r="P964" s="29"/>
    </row>
    <row r="965" ht="14.25" customHeight="1">
      <c r="G965" s="29"/>
      <c r="M965" s="29"/>
      <c r="N965" s="29"/>
      <c r="O965" s="29"/>
      <c r="P965" s="29"/>
    </row>
    <row r="966" ht="14.25" customHeight="1">
      <c r="G966" s="29"/>
      <c r="M966" s="29"/>
      <c r="N966" s="29"/>
      <c r="O966" s="29"/>
      <c r="P966" s="29"/>
    </row>
    <row r="967" ht="14.25" customHeight="1">
      <c r="G967" s="29"/>
      <c r="M967" s="29"/>
      <c r="N967" s="29"/>
      <c r="O967" s="29"/>
      <c r="P967" s="29"/>
    </row>
    <row r="968" ht="14.25" customHeight="1">
      <c r="G968" s="29"/>
      <c r="M968" s="29"/>
      <c r="N968" s="29"/>
      <c r="O968" s="29"/>
      <c r="P968" s="29"/>
    </row>
    <row r="969" ht="14.25" customHeight="1">
      <c r="G969" s="29"/>
      <c r="M969" s="29"/>
      <c r="N969" s="29"/>
      <c r="O969" s="29"/>
      <c r="P969" s="29"/>
    </row>
    <row r="970" ht="14.25" customHeight="1">
      <c r="G970" s="29"/>
      <c r="M970" s="29"/>
      <c r="N970" s="29"/>
      <c r="O970" s="29"/>
      <c r="P970" s="29"/>
    </row>
    <row r="971" ht="14.25" customHeight="1">
      <c r="G971" s="29"/>
      <c r="M971" s="29"/>
      <c r="N971" s="29"/>
      <c r="O971" s="29"/>
      <c r="P971" s="29"/>
    </row>
    <row r="972" ht="14.25" customHeight="1">
      <c r="G972" s="29"/>
      <c r="M972" s="29"/>
      <c r="N972" s="29"/>
      <c r="O972" s="29"/>
      <c r="P972" s="29"/>
    </row>
    <row r="973" ht="14.25" customHeight="1">
      <c r="G973" s="29"/>
      <c r="M973" s="29"/>
      <c r="N973" s="29"/>
      <c r="O973" s="29"/>
      <c r="P973" s="29"/>
    </row>
    <row r="974" ht="14.25" customHeight="1">
      <c r="G974" s="29"/>
      <c r="M974" s="29"/>
      <c r="N974" s="29"/>
      <c r="O974" s="29"/>
      <c r="P974" s="29"/>
    </row>
    <row r="975" ht="14.25" customHeight="1">
      <c r="G975" s="29"/>
      <c r="M975" s="29"/>
      <c r="N975" s="29"/>
      <c r="O975" s="29"/>
      <c r="P975" s="29"/>
    </row>
    <row r="976" ht="14.25" customHeight="1">
      <c r="G976" s="29"/>
      <c r="M976" s="29"/>
      <c r="N976" s="29"/>
      <c r="O976" s="29"/>
      <c r="P976" s="29"/>
    </row>
    <row r="977" ht="14.25" customHeight="1">
      <c r="G977" s="29"/>
      <c r="M977" s="29"/>
      <c r="N977" s="29"/>
      <c r="O977" s="29"/>
      <c r="P977" s="29"/>
    </row>
    <row r="978" ht="14.25" customHeight="1">
      <c r="G978" s="29"/>
      <c r="M978" s="29"/>
      <c r="N978" s="29"/>
      <c r="O978" s="29"/>
      <c r="P978" s="29"/>
    </row>
    <row r="979" ht="14.25" customHeight="1">
      <c r="G979" s="29"/>
      <c r="M979" s="29"/>
      <c r="N979" s="29"/>
      <c r="O979" s="29"/>
      <c r="P979" s="29"/>
    </row>
    <row r="980" ht="14.25" customHeight="1">
      <c r="G980" s="29"/>
      <c r="M980" s="29"/>
      <c r="N980" s="29"/>
      <c r="O980" s="29"/>
      <c r="P980" s="29"/>
    </row>
    <row r="981" ht="14.25" customHeight="1">
      <c r="G981" s="29"/>
      <c r="M981" s="29"/>
      <c r="N981" s="29"/>
      <c r="O981" s="29"/>
      <c r="P981" s="29"/>
    </row>
    <row r="982" ht="14.25" customHeight="1">
      <c r="G982" s="29"/>
      <c r="M982" s="29"/>
      <c r="N982" s="29"/>
      <c r="O982" s="29"/>
      <c r="P982" s="29"/>
    </row>
    <row r="983" ht="14.25" customHeight="1">
      <c r="G983" s="29"/>
      <c r="M983" s="29"/>
      <c r="N983" s="29"/>
      <c r="O983" s="29"/>
      <c r="P983" s="29"/>
    </row>
    <row r="984" ht="14.25" customHeight="1">
      <c r="G984" s="29"/>
      <c r="M984" s="29"/>
      <c r="N984" s="29"/>
      <c r="O984" s="29"/>
      <c r="P984" s="29"/>
    </row>
    <row r="985" ht="14.25" customHeight="1">
      <c r="G985" s="29"/>
      <c r="M985" s="29"/>
      <c r="N985" s="29"/>
      <c r="O985" s="29"/>
      <c r="P985" s="29"/>
    </row>
    <row r="986" ht="14.25" customHeight="1">
      <c r="G986" s="29"/>
      <c r="M986" s="29"/>
      <c r="N986" s="29"/>
      <c r="O986" s="29"/>
      <c r="P986" s="29"/>
    </row>
    <row r="987" ht="14.25" customHeight="1">
      <c r="G987" s="29"/>
      <c r="M987" s="29"/>
      <c r="N987" s="29"/>
      <c r="O987" s="29"/>
      <c r="P987" s="29"/>
    </row>
    <row r="988" ht="14.25" customHeight="1">
      <c r="G988" s="29"/>
      <c r="M988" s="29"/>
      <c r="N988" s="29"/>
      <c r="O988" s="29"/>
      <c r="P988" s="29"/>
    </row>
    <row r="989" ht="14.25" customHeight="1">
      <c r="G989" s="29"/>
      <c r="M989" s="29"/>
      <c r="N989" s="29"/>
      <c r="O989" s="29"/>
      <c r="P989" s="29"/>
    </row>
    <row r="990" ht="14.25" customHeight="1">
      <c r="G990" s="29"/>
      <c r="M990" s="29"/>
      <c r="N990" s="29"/>
      <c r="O990" s="29"/>
      <c r="P990" s="29"/>
    </row>
    <row r="991" ht="14.25" customHeight="1">
      <c r="G991" s="29"/>
      <c r="M991" s="29"/>
      <c r="N991" s="29"/>
      <c r="O991" s="29"/>
      <c r="P991" s="29"/>
    </row>
    <row r="992" ht="14.25" customHeight="1">
      <c r="G992" s="29"/>
      <c r="M992" s="29"/>
      <c r="N992" s="29"/>
      <c r="O992" s="29"/>
      <c r="P992" s="29"/>
    </row>
    <row r="993" ht="14.25" customHeight="1">
      <c r="G993" s="29"/>
      <c r="M993" s="29"/>
      <c r="N993" s="29"/>
      <c r="O993" s="29"/>
      <c r="P993" s="29"/>
    </row>
    <row r="994" ht="14.25" customHeight="1">
      <c r="G994" s="29"/>
      <c r="M994" s="29"/>
      <c r="N994" s="29"/>
      <c r="O994" s="29"/>
      <c r="P994" s="29"/>
    </row>
    <row r="995" ht="14.25" customHeight="1">
      <c r="G995" s="29"/>
      <c r="M995" s="29"/>
      <c r="N995" s="29"/>
      <c r="O995" s="29"/>
      <c r="P995" s="29"/>
    </row>
    <row r="996" ht="14.25" customHeight="1">
      <c r="G996" s="29"/>
      <c r="M996" s="29"/>
      <c r="N996" s="29"/>
      <c r="O996" s="29"/>
      <c r="P996" s="29"/>
    </row>
    <row r="997" ht="14.25" customHeight="1">
      <c r="G997" s="29"/>
      <c r="M997" s="29"/>
      <c r="N997" s="29"/>
      <c r="O997" s="29"/>
      <c r="P997" s="29"/>
    </row>
    <row r="998" ht="14.25" customHeight="1">
      <c r="G998" s="29"/>
      <c r="M998" s="29"/>
      <c r="N998" s="29"/>
      <c r="O998" s="29"/>
      <c r="P998" s="29"/>
    </row>
    <row r="999" ht="14.25" customHeight="1">
      <c r="G999" s="29"/>
      <c r="M999" s="29"/>
      <c r="N999" s="29"/>
      <c r="O999" s="29"/>
      <c r="P999" s="29"/>
    </row>
    <row r="1000" ht="14.25" customHeight="1">
      <c r="G1000" s="29"/>
      <c r="M1000" s="29"/>
      <c r="N1000" s="29"/>
      <c r="O1000" s="29"/>
      <c r="P1000" s="29"/>
    </row>
    <row r="1001" ht="14.25" customHeight="1">
      <c r="G1001" s="29"/>
      <c r="M1001" s="29"/>
      <c r="N1001" s="29"/>
      <c r="O1001" s="29"/>
      <c r="P1001" s="29"/>
    </row>
    <row r="1002" ht="14.25" customHeight="1">
      <c r="G1002" s="29"/>
      <c r="M1002" s="29"/>
      <c r="N1002" s="29"/>
      <c r="O1002" s="29"/>
      <c r="P1002" s="29"/>
    </row>
    <row r="1003" ht="14.25" customHeight="1">
      <c r="G1003" s="29"/>
      <c r="M1003" s="29"/>
      <c r="N1003" s="29"/>
      <c r="O1003" s="29"/>
      <c r="P1003" s="29"/>
    </row>
    <row r="1004" ht="14.25" customHeight="1">
      <c r="G1004" s="29"/>
      <c r="M1004" s="29"/>
      <c r="N1004" s="29"/>
      <c r="O1004" s="29"/>
      <c r="P1004" s="29"/>
    </row>
    <row r="1005" ht="14.25" customHeight="1">
      <c r="G1005" s="29"/>
      <c r="M1005" s="29"/>
      <c r="N1005" s="29"/>
      <c r="O1005" s="29"/>
      <c r="P1005" s="29"/>
    </row>
    <row r="1006" ht="14.25" customHeight="1">
      <c r="G1006" s="29"/>
      <c r="M1006" s="29"/>
      <c r="N1006" s="29"/>
      <c r="O1006" s="29"/>
      <c r="P1006" s="29"/>
    </row>
    <row r="1007" ht="14.25" customHeight="1">
      <c r="G1007" s="29"/>
      <c r="M1007" s="29"/>
      <c r="N1007" s="29"/>
      <c r="O1007" s="29"/>
      <c r="P1007" s="29"/>
    </row>
    <row r="1008" ht="14.25" customHeight="1">
      <c r="G1008" s="29"/>
      <c r="M1008" s="29"/>
      <c r="N1008" s="29"/>
      <c r="O1008" s="29"/>
      <c r="P1008" s="29"/>
    </row>
    <row r="1009" ht="14.25" customHeight="1">
      <c r="G1009" s="29"/>
      <c r="M1009" s="29"/>
      <c r="N1009" s="29"/>
      <c r="O1009" s="29"/>
      <c r="P1009" s="29"/>
    </row>
    <row r="1010" ht="14.25" customHeight="1">
      <c r="G1010" s="29"/>
      <c r="M1010" s="29"/>
      <c r="N1010" s="29"/>
      <c r="O1010" s="29"/>
      <c r="P1010" s="29"/>
    </row>
    <row r="1011" ht="14.25" customHeight="1">
      <c r="G1011" s="29"/>
      <c r="M1011" s="29"/>
      <c r="N1011" s="29"/>
      <c r="O1011" s="29"/>
      <c r="P1011" s="29"/>
    </row>
    <row r="1012" ht="14.25" customHeight="1">
      <c r="G1012" s="29"/>
      <c r="M1012" s="29"/>
      <c r="N1012" s="29"/>
      <c r="O1012" s="29"/>
      <c r="P1012" s="29"/>
    </row>
    <row r="1013" ht="14.25" customHeight="1">
      <c r="G1013" s="29"/>
      <c r="M1013" s="29"/>
      <c r="N1013" s="29"/>
      <c r="O1013" s="29"/>
      <c r="P1013" s="29"/>
    </row>
    <row r="1014" ht="14.25" customHeight="1">
      <c r="G1014" s="29"/>
      <c r="M1014" s="29"/>
      <c r="N1014" s="29"/>
      <c r="O1014" s="29"/>
      <c r="P1014" s="29"/>
    </row>
    <row r="1015" ht="14.25" customHeight="1">
      <c r="G1015" s="29"/>
      <c r="M1015" s="29"/>
      <c r="N1015" s="29"/>
      <c r="O1015" s="29"/>
      <c r="P1015" s="29"/>
    </row>
    <row r="1016" ht="14.25" customHeight="1">
      <c r="G1016" s="29"/>
      <c r="M1016" s="29"/>
      <c r="N1016" s="29"/>
      <c r="O1016" s="29"/>
      <c r="P1016" s="29"/>
    </row>
    <row r="1017" ht="14.25" customHeight="1">
      <c r="G1017" s="29"/>
      <c r="M1017" s="29"/>
      <c r="N1017" s="29"/>
      <c r="O1017" s="29"/>
      <c r="P1017" s="29"/>
    </row>
    <row r="1018" ht="14.25" customHeight="1">
      <c r="G1018" s="29"/>
      <c r="M1018" s="29"/>
      <c r="N1018" s="29"/>
      <c r="O1018" s="29"/>
      <c r="P1018" s="29"/>
    </row>
    <row r="1019" ht="14.25" customHeight="1">
      <c r="G1019" s="29"/>
      <c r="M1019" s="29"/>
      <c r="N1019" s="29"/>
      <c r="O1019" s="29"/>
      <c r="P1019" s="29"/>
    </row>
    <row r="1020" ht="14.25" customHeight="1">
      <c r="G1020" s="29"/>
      <c r="M1020" s="29"/>
      <c r="N1020" s="29"/>
      <c r="O1020" s="29"/>
      <c r="P1020" s="29"/>
    </row>
    <row r="1021" ht="14.25" customHeight="1">
      <c r="G1021" s="29"/>
      <c r="M1021" s="29"/>
      <c r="N1021" s="29"/>
      <c r="O1021" s="29"/>
      <c r="P1021" s="29"/>
    </row>
    <row r="1022" ht="14.25" customHeight="1">
      <c r="G1022" s="29"/>
      <c r="M1022" s="29"/>
      <c r="N1022" s="29"/>
      <c r="O1022" s="29"/>
      <c r="P1022" s="29"/>
    </row>
    <row r="1023" ht="14.25" customHeight="1">
      <c r="G1023" s="29"/>
      <c r="M1023" s="29"/>
      <c r="N1023" s="29"/>
      <c r="O1023" s="29"/>
      <c r="P1023" s="29"/>
    </row>
    <row r="1024" ht="14.25" customHeight="1">
      <c r="G1024" s="29"/>
      <c r="M1024" s="29"/>
      <c r="N1024" s="29"/>
      <c r="O1024" s="29"/>
      <c r="P1024" s="29"/>
    </row>
    <row r="1025" ht="14.25" customHeight="1">
      <c r="G1025" s="29"/>
      <c r="M1025" s="29"/>
      <c r="N1025" s="29"/>
      <c r="O1025" s="29"/>
      <c r="P1025" s="29"/>
    </row>
    <row r="1026" ht="14.25" customHeight="1">
      <c r="G1026" s="29"/>
      <c r="M1026" s="29"/>
      <c r="N1026" s="29"/>
      <c r="O1026" s="29"/>
      <c r="P1026" s="29"/>
    </row>
    <row r="1027" ht="14.25" customHeight="1">
      <c r="G1027" s="29"/>
      <c r="M1027" s="29"/>
      <c r="N1027" s="29"/>
      <c r="O1027" s="29"/>
      <c r="P1027" s="29"/>
    </row>
    <row r="1028" ht="14.25" customHeight="1">
      <c r="G1028" s="29"/>
      <c r="M1028" s="29"/>
      <c r="N1028" s="29"/>
      <c r="O1028" s="29"/>
      <c r="P1028" s="29"/>
    </row>
    <row r="1029" ht="14.25" customHeight="1">
      <c r="G1029" s="29"/>
      <c r="M1029" s="29"/>
      <c r="N1029" s="29"/>
      <c r="O1029" s="29"/>
      <c r="P1029" s="29"/>
    </row>
    <row r="1030" ht="14.25" customHeight="1">
      <c r="G1030" s="29"/>
      <c r="M1030" s="29"/>
      <c r="N1030" s="29"/>
      <c r="O1030" s="29"/>
      <c r="P1030" s="29"/>
    </row>
    <row r="1031" ht="14.25" customHeight="1">
      <c r="G1031" s="29"/>
      <c r="M1031" s="29"/>
      <c r="N1031" s="29"/>
      <c r="O1031" s="29"/>
      <c r="P1031" s="29"/>
    </row>
    <row r="1032" ht="14.25" customHeight="1">
      <c r="G1032" s="29"/>
      <c r="M1032" s="29"/>
      <c r="N1032" s="29"/>
      <c r="O1032" s="29"/>
      <c r="P1032" s="29"/>
    </row>
    <row r="1033" ht="14.25" customHeight="1">
      <c r="G1033" s="29"/>
      <c r="M1033" s="29"/>
      <c r="N1033" s="29"/>
      <c r="O1033" s="29"/>
      <c r="P1033" s="29"/>
    </row>
    <row r="1034" ht="14.25" customHeight="1">
      <c r="G1034" s="29"/>
      <c r="M1034" s="29"/>
      <c r="N1034" s="29"/>
      <c r="O1034" s="29"/>
      <c r="P1034" s="29"/>
    </row>
    <row r="1035" ht="14.25" customHeight="1">
      <c r="G1035" s="29"/>
      <c r="M1035" s="29"/>
      <c r="N1035" s="29"/>
      <c r="O1035" s="29"/>
      <c r="P1035" s="29"/>
    </row>
    <row r="1036" ht="14.25" customHeight="1">
      <c r="G1036" s="29"/>
      <c r="M1036" s="29"/>
      <c r="N1036" s="29"/>
      <c r="O1036" s="29"/>
      <c r="P1036" s="29"/>
    </row>
    <row r="1037" ht="14.25" customHeight="1">
      <c r="G1037" s="29"/>
      <c r="M1037" s="29"/>
      <c r="N1037" s="29"/>
      <c r="O1037" s="29"/>
      <c r="P1037" s="29"/>
    </row>
    <row r="1038" ht="14.25" customHeight="1">
      <c r="G1038" s="29"/>
      <c r="M1038" s="29"/>
      <c r="N1038" s="29"/>
      <c r="O1038" s="29"/>
      <c r="P1038" s="29"/>
    </row>
    <row r="1039" ht="14.25" customHeight="1">
      <c r="G1039" s="29"/>
      <c r="M1039" s="29"/>
      <c r="N1039" s="29"/>
      <c r="O1039" s="29"/>
      <c r="P1039" s="29"/>
    </row>
    <row r="1040" ht="14.25" customHeight="1">
      <c r="G1040" s="29"/>
      <c r="M1040" s="29"/>
      <c r="N1040" s="29"/>
      <c r="O1040" s="29"/>
      <c r="P1040" s="29"/>
    </row>
    <row r="1041" ht="14.25" customHeight="1">
      <c r="G1041" s="29"/>
      <c r="M1041" s="29"/>
      <c r="N1041" s="29"/>
      <c r="O1041" s="29"/>
      <c r="P1041" s="29"/>
    </row>
    <row r="1042" ht="14.25" customHeight="1">
      <c r="G1042" s="29"/>
      <c r="M1042" s="29"/>
      <c r="N1042" s="29"/>
      <c r="O1042" s="29"/>
      <c r="P1042" s="29"/>
    </row>
    <row r="1043" ht="14.25" customHeight="1">
      <c r="G1043" s="29"/>
      <c r="M1043" s="29"/>
      <c r="N1043" s="29"/>
      <c r="O1043" s="29"/>
      <c r="P1043" s="29"/>
    </row>
    <row r="1044" ht="14.25" customHeight="1">
      <c r="G1044" s="29"/>
      <c r="M1044" s="29"/>
      <c r="N1044" s="29"/>
      <c r="O1044" s="29"/>
      <c r="P1044" s="29"/>
    </row>
    <row r="1045" ht="14.25" customHeight="1">
      <c r="G1045" s="29"/>
      <c r="M1045" s="29"/>
      <c r="N1045" s="29"/>
      <c r="O1045" s="29"/>
      <c r="P1045" s="29"/>
    </row>
    <row r="1046" ht="14.25" customHeight="1">
      <c r="G1046" s="29"/>
      <c r="M1046" s="29"/>
      <c r="N1046" s="29"/>
      <c r="O1046" s="29"/>
      <c r="P1046" s="29"/>
    </row>
    <row r="1047" ht="14.25" customHeight="1">
      <c r="G1047" s="29"/>
      <c r="M1047" s="29"/>
      <c r="N1047" s="29"/>
      <c r="O1047" s="29"/>
      <c r="P1047" s="29"/>
    </row>
    <row r="1048" ht="14.25" customHeight="1">
      <c r="G1048" s="29"/>
      <c r="M1048" s="29"/>
      <c r="N1048" s="29"/>
      <c r="O1048" s="29"/>
      <c r="P1048" s="29"/>
    </row>
    <row r="1049" ht="14.25" customHeight="1">
      <c r="G1049" s="29"/>
      <c r="M1049" s="29"/>
      <c r="N1049" s="29"/>
      <c r="O1049" s="29"/>
      <c r="P1049" s="29"/>
    </row>
    <row r="1050" ht="14.25" customHeight="1">
      <c r="G1050" s="29"/>
      <c r="M1050" s="29"/>
      <c r="N1050" s="29"/>
      <c r="O1050" s="29"/>
      <c r="P1050" s="29"/>
    </row>
    <row r="1051" ht="14.25" customHeight="1">
      <c r="G1051" s="29"/>
      <c r="M1051" s="29"/>
      <c r="N1051" s="29"/>
      <c r="O1051" s="29"/>
      <c r="P1051" s="29"/>
    </row>
    <row r="1052" ht="14.25" customHeight="1">
      <c r="G1052" s="29"/>
      <c r="M1052" s="29"/>
      <c r="N1052" s="29"/>
      <c r="O1052" s="29"/>
      <c r="P1052" s="29"/>
    </row>
    <row r="1053" ht="14.25" customHeight="1">
      <c r="G1053" s="29"/>
      <c r="M1053" s="29"/>
      <c r="N1053" s="29"/>
      <c r="O1053" s="29"/>
      <c r="P1053" s="29"/>
    </row>
    <row r="1054" ht="14.25" customHeight="1">
      <c r="G1054" s="29"/>
      <c r="M1054" s="29"/>
      <c r="N1054" s="29"/>
      <c r="O1054" s="29"/>
      <c r="P1054" s="29"/>
    </row>
    <row r="1055" ht="14.25" customHeight="1">
      <c r="G1055" s="29"/>
      <c r="M1055" s="29"/>
      <c r="N1055" s="29"/>
      <c r="O1055" s="29"/>
      <c r="P1055" s="29"/>
    </row>
    <row r="1056" ht="14.25" customHeight="1">
      <c r="G1056" s="29"/>
      <c r="M1056" s="29"/>
      <c r="N1056" s="29"/>
      <c r="O1056" s="29"/>
      <c r="P1056" s="29"/>
    </row>
    <row r="1057" ht="14.25" customHeight="1">
      <c r="G1057" s="29"/>
      <c r="M1057" s="29"/>
      <c r="N1057" s="29"/>
      <c r="O1057" s="29"/>
      <c r="P1057" s="29"/>
    </row>
    <row r="1058" ht="14.25" customHeight="1">
      <c r="G1058" s="29"/>
      <c r="M1058" s="29"/>
      <c r="N1058" s="29"/>
      <c r="O1058" s="29"/>
      <c r="P1058" s="29"/>
    </row>
    <row r="1059" ht="14.25" customHeight="1">
      <c r="G1059" s="29"/>
      <c r="M1059" s="29"/>
      <c r="N1059" s="29"/>
      <c r="O1059" s="29"/>
      <c r="P1059" s="29"/>
    </row>
    <row r="1060" ht="14.25" customHeight="1">
      <c r="G1060" s="29"/>
      <c r="M1060" s="29"/>
      <c r="N1060" s="29"/>
      <c r="O1060" s="29"/>
      <c r="P1060" s="29"/>
    </row>
    <row r="1061" ht="14.25" customHeight="1">
      <c r="G1061" s="29"/>
      <c r="M1061" s="29"/>
      <c r="N1061" s="29"/>
      <c r="O1061" s="29"/>
      <c r="P1061" s="29"/>
    </row>
    <row r="1062" ht="14.25" customHeight="1">
      <c r="G1062" s="29"/>
      <c r="M1062" s="29"/>
      <c r="N1062" s="29"/>
      <c r="O1062" s="29"/>
      <c r="P1062" s="29"/>
    </row>
    <row r="1063" ht="14.25" customHeight="1">
      <c r="G1063" s="29"/>
      <c r="M1063" s="29"/>
      <c r="N1063" s="29"/>
      <c r="O1063" s="29"/>
      <c r="P1063" s="29"/>
    </row>
    <row r="1064" ht="14.25" customHeight="1">
      <c r="G1064" s="29"/>
      <c r="M1064" s="29"/>
      <c r="N1064" s="29"/>
      <c r="O1064" s="29"/>
      <c r="P1064" s="29"/>
    </row>
    <row r="1065" ht="14.25" customHeight="1">
      <c r="G1065" s="29"/>
      <c r="M1065" s="29"/>
      <c r="N1065" s="29"/>
      <c r="O1065" s="29"/>
      <c r="P1065" s="29"/>
    </row>
    <row r="1066" ht="14.25" customHeight="1">
      <c r="G1066" s="29"/>
      <c r="M1066" s="29"/>
      <c r="N1066" s="29"/>
      <c r="O1066" s="29"/>
      <c r="P1066" s="29"/>
    </row>
    <row r="1067" ht="14.25" customHeight="1">
      <c r="G1067" s="29"/>
      <c r="M1067" s="29"/>
      <c r="N1067" s="29"/>
      <c r="O1067" s="29"/>
      <c r="P1067" s="29"/>
    </row>
    <row r="1068" ht="14.25" customHeight="1">
      <c r="G1068" s="29"/>
      <c r="M1068" s="29"/>
      <c r="N1068" s="29"/>
      <c r="O1068" s="29"/>
      <c r="P1068" s="29"/>
    </row>
    <row r="1069" ht="14.25" customHeight="1">
      <c r="G1069" s="29"/>
      <c r="M1069" s="29"/>
      <c r="N1069" s="29"/>
      <c r="O1069" s="29"/>
      <c r="P1069" s="29"/>
    </row>
    <row r="1070" ht="14.25" customHeight="1">
      <c r="G1070" s="29"/>
      <c r="M1070" s="29"/>
      <c r="N1070" s="29"/>
      <c r="O1070" s="29"/>
      <c r="P1070" s="29"/>
    </row>
    <row r="1071" ht="14.25" customHeight="1">
      <c r="G1071" s="29"/>
      <c r="M1071" s="29"/>
      <c r="N1071" s="29"/>
      <c r="O1071" s="29"/>
      <c r="P1071" s="29"/>
    </row>
    <row r="1072" ht="14.25" customHeight="1">
      <c r="G1072" s="29"/>
      <c r="M1072" s="29"/>
      <c r="N1072" s="29"/>
      <c r="O1072" s="29"/>
      <c r="P1072" s="29"/>
    </row>
    <row r="1073" ht="14.25" customHeight="1">
      <c r="G1073" s="29"/>
      <c r="M1073" s="29"/>
      <c r="N1073" s="29"/>
      <c r="O1073" s="29"/>
      <c r="P1073" s="29"/>
    </row>
    <row r="1074" ht="14.25" customHeight="1">
      <c r="G1074" s="29"/>
      <c r="M1074" s="29"/>
      <c r="N1074" s="29"/>
      <c r="O1074" s="29"/>
      <c r="P1074" s="29"/>
    </row>
    <row r="1075" ht="14.25" customHeight="1">
      <c r="G1075" s="29"/>
      <c r="M1075" s="29"/>
      <c r="N1075" s="29"/>
      <c r="O1075" s="29"/>
      <c r="P1075" s="29"/>
    </row>
    <row r="1076" ht="14.25" customHeight="1">
      <c r="G1076" s="29"/>
      <c r="M1076" s="29"/>
      <c r="N1076" s="29"/>
      <c r="O1076" s="29"/>
      <c r="P1076" s="29"/>
    </row>
    <row r="1077" ht="14.25" customHeight="1">
      <c r="G1077" s="29"/>
      <c r="M1077" s="29"/>
      <c r="N1077" s="29"/>
      <c r="O1077" s="29"/>
      <c r="P1077" s="29"/>
    </row>
    <row r="1078" ht="14.25" customHeight="1">
      <c r="G1078" s="29"/>
      <c r="M1078" s="29"/>
      <c r="N1078" s="29"/>
      <c r="O1078" s="29"/>
      <c r="P1078" s="29"/>
    </row>
    <row r="1079" ht="14.25" customHeight="1">
      <c r="G1079" s="29"/>
      <c r="M1079" s="29"/>
      <c r="N1079" s="29"/>
      <c r="O1079" s="29"/>
      <c r="P1079" s="29"/>
    </row>
    <row r="1080" ht="14.25" customHeight="1">
      <c r="G1080" s="29"/>
      <c r="M1080" s="29"/>
      <c r="N1080" s="29"/>
      <c r="O1080" s="29"/>
      <c r="P1080" s="29"/>
    </row>
    <row r="1081" ht="14.25" customHeight="1">
      <c r="G1081" s="29"/>
      <c r="M1081" s="29"/>
      <c r="N1081" s="29"/>
      <c r="O1081" s="29"/>
      <c r="P1081" s="29"/>
    </row>
    <row r="1082" ht="14.25" customHeight="1">
      <c r="G1082" s="29"/>
      <c r="M1082" s="29"/>
      <c r="N1082" s="29"/>
      <c r="O1082" s="29"/>
      <c r="P1082" s="29"/>
    </row>
    <row r="1083" ht="14.25" customHeight="1">
      <c r="G1083" s="29"/>
      <c r="M1083" s="29"/>
      <c r="N1083" s="29"/>
      <c r="O1083" s="29"/>
      <c r="P1083" s="29"/>
    </row>
    <row r="1084" ht="14.25" customHeight="1">
      <c r="G1084" s="29"/>
      <c r="M1084" s="29"/>
      <c r="N1084" s="29"/>
      <c r="O1084" s="29"/>
      <c r="P1084" s="29"/>
    </row>
    <row r="1085" ht="14.25" customHeight="1">
      <c r="G1085" s="29"/>
      <c r="M1085" s="29"/>
      <c r="N1085" s="29"/>
      <c r="O1085" s="29"/>
      <c r="P1085" s="29"/>
    </row>
    <row r="1086" ht="14.25" customHeight="1">
      <c r="G1086" s="29"/>
      <c r="M1086" s="29"/>
      <c r="N1086" s="29"/>
      <c r="O1086" s="29"/>
      <c r="P1086" s="29"/>
    </row>
    <row r="1087" ht="14.25" customHeight="1">
      <c r="G1087" s="29"/>
      <c r="M1087" s="29"/>
      <c r="N1087" s="29"/>
      <c r="O1087" s="29"/>
      <c r="P1087" s="29"/>
    </row>
    <row r="1088" ht="14.25" customHeight="1">
      <c r="G1088" s="29"/>
      <c r="M1088" s="29"/>
      <c r="N1088" s="29"/>
      <c r="O1088" s="29"/>
      <c r="P1088" s="29"/>
    </row>
    <row r="1089" ht="14.25" customHeight="1">
      <c r="G1089" s="29"/>
      <c r="M1089" s="29"/>
      <c r="N1089" s="29"/>
      <c r="O1089" s="29"/>
      <c r="P1089" s="29"/>
    </row>
    <row r="1090" ht="14.25" customHeight="1">
      <c r="G1090" s="29"/>
      <c r="M1090" s="29"/>
      <c r="N1090" s="29"/>
      <c r="O1090" s="29"/>
      <c r="P1090" s="29"/>
    </row>
    <row r="1091" ht="14.25" customHeight="1">
      <c r="G1091" s="29"/>
      <c r="M1091" s="29"/>
      <c r="N1091" s="29"/>
      <c r="O1091" s="29"/>
      <c r="P1091" s="29"/>
    </row>
    <row r="1092" ht="14.25" customHeight="1">
      <c r="G1092" s="29"/>
      <c r="M1092" s="29"/>
      <c r="N1092" s="29"/>
      <c r="O1092" s="29"/>
      <c r="P1092" s="29"/>
    </row>
    <row r="1093" ht="14.25" customHeight="1">
      <c r="G1093" s="29"/>
      <c r="M1093" s="29"/>
      <c r="N1093" s="29"/>
      <c r="O1093" s="29"/>
      <c r="P1093" s="29"/>
    </row>
    <row r="1094" ht="14.25" customHeight="1">
      <c r="G1094" s="29"/>
      <c r="M1094" s="29"/>
      <c r="N1094" s="29"/>
      <c r="O1094" s="29"/>
      <c r="P1094" s="29"/>
    </row>
    <row r="1095" ht="14.25" customHeight="1">
      <c r="G1095" s="29"/>
      <c r="M1095" s="29"/>
      <c r="N1095" s="29"/>
      <c r="O1095" s="29"/>
      <c r="P1095" s="29"/>
    </row>
    <row r="1096" ht="14.25" customHeight="1">
      <c r="G1096" s="29"/>
      <c r="M1096" s="29"/>
      <c r="N1096" s="29"/>
      <c r="O1096" s="29"/>
      <c r="P1096" s="29"/>
    </row>
    <row r="1097" ht="14.25" customHeight="1">
      <c r="G1097" s="29"/>
      <c r="M1097" s="29"/>
      <c r="N1097" s="29"/>
      <c r="O1097" s="29"/>
      <c r="P1097" s="29"/>
    </row>
    <row r="1098" ht="14.25" customHeight="1">
      <c r="G1098" s="29"/>
      <c r="M1098" s="29"/>
      <c r="N1098" s="29"/>
      <c r="O1098" s="29"/>
      <c r="P1098" s="29"/>
    </row>
    <row r="1099" ht="14.25" customHeight="1">
      <c r="G1099" s="29"/>
      <c r="M1099" s="29"/>
      <c r="N1099" s="29"/>
      <c r="O1099" s="29"/>
      <c r="P1099" s="29"/>
    </row>
    <row r="1100" ht="14.25" customHeight="1">
      <c r="G1100" s="29"/>
      <c r="M1100" s="29"/>
      <c r="N1100" s="29"/>
      <c r="O1100" s="29"/>
      <c r="P1100" s="29"/>
    </row>
    <row r="1101" ht="14.25" customHeight="1">
      <c r="G1101" s="29"/>
      <c r="M1101" s="29"/>
      <c r="N1101" s="29"/>
      <c r="O1101" s="29"/>
      <c r="P1101" s="29"/>
    </row>
    <row r="1102" ht="14.25" customHeight="1">
      <c r="G1102" s="29"/>
      <c r="M1102" s="29"/>
      <c r="N1102" s="29"/>
      <c r="O1102" s="29"/>
      <c r="P1102" s="29"/>
    </row>
    <row r="1103" ht="14.25" customHeight="1">
      <c r="G1103" s="29"/>
      <c r="M1103" s="29"/>
      <c r="N1103" s="29"/>
      <c r="O1103" s="29"/>
      <c r="P1103" s="29"/>
    </row>
    <row r="1104" ht="14.25" customHeight="1">
      <c r="G1104" s="29"/>
      <c r="M1104" s="29"/>
      <c r="N1104" s="29"/>
      <c r="O1104" s="29"/>
      <c r="P1104" s="29"/>
    </row>
    <row r="1105" ht="14.25" customHeight="1">
      <c r="G1105" s="29"/>
      <c r="M1105" s="29"/>
      <c r="N1105" s="29"/>
      <c r="O1105" s="29"/>
      <c r="P1105" s="29"/>
    </row>
    <row r="1106" ht="14.25" customHeight="1">
      <c r="G1106" s="29"/>
      <c r="M1106" s="29"/>
      <c r="N1106" s="29"/>
      <c r="O1106" s="29"/>
      <c r="P1106" s="29"/>
    </row>
    <row r="1107" ht="14.25" customHeight="1">
      <c r="G1107" s="29"/>
      <c r="M1107" s="29"/>
      <c r="N1107" s="29"/>
      <c r="O1107" s="29"/>
      <c r="P1107" s="29"/>
    </row>
    <row r="1108" ht="14.25" customHeight="1">
      <c r="G1108" s="29"/>
      <c r="M1108" s="29"/>
      <c r="N1108" s="29"/>
      <c r="O1108" s="29"/>
      <c r="P1108" s="29"/>
    </row>
    <row r="1109" ht="14.25" customHeight="1">
      <c r="G1109" s="29"/>
      <c r="M1109" s="29"/>
      <c r="N1109" s="29"/>
      <c r="O1109" s="29"/>
      <c r="P1109" s="29"/>
    </row>
    <row r="1110" ht="14.25" customHeight="1">
      <c r="G1110" s="29"/>
      <c r="M1110" s="29"/>
      <c r="N1110" s="29"/>
      <c r="O1110" s="29"/>
      <c r="P1110" s="29"/>
    </row>
    <row r="1111" ht="14.25" customHeight="1">
      <c r="G1111" s="29"/>
      <c r="M1111" s="29"/>
      <c r="N1111" s="29"/>
      <c r="O1111" s="29"/>
      <c r="P1111" s="29"/>
    </row>
    <row r="1112" ht="14.25" customHeight="1">
      <c r="G1112" s="29"/>
      <c r="M1112" s="29"/>
      <c r="N1112" s="29"/>
      <c r="O1112" s="29"/>
      <c r="P1112" s="29"/>
    </row>
    <row r="1113" ht="14.25" customHeight="1">
      <c r="G1113" s="29"/>
      <c r="M1113" s="29"/>
      <c r="N1113" s="29"/>
      <c r="O1113" s="29"/>
      <c r="P1113" s="29"/>
    </row>
    <row r="1114" ht="14.25" customHeight="1">
      <c r="G1114" s="29"/>
      <c r="M1114" s="29"/>
      <c r="N1114" s="29"/>
      <c r="O1114" s="29"/>
      <c r="P1114" s="29"/>
    </row>
    <row r="1115" ht="14.25" customHeight="1">
      <c r="G1115" s="29"/>
      <c r="M1115" s="29"/>
      <c r="N1115" s="29"/>
      <c r="O1115" s="29"/>
      <c r="P1115" s="29"/>
    </row>
    <row r="1116" ht="14.25" customHeight="1">
      <c r="G1116" s="29"/>
      <c r="M1116" s="29"/>
      <c r="N1116" s="29"/>
      <c r="O1116" s="29"/>
      <c r="P1116" s="29"/>
    </row>
    <row r="1117" ht="14.25" customHeight="1">
      <c r="G1117" s="29"/>
      <c r="M1117" s="29"/>
      <c r="N1117" s="29"/>
      <c r="O1117" s="29"/>
      <c r="P1117" s="29"/>
    </row>
    <row r="1118" ht="14.25" customHeight="1">
      <c r="G1118" s="29"/>
      <c r="M1118" s="29"/>
      <c r="N1118" s="29"/>
      <c r="O1118" s="29"/>
      <c r="P1118" s="29"/>
    </row>
    <row r="1119" ht="14.25" customHeight="1">
      <c r="G1119" s="29"/>
      <c r="M1119" s="29"/>
      <c r="N1119" s="29"/>
      <c r="O1119" s="29"/>
      <c r="P1119" s="29"/>
    </row>
    <row r="1120" ht="14.25" customHeight="1">
      <c r="G1120" s="29"/>
      <c r="M1120" s="29"/>
      <c r="N1120" s="29"/>
      <c r="O1120" s="29"/>
      <c r="P1120" s="29"/>
    </row>
    <row r="1121" ht="14.25" customHeight="1">
      <c r="G1121" s="29"/>
      <c r="M1121" s="29"/>
      <c r="N1121" s="29"/>
      <c r="O1121" s="29"/>
      <c r="P1121" s="29"/>
    </row>
    <row r="1122" ht="14.25" customHeight="1">
      <c r="G1122" s="29"/>
      <c r="M1122" s="29"/>
      <c r="N1122" s="29"/>
      <c r="O1122" s="29"/>
      <c r="P1122" s="29"/>
    </row>
    <row r="1123" ht="14.25" customHeight="1">
      <c r="G1123" s="29"/>
      <c r="M1123" s="29"/>
      <c r="N1123" s="29"/>
      <c r="O1123" s="29"/>
      <c r="P1123" s="29"/>
    </row>
    <row r="1124" ht="14.25" customHeight="1">
      <c r="G1124" s="29"/>
      <c r="M1124" s="29"/>
      <c r="N1124" s="29"/>
      <c r="O1124" s="29"/>
      <c r="P1124" s="29"/>
    </row>
    <row r="1125" ht="14.25" customHeight="1">
      <c r="G1125" s="29"/>
      <c r="M1125" s="29"/>
      <c r="N1125" s="29"/>
      <c r="O1125" s="29"/>
      <c r="P1125" s="29"/>
    </row>
    <row r="1126" ht="14.25" customHeight="1">
      <c r="G1126" s="29"/>
      <c r="M1126" s="29"/>
      <c r="N1126" s="29"/>
      <c r="O1126" s="29"/>
      <c r="P1126" s="29"/>
    </row>
    <row r="1127" ht="14.25" customHeight="1">
      <c r="G1127" s="29"/>
      <c r="M1127" s="29"/>
      <c r="N1127" s="29"/>
      <c r="O1127" s="29"/>
      <c r="P1127" s="29"/>
    </row>
    <row r="1128" ht="14.25" customHeight="1">
      <c r="G1128" s="29"/>
      <c r="M1128" s="29"/>
      <c r="N1128" s="29"/>
      <c r="O1128" s="29"/>
      <c r="P1128" s="29"/>
    </row>
    <row r="1129" ht="14.25" customHeight="1">
      <c r="G1129" s="29"/>
      <c r="M1129" s="29"/>
      <c r="N1129" s="29"/>
      <c r="O1129" s="29"/>
      <c r="P1129" s="29"/>
    </row>
    <row r="1130" ht="14.25" customHeight="1">
      <c r="G1130" s="29"/>
      <c r="M1130" s="29"/>
      <c r="N1130" s="29"/>
      <c r="O1130" s="29"/>
      <c r="P1130" s="29"/>
    </row>
    <row r="1131" ht="14.25" customHeight="1">
      <c r="G1131" s="29"/>
      <c r="M1131" s="29"/>
      <c r="N1131" s="29"/>
      <c r="O1131" s="29"/>
      <c r="P1131" s="29"/>
    </row>
    <row r="1132" ht="14.25" customHeight="1">
      <c r="G1132" s="29"/>
      <c r="M1132" s="29"/>
      <c r="N1132" s="29"/>
      <c r="O1132" s="29"/>
      <c r="P1132" s="29"/>
    </row>
    <row r="1133" ht="14.25" customHeight="1">
      <c r="G1133" s="29"/>
      <c r="M1133" s="29"/>
      <c r="N1133" s="29"/>
      <c r="O1133" s="29"/>
      <c r="P1133" s="29"/>
    </row>
    <row r="1134" ht="14.25" customHeight="1">
      <c r="G1134" s="29"/>
      <c r="M1134" s="29"/>
      <c r="N1134" s="29"/>
      <c r="O1134" s="29"/>
      <c r="P1134" s="29"/>
    </row>
    <row r="1135" ht="14.25" customHeight="1">
      <c r="G1135" s="29"/>
      <c r="M1135" s="29"/>
      <c r="N1135" s="29"/>
      <c r="O1135" s="29"/>
      <c r="P1135" s="29"/>
    </row>
    <row r="1136" ht="14.25" customHeight="1">
      <c r="G1136" s="29"/>
      <c r="M1136" s="29"/>
      <c r="N1136" s="29"/>
      <c r="O1136" s="29"/>
      <c r="P1136" s="29"/>
    </row>
    <row r="1137" ht="14.25" customHeight="1">
      <c r="G1137" s="29"/>
      <c r="M1137" s="29"/>
      <c r="N1137" s="29"/>
      <c r="O1137" s="29"/>
      <c r="P1137" s="29"/>
    </row>
    <row r="1138" ht="14.25" customHeight="1">
      <c r="G1138" s="29"/>
      <c r="M1138" s="29"/>
      <c r="N1138" s="29"/>
      <c r="O1138" s="29"/>
      <c r="P1138" s="29"/>
    </row>
    <row r="1139" ht="14.25" customHeight="1">
      <c r="G1139" s="29"/>
      <c r="M1139" s="29"/>
      <c r="N1139" s="29"/>
      <c r="O1139" s="29"/>
      <c r="P1139" s="29"/>
    </row>
    <row r="1140" ht="14.25" customHeight="1">
      <c r="G1140" s="29"/>
      <c r="M1140" s="29"/>
      <c r="N1140" s="29"/>
      <c r="O1140" s="29"/>
      <c r="P1140" s="29"/>
    </row>
    <row r="1141" ht="14.25" customHeight="1">
      <c r="G1141" s="29"/>
      <c r="M1141" s="29"/>
      <c r="N1141" s="29"/>
      <c r="O1141" s="29"/>
      <c r="P1141" s="29"/>
    </row>
    <row r="1142" ht="14.25" customHeight="1">
      <c r="G1142" s="29"/>
      <c r="M1142" s="29"/>
      <c r="N1142" s="29"/>
      <c r="O1142" s="29"/>
      <c r="P1142" s="29"/>
    </row>
    <row r="1143" ht="14.25" customHeight="1">
      <c r="G1143" s="29"/>
      <c r="M1143" s="29"/>
      <c r="N1143" s="29"/>
      <c r="O1143" s="29"/>
      <c r="P1143" s="29"/>
    </row>
    <row r="1144" ht="14.25" customHeight="1">
      <c r="G1144" s="29"/>
      <c r="M1144" s="29"/>
      <c r="N1144" s="29"/>
      <c r="O1144" s="29"/>
      <c r="P1144" s="29"/>
    </row>
    <row r="1145" ht="14.25" customHeight="1">
      <c r="G1145" s="29"/>
      <c r="M1145" s="29"/>
      <c r="N1145" s="29"/>
      <c r="O1145" s="29"/>
      <c r="P1145" s="29"/>
    </row>
    <row r="1146" ht="14.25" customHeight="1">
      <c r="G1146" s="29"/>
      <c r="M1146" s="29"/>
      <c r="N1146" s="29"/>
      <c r="O1146" s="29"/>
      <c r="P1146" s="29"/>
    </row>
    <row r="1147" ht="14.25" customHeight="1">
      <c r="G1147" s="29"/>
      <c r="M1147" s="29"/>
      <c r="N1147" s="29"/>
      <c r="O1147" s="29"/>
      <c r="P1147" s="29"/>
    </row>
    <row r="1148" ht="14.25" customHeight="1">
      <c r="G1148" s="29"/>
      <c r="M1148" s="29"/>
      <c r="N1148" s="29"/>
      <c r="O1148" s="29"/>
      <c r="P1148" s="29"/>
    </row>
    <row r="1149" ht="14.25" customHeight="1">
      <c r="G1149" s="29"/>
      <c r="M1149" s="29"/>
      <c r="N1149" s="29"/>
      <c r="O1149" s="29"/>
      <c r="P1149" s="29"/>
    </row>
    <row r="1150" ht="14.25" customHeight="1">
      <c r="G1150" s="29"/>
      <c r="M1150" s="29"/>
      <c r="N1150" s="29"/>
      <c r="O1150" s="29"/>
      <c r="P1150" s="29"/>
    </row>
    <row r="1151" ht="14.25" customHeight="1">
      <c r="G1151" s="29"/>
      <c r="M1151" s="29"/>
      <c r="N1151" s="29"/>
      <c r="O1151" s="29"/>
      <c r="P1151" s="29"/>
    </row>
    <row r="1152" ht="14.25" customHeight="1">
      <c r="G1152" s="29"/>
      <c r="M1152" s="29"/>
      <c r="N1152" s="29"/>
      <c r="O1152" s="29"/>
      <c r="P1152" s="29"/>
    </row>
    <row r="1153" ht="14.25" customHeight="1">
      <c r="G1153" s="29"/>
      <c r="M1153" s="29"/>
      <c r="N1153" s="29"/>
      <c r="O1153" s="29"/>
      <c r="P1153" s="29"/>
    </row>
    <row r="1154" ht="14.25" customHeight="1">
      <c r="G1154" s="29"/>
      <c r="M1154" s="29"/>
      <c r="N1154" s="29"/>
      <c r="O1154" s="29"/>
      <c r="P1154" s="29"/>
    </row>
    <row r="1155" ht="14.25" customHeight="1">
      <c r="G1155" s="29"/>
      <c r="M1155" s="29"/>
      <c r="N1155" s="29"/>
      <c r="O1155" s="29"/>
      <c r="P1155" s="29"/>
    </row>
    <row r="1156" ht="14.25" customHeight="1">
      <c r="G1156" s="29"/>
      <c r="M1156" s="29"/>
      <c r="N1156" s="29"/>
      <c r="O1156" s="29"/>
      <c r="P1156" s="29"/>
    </row>
    <row r="1157" ht="14.25" customHeight="1">
      <c r="G1157" s="29"/>
      <c r="M1157" s="29"/>
      <c r="N1157" s="29"/>
      <c r="O1157" s="29"/>
      <c r="P1157" s="29"/>
    </row>
    <row r="1158" ht="14.25" customHeight="1">
      <c r="G1158" s="29"/>
      <c r="M1158" s="29"/>
      <c r="N1158" s="29"/>
      <c r="O1158" s="29"/>
      <c r="P1158" s="29"/>
    </row>
    <row r="1159" ht="14.25" customHeight="1">
      <c r="G1159" s="29"/>
      <c r="M1159" s="29"/>
      <c r="N1159" s="29"/>
      <c r="O1159" s="29"/>
      <c r="P1159" s="29"/>
    </row>
    <row r="1160" ht="14.25" customHeight="1">
      <c r="G1160" s="29"/>
      <c r="M1160" s="29"/>
      <c r="N1160" s="29"/>
      <c r="O1160" s="29"/>
      <c r="P1160" s="29"/>
    </row>
    <row r="1161" ht="14.25" customHeight="1">
      <c r="G1161" s="29"/>
      <c r="M1161" s="29"/>
      <c r="N1161" s="29"/>
      <c r="O1161" s="29"/>
      <c r="P1161" s="29"/>
    </row>
    <row r="1162" ht="14.25" customHeight="1">
      <c r="G1162" s="29"/>
      <c r="M1162" s="29"/>
      <c r="N1162" s="29"/>
      <c r="O1162" s="29"/>
      <c r="P1162" s="29"/>
    </row>
    <row r="1163" ht="14.25" customHeight="1">
      <c r="G1163" s="29"/>
      <c r="M1163" s="29"/>
      <c r="N1163" s="29"/>
      <c r="O1163" s="29"/>
      <c r="P1163" s="29"/>
    </row>
    <row r="1164" ht="14.25" customHeight="1">
      <c r="G1164" s="29"/>
      <c r="M1164" s="29"/>
      <c r="N1164" s="29"/>
      <c r="O1164" s="29"/>
      <c r="P1164" s="29"/>
    </row>
    <row r="1165" ht="14.25" customHeight="1">
      <c r="G1165" s="29"/>
      <c r="M1165" s="29"/>
      <c r="N1165" s="29"/>
      <c r="O1165" s="29"/>
      <c r="P1165" s="29"/>
    </row>
    <row r="1166" ht="14.25" customHeight="1">
      <c r="G1166" s="29"/>
      <c r="M1166" s="29"/>
      <c r="N1166" s="29"/>
      <c r="O1166" s="29"/>
      <c r="P1166" s="29"/>
    </row>
    <row r="1167" ht="14.25" customHeight="1">
      <c r="G1167" s="29"/>
      <c r="M1167" s="29"/>
      <c r="N1167" s="29"/>
      <c r="O1167" s="29"/>
      <c r="P1167" s="29"/>
    </row>
    <row r="1168" ht="14.25" customHeight="1">
      <c r="G1168" s="29"/>
      <c r="M1168" s="29"/>
      <c r="N1168" s="29"/>
      <c r="O1168" s="29"/>
      <c r="P1168" s="29"/>
    </row>
    <row r="1169" ht="14.25" customHeight="1">
      <c r="G1169" s="29"/>
      <c r="M1169" s="29"/>
      <c r="N1169" s="29"/>
      <c r="O1169" s="29"/>
      <c r="P1169" s="29"/>
    </row>
    <row r="1170" ht="14.25" customHeight="1">
      <c r="G1170" s="29"/>
      <c r="M1170" s="29"/>
      <c r="N1170" s="29"/>
      <c r="O1170" s="29"/>
      <c r="P1170" s="29"/>
    </row>
    <row r="1171" ht="14.25" customHeight="1">
      <c r="G1171" s="29"/>
      <c r="M1171" s="29"/>
      <c r="N1171" s="29"/>
      <c r="O1171" s="29"/>
      <c r="P1171" s="29"/>
    </row>
    <row r="1172" ht="14.25" customHeight="1">
      <c r="G1172" s="29"/>
      <c r="M1172" s="29"/>
      <c r="N1172" s="29"/>
      <c r="O1172" s="29"/>
      <c r="P1172" s="29"/>
    </row>
    <row r="1173" ht="14.25" customHeight="1">
      <c r="G1173" s="29"/>
      <c r="M1173" s="29"/>
      <c r="N1173" s="29"/>
      <c r="O1173" s="29"/>
      <c r="P1173" s="29"/>
    </row>
    <row r="1174" ht="14.25" customHeight="1">
      <c r="G1174" s="29"/>
      <c r="M1174" s="29"/>
      <c r="N1174" s="29"/>
      <c r="O1174" s="29"/>
      <c r="P1174" s="29"/>
    </row>
    <row r="1175" ht="14.25" customHeight="1">
      <c r="G1175" s="29"/>
      <c r="M1175" s="29"/>
      <c r="N1175" s="29"/>
      <c r="O1175" s="29"/>
      <c r="P1175" s="29"/>
    </row>
    <row r="1176" ht="14.25" customHeight="1">
      <c r="G1176" s="29"/>
      <c r="M1176" s="29"/>
      <c r="N1176" s="29"/>
      <c r="O1176" s="29"/>
      <c r="P1176" s="29"/>
    </row>
    <row r="1177" ht="14.25" customHeight="1">
      <c r="G1177" s="29"/>
      <c r="M1177" s="29"/>
      <c r="N1177" s="29"/>
      <c r="O1177" s="29"/>
      <c r="P1177" s="29"/>
    </row>
    <row r="1178" ht="14.25" customHeight="1">
      <c r="G1178" s="29"/>
      <c r="M1178" s="29"/>
      <c r="N1178" s="29"/>
      <c r="O1178" s="29"/>
      <c r="P1178" s="29"/>
    </row>
    <row r="1179" ht="14.25" customHeight="1">
      <c r="G1179" s="29"/>
      <c r="M1179" s="29"/>
      <c r="N1179" s="29"/>
      <c r="O1179" s="29"/>
      <c r="P1179" s="29"/>
    </row>
    <row r="1180" ht="14.25" customHeight="1">
      <c r="G1180" s="29"/>
      <c r="M1180" s="29"/>
      <c r="N1180" s="29"/>
      <c r="O1180" s="29"/>
      <c r="P1180" s="29"/>
    </row>
    <row r="1181" ht="14.25" customHeight="1">
      <c r="G1181" s="29"/>
      <c r="M1181" s="29"/>
      <c r="N1181" s="29"/>
      <c r="O1181" s="29"/>
      <c r="P1181" s="29"/>
    </row>
    <row r="1182" ht="14.25" customHeight="1">
      <c r="G1182" s="29"/>
      <c r="M1182" s="29"/>
      <c r="N1182" s="29"/>
      <c r="O1182" s="29"/>
      <c r="P1182" s="29"/>
    </row>
    <row r="1183" ht="14.25" customHeight="1">
      <c r="G1183" s="29"/>
      <c r="M1183" s="29"/>
      <c r="N1183" s="29"/>
      <c r="O1183" s="29"/>
      <c r="P1183" s="29"/>
    </row>
    <row r="1184" ht="14.25" customHeight="1">
      <c r="G1184" s="29"/>
      <c r="M1184" s="29"/>
      <c r="N1184" s="29"/>
      <c r="O1184" s="29"/>
      <c r="P1184" s="29"/>
    </row>
    <row r="1185" ht="14.25" customHeight="1">
      <c r="G1185" s="29"/>
      <c r="M1185" s="29"/>
      <c r="N1185" s="29"/>
      <c r="O1185" s="29"/>
      <c r="P1185" s="29"/>
    </row>
    <row r="1186" ht="14.25" customHeight="1">
      <c r="G1186" s="29"/>
      <c r="M1186" s="29"/>
      <c r="N1186" s="29"/>
      <c r="O1186" s="29"/>
      <c r="P1186" s="29"/>
    </row>
    <row r="1187" ht="14.25" customHeight="1">
      <c r="G1187" s="29"/>
      <c r="M1187" s="29"/>
      <c r="N1187" s="29"/>
      <c r="O1187" s="29"/>
      <c r="P1187" s="29"/>
    </row>
    <row r="1188" ht="14.25" customHeight="1">
      <c r="G1188" s="29"/>
      <c r="M1188" s="29"/>
      <c r="N1188" s="29"/>
      <c r="O1188" s="29"/>
      <c r="P1188" s="29"/>
    </row>
    <row r="1189" ht="14.25" customHeight="1">
      <c r="G1189" s="29"/>
      <c r="M1189" s="29"/>
      <c r="N1189" s="29"/>
      <c r="O1189" s="29"/>
      <c r="P1189" s="29"/>
    </row>
    <row r="1190" ht="14.25" customHeight="1">
      <c r="G1190" s="29"/>
      <c r="M1190" s="29"/>
      <c r="N1190" s="29"/>
      <c r="O1190" s="29"/>
      <c r="P1190" s="29"/>
    </row>
    <row r="1191" ht="14.25" customHeight="1">
      <c r="G1191" s="29"/>
      <c r="M1191" s="29"/>
      <c r="N1191" s="29"/>
      <c r="O1191" s="29"/>
      <c r="P1191" s="29"/>
    </row>
    <row r="1192" ht="14.25" customHeight="1">
      <c r="G1192" s="29"/>
      <c r="M1192" s="29"/>
      <c r="N1192" s="29"/>
      <c r="O1192" s="29"/>
      <c r="P1192" s="29"/>
    </row>
    <row r="1193" ht="14.25" customHeight="1">
      <c r="G1193" s="29"/>
      <c r="M1193" s="29"/>
      <c r="N1193" s="29"/>
      <c r="O1193" s="29"/>
      <c r="P1193" s="29"/>
    </row>
    <row r="1194" ht="14.25" customHeight="1">
      <c r="G1194" s="29"/>
      <c r="M1194" s="29"/>
      <c r="N1194" s="29"/>
      <c r="O1194" s="29"/>
      <c r="P1194" s="29"/>
    </row>
    <row r="1195" ht="14.25" customHeight="1">
      <c r="G1195" s="29"/>
      <c r="M1195" s="29"/>
      <c r="N1195" s="29"/>
      <c r="O1195" s="29"/>
      <c r="P1195" s="29"/>
    </row>
    <row r="1196" ht="14.25" customHeight="1">
      <c r="G1196" s="29"/>
      <c r="M1196" s="29"/>
      <c r="N1196" s="29"/>
      <c r="O1196" s="29"/>
      <c r="P1196" s="29"/>
    </row>
    <row r="1197" ht="14.25" customHeight="1">
      <c r="G1197" s="29"/>
      <c r="M1197" s="29"/>
      <c r="N1197" s="29"/>
      <c r="O1197" s="29"/>
      <c r="P1197" s="29"/>
    </row>
    <row r="1198" ht="14.25" customHeight="1">
      <c r="G1198" s="29"/>
      <c r="M1198" s="29"/>
      <c r="N1198" s="29"/>
      <c r="O1198" s="29"/>
      <c r="P1198" s="29"/>
    </row>
    <row r="1199" ht="14.25" customHeight="1">
      <c r="G1199" s="29"/>
      <c r="M1199" s="29"/>
      <c r="N1199" s="29"/>
      <c r="O1199" s="29"/>
      <c r="P1199" s="29"/>
    </row>
    <row r="1200" ht="14.25" customHeight="1">
      <c r="G1200" s="29"/>
      <c r="M1200" s="29"/>
      <c r="N1200" s="29"/>
      <c r="O1200" s="29"/>
      <c r="P1200" s="29"/>
    </row>
    <row r="1201" ht="14.25" customHeight="1">
      <c r="G1201" s="29"/>
      <c r="M1201" s="29"/>
      <c r="N1201" s="29"/>
      <c r="O1201" s="29"/>
      <c r="P1201" s="29"/>
    </row>
    <row r="1202" ht="14.25" customHeight="1">
      <c r="G1202" s="29"/>
      <c r="M1202" s="29"/>
      <c r="N1202" s="29"/>
      <c r="O1202" s="29"/>
      <c r="P1202" s="29"/>
    </row>
    <row r="1203" ht="14.25" customHeight="1">
      <c r="G1203" s="29"/>
      <c r="M1203" s="29"/>
      <c r="N1203" s="29"/>
      <c r="O1203" s="29"/>
      <c r="P1203" s="29"/>
    </row>
    <row r="1204" ht="14.25" customHeight="1">
      <c r="G1204" s="29"/>
      <c r="M1204" s="29"/>
      <c r="N1204" s="29"/>
      <c r="O1204" s="29"/>
      <c r="P1204" s="29"/>
    </row>
    <row r="1205" ht="14.25" customHeight="1">
      <c r="G1205" s="29"/>
      <c r="M1205" s="29"/>
      <c r="N1205" s="29"/>
      <c r="O1205" s="29"/>
      <c r="P1205" s="29"/>
    </row>
    <row r="1206" ht="14.25" customHeight="1">
      <c r="G1206" s="29"/>
      <c r="M1206" s="29"/>
      <c r="N1206" s="29"/>
      <c r="O1206" s="29"/>
      <c r="P1206" s="29"/>
    </row>
    <row r="1207" ht="14.25" customHeight="1">
      <c r="G1207" s="29"/>
      <c r="M1207" s="29"/>
      <c r="N1207" s="29"/>
      <c r="O1207" s="29"/>
      <c r="P1207" s="29"/>
    </row>
    <row r="1208" ht="14.25" customHeight="1">
      <c r="G1208" s="29"/>
      <c r="M1208" s="29"/>
      <c r="N1208" s="29"/>
      <c r="O1208" s="29"/>
      <c r="P1208" s="29"/>
    </row>
    <row r="1209" ht="14.25" customHeight="1">
      <c r="G1209" s="29"/>
      <c r="M1209" s="29"/>
      <c r="N1209" s="29"/>
      <c r="O1209" s="29"/>
      <c r="P1209" s="29"/>
    </row>
    <row r="1210" ht="14.25" customHeight="1">
      <c r="G1210" s="29"/>
      <c r="M1210" s="29"/>
      <c r="N1210" s="29"/>
      <c r="O1210" s="29"/>
      <c r="P1210" s="29"/>
    </row>
    <row r="1211" ht="14.25" customHeight="1">
      <c r="G1211" s="29"/>
      <c r="M1211" s="29"/>
      <c r="N1211" s="29"/>
      <c r="O1211" s="29"/>
      <c r="P1211" s="29"/>
    </row>
    <row r="1212" ht="14.25" customHeight="1">
      <c r="G1212" s="29"/>
      <c r="M1212" s="29"/>
      <c r="N1212" s="29"/>
      <c r="O1212" s="29"/>
      <c r="P1212" s="29"/>
    </row>
    <row r="1213" ht="14.25" customHeight="1">
      <c r="G1213" s="29"/>
      <c r="M1213" s="29"/>
      <c r="N1213" s="29"/>
      <c r="O1213" s="29"/>
      <c r="P1213" s="29"/>
    </row>
    <row r="1214" ht="14.25" customHeight="1">
      <c r="G1214" s="29"/>
      <c r="M1214" s="29"/>
      <c r="N1214" s="29"/>
      <c r="O1214" s="29"/>
      <c r="P1214" s="29"/>
    </row>
    <row r="1215" ht="14.25" customHeight="1">
      <c r="G1215" s="29"/>
      <c r="M1215" s="29"/>
      <c r="N1215" s="29"/>
      <c r="O1215" s="29"/>
      <c r="P1215" s="29"/>
    </row>
    <row r="1216" ht="14.25" customHeight="1">
      <c r="G1216" s="29"/>
      <c r="M1216" s="29"/>
      <c r="N1216" s="29"/>
      <c r="O1216" s="29"/>
      <c r="P1216" s="29"/>
    </row>
    <row r="1217" ht="14.25" customHeight="1">
      <c r="G1217" s="29"/>
      <c r="M1217" s="29"/>
      <c r="N1217" s="29"/>
      <c r="O1217" s="29"/>
      <c r="P1217" s="29"/>
    </row>
    <row r="1218" ht="14.25" customHeight="1">
      <c r="G1218" s="29"/>
      <c r="M1218" s="29"/>
      <c r="N1218" s="29"/>
      <c r="O1218" s="29"/>
      <c r="P1218" s="29"/>
    </row>
    <row r="1219" ht="14.25" customHeight="1">
      <c r="G1219" s="29"/>
      <c r="M1219" s="29"/>
      <c r="N1219" s="29"/>
      <c r="O1219" s="29"/>
      <c r="P1219" s="29"/>
    </row>
    <row r="1220" ht="14.25" customHeight="1">
      <c r="G1220" s="29"/>
      <c r="M1220" s="29"/>
      <c r="N1220" s="29"/>
      <c r="O1220" s="29"/>
      <c r="P1220" s="29"/>
    </row>
    <row r="1221" ht="14.25" customHeight="1">
      <c r="G1221" s="29"/>
      <c r="M1221" s="29"/>
      <c r="N1221" s="29"/>
      <c r="O1221" s="29"/>
      <c r="P1221" s="29"/>
    </row>
    <row r="1222" ht="14.25" customHeight="1">
      <c r="G1222" s="29"/>
      <c r="M1222" s="29"/>
      <c r="N1222" s="29"/>
      <c r="O1222" s="29"/>
      <c r="P1222" s="29"/>
    </row>
    <row r="1223" ht="14.25" customHeight="1">
      <c r="G1223" s="29"/>
      <c r="M1223" s="29"/>
      <c r="N1223" s="29"/>
      <c r="O1223" s="29"/>
      <c r="P1223" s="29"/>
    </row>
    <row r="1224" ht="14.25" customHeight="1">
      <c r="G1224" s="29"/>
      <c r="M1224" s="29"/>
      <c r="N1224" s="29"/>
      <c r="O1224" s="29"/>
      <c r="P1224" s="29"/>
    </row>
    <row r="1225" ht="14.25" customHeight="1">
      <c r="G1225" s="29"/>
      <c r="M1225" s="29"/>
      <c r="N1225" s="29"/>
      <c r="O1225" s="29"/>
      <c r="P1225" s="29"/>
    </row>
    <row r="1226" ht="14.25" customHeight="1">
      <c r="G1226" s="29"/>
      <c r="M1226" s="29"/>
      <c r="N1226" s="29"/>
      <c r="O1226" s="29"/>
      <c r="P1226" s="29"/>
    </row>
    <row r="1227" ht="14.25" customHeight="1">
      <c r="G1227" s="29"/>
      <c r="M1227" s="29"/>
      <c r="N1227" s="29"/>
      <c r="O1227" s="29"/>
      <c r="P1227" s="29"/>
    </row>
    <row r="1228" ht="14.25" customHeight="1">
      <c r="G1228" s="29"/>
      <c r="M1228" s="29"/>
      <c r="N1228" s="29"/>
      <c r="O1228" s="29"/>
      <c r="P1228" s="29"/>
    </row>
    <row r="1229" ht="14.25" customHeight="1">
      <c r="G1229" s="29"/>
      <c r="M1229" s="29"/>
      <c r="N1229" s="29"/>
      <c r="O1229" s="29"/>
      <c r="P1229" s="29"/>
    </row>
    <row r="1230" ht="14.25" customHeight="1">
      <c r="G1230" s="29"/>
      <c r="M1230" s="29"/>
      <c r="N1230" s="29"/>
      <c r="O1230" s="29"/>
      <c r="P1230" s="29"/>
    </row>
    <row r="1231" ht="14.25" customHeight="1">
      <c r="G1231" s="29"/>
      <c r="M1231" s="29"/>
      <c r="N1231" s="29"/>
      <c r="O1231" s="29"/>
      <c r="P1231" s="29"/>
    </row>
    <row r="1232" ht="14.25" customHeight="1">
      <c r="G1232" s="29"/>
      <c r="M1232" s="29"/>
      <c r="N1232" s="29"/>
      <c r="O1232" s="29"/>
      <c r="P1232" s="29"/>
    </row>
    <row r="1233" ht="14.25" customHeight="1">
      <c r="G1233" s="29"/>
      <c r="M1233" s="29"/>
      <c r="N1233" s="29"/>
      <c r="O1233" s="29"/>
      <c r="P1233" s="29"/>
    </row>
    <row r="1234" ht="14.25" customHeight="1">
      <c r="G1234" s="29"/>
      <c r="M1234" s="29"/>
      <c r="N1234" s="29"/>
      <c r="O1234" s="29"/>
      <c r="P1234" s="29"/>
    </row>
    <row r="1235" ht="14.25" customHeight="1">
      <c r="G1235" s="29"/>
      <c r="M1235" s="29"/>
      <c r="N1235" s="29"/>
      <c r="O1235" s="29"/>
      <c r="P1235" s="29"/>
    </row>
    <row r="1236" ht="14.25" customHeight="1">
      <c r="G1236" s="29"/>
      <c r="M1236" s="29"/>
      <c r="N1236" s="29"/>
      <c r="O1236" s="29"/>
      <c r="P1236" s="29"/>
    </row>
    <row r="1237" ht="14.25" customHeight="1">
      <c r="G1237" s="29"/>
      <c r="M1237" s="29"/>
      <c r="N1237" s="29"/>
      <c r="O1237" s="29"/>
      <c r="P1237" s="29"/>
    </row>
    <row r="1238" ht="14.25" customHeight="1">
      <c r="G1238" s="29"/>
      <c r="M1238" s="29"/>
      <c r="N1238" s="29"/>
      <c r="O1238" s="29"/>
      <c r="P1238" s="29"/>
    </row>
    <row r="1239" ht="14.25" customHeight="1">
      <c r="G1239" s="29"/>
      <c r="M1239" s="29"/>
      <c r="N1239" s="29"/>
      <c r="O1239" s="29"/>
      <c r="P1239" s="29"/>
    </row>
    <row r="1240" ht="14.25" customHeight="1">
      <c r="G1240" s="29"/>
      <c r="M1240" s="29"/>
      <c r="N1240" s="29"/>
      <c r="O1240" s="29"/>
      <c r="P1240" s="29"/>
    </row>
    <row r="1241" ht="14.25" customHeight="1">
      <c r="G1241" s="29"/>
      <c r="M1241" s="29"/>
      <c r="N1241" s="29"/>
      <c r="O1241" s="29"/>
      <c r="P1241" s="29"/>
    </row>
    <row r="1242" ht="14.25" customHeight="1">
      <c r="G1242" s="29"/>
      <c r="M1242" s="29"/>
      <c r="N1242" s="29"/>
      <c r="O1242" s="29"/>
      <c r="P1242" s="29"/>
    </row>
    <row r="1243" ht="14.25" customHeight="1">
      <c r="G1243" s="29"/>
      <c r="M1243" s="29"/>
      <c r="N1243" s="29"/>
      <c r="O1243" s="29"/>
      <c r="P1243" s="29"/>
    </row>
    <row r="1244" ht="14.25" customHeight="1">
      <c r="G1244" s="29"/>
      <c r="M1244" s="29"/>
      <c r="N1244" s="29"/>
      <c r="O1244" s="29"/>
      <c r="P1244" s="29"/>
    </row>
    <row r="1245" ht="14.25" customHeight="1">
      <c r="G1245" s="29"/>
      <c r="M1245" s="29"/>
      <c r="N1245" s="29"/>
      <c r="O1245" s="29"/>
      <c r="P1245" s="29"/>
    </row>
    <row r="1246" ht="14.25" customHeight="1"/>
    <row r="1247" ht="14.25" customHeight="1"/>
    <row r="1248" ht="14.25" customHeight="1"/>
    <row r="1249" ht="14.25" customHeight="1"/>
    <row r="1250" ht="14.25" customHeight="1"/>
  </sheetData>
  <mergeCells count="41">
    <mergeCell ref="A1:G1"/>
    <mergeCell ref="M1:P1"/>
    <mergeCell ref="S1:AC1"/>
    <mergeCell ref="A2:P2"/>
    <mergeCell ref="S2:AC2"/>
    <mergeCell ref="A23:P23"/>
    <mergeCell ref="S23:AC23"/>
    <mergeCell ref="A40:P40"/>
    <mergeCell ref="S40:AC40"/>
    <mergeCell ref="A58:P58"/>
    <mergeCell ref="S58:AC58"/>
    <mergeCell ref="A74:P74"/>
    <mergeCell ref="S74:AC74"/>
    <mergeCell ref="S90:AC90"/>
    <mergeCell ref="A90:P90"/>
    <mergeCell ref="A106:P106"/>
    <mergeCell ref="S106:AC106"/>
    <mergeCell ref="A123:P123"/>
    <mergeCell ref="S123:AC123"/>
    <mergeCell ref="A141:P141"/>
    <mergeCell ref="S141:AE141"/>
    <mergeCell ref="A153:P153"/>
    <mergeCell ref="S153:AJ153"/>
    <mergeCell ref="A168:P168"/>
    <mergeCell ref="S168:AJ168"/>
    <mergeCell ref="A182:P182"/>
    <mergeCell ref="S182:AJ182"/>
    <mergeCell ref="S196:AJ196"/>
    <mergeCell ref="A253:P253"/>
    <mergeCell ref="S253:AJ253"/>
    <mergeCell ref="A263:G263"/>
    <mergeCell ref="S263:T263"/>
    <mergeCell ref="A273:F273"/>
    <mergeCell ref="A283:F283"/>
    <mergeCell ref="A196:P196"/>
    <mergeCell ref="A211:P211"/>
    <mergeCell ref="S211:AJ211"/>
    <mergeCell ref="A227:P227"/>
    <mergeCell ref="S227:AJ227"/>
    <mergeCell ref="A242:P242"/>
    <mergeCell ref="S242:AJ24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4.0"/>
    <col customWidth="1" min="3" max="3" width="8.86"/>
    <col customWidth="1" min="4" max="4" width="30.14"/>
    <col customWidth="1" min="5" max="5" width="8.43"/>
    <col customWidth="1" hidden="1" min="6" max="6" width="24.0"/>
    <col customWidth="1" min="7" max="7" width="19.71"/>
    <col customWidth="1" min="8" max="8" width="18.29"/>
    <col customWidth="1" hidden="1" min="9" max="9" width="19.71"/>
    <col customWidth="1" min="10" max="10" width="19.71"/>
    <col customWidth="1" hidden="1" min="11" max="11" width="19.71"/>
    <col customWidth="1" min="12" max="12" width="19.71"/>
    <col customWidth="1" min="13" max="13" width="10.0"/>
    <col customWidth="1" min="14" max="15" width="27.43"/>
    <col customWidth="1" min="16" max="16" width="10.71"/>
    <col customWidth="1" min="17" max="17" width="30.71"/>
    <col customWidth="1" min="18" max="18" width="11.86"/>
    <col customWidth="1" min="19" max="19" width="8.71"/>
    <col customWidth="1" min="20" max="20" width="11.29"/>
    <col customWidth="1" min="21" max="21" width="8.71"/>
  </cols>
  <sheetData>
    <row r="1">
      <c r="A1" s="48" t="s">
        <v>5</v>
      </c>
      <c r="B1" s="10" t="s">
        <v>156</v>
      </c>
      <c r="C1" s="48" t="s">
        <v>157</v>
      </c>
      <c r="D1" s="49" t="s">
        <v>158</v>
      </c>
      <c r="E1" s="50" t="s">
        <v>159</v>
      </c>
      <c r="F1" s="48" t="s">
        <v>160</v>
      </c>
      <c r="G1" s="8" t="s">
        <v>160</v>
      </c>
      <c r="H1" s="51" t="s">
        <v>161</v>
      </c>
      <c r="I1" s="48" t="s">
        <v>162</v>
      </c>
      <c r="J1" s="8" t="s">
        <v>162</v>
      </c>
      <c r="K1" s="48" t="s">
        <v>163</v>
      </c>
      <c r="L1" s="8" t="s">
        <v>163</v>
      </c>
      <c r="M1" s="52" t="s">
        <v>164</v>
      </c>
      <c r="N1" s="51" t="s">
        <v>165</v>
      </c>
      <c r="O1" s="51" t="s">
        <v>166</v>
      </c>
      <c r="P1" s="51" t="s">
        <v>167</v>
      </c>
      <c r="Q1" s="51" t="s">
        <v>168</v>
      </c>
      <c r="R1" s="8" t="s">
        <v>169</v>
      </c>
      <c r="S1" s="8" t="s">
        <v>170</v>
      </c>
      <c r="T1" s="8" t="s">
        <v>171</v>
      </c>
      <c r="U1" s="53"/>
    </row>
    <row r="2" hidden="1">
      <c r="A2" s="23" t="s">
        <v>122</v>
      </c>
      <c r="B2" s="12" t="s">
        <v>123</v>
      </c>
      <c r="C2" s="54">
        <v>26.0</v>
      </c>
      <c r="D2" s="55" t="s">
        <v>172</v>
      </c>
      <c r="E2" s="56" t="s">
        <v>173</v>
      </c>
      <c r="F2" s="54" t="s">
        <v>174</v>
      </c>
      <c r="G2" s="57" t="str">
        <f t="shared" ref="G2:G841" si="1">IF(I2="", "", TEXT(DATEVALUE(LEFT(F2, 10)), "dd-mmm-yyyy"))</f>
        <v>19-Apr-2024</v>
      </c>
      <c r="H2" s="54" t="s">
        <v>175</v>
      </c>
      <c r="I2" s="54" t="s">
        <v>176</v>
      </c>
      <c r="J2" s="27" t="str">
        <f t="shared" ref="J2:J31" si="2">IF(I2="", "", TEXT(DATEVALUE(LEFT(I2, 10)), "dd-mmm-yyyy"))</f>
        <v>12-Jun-2025</v>
      </c>
      <c r="K2" s="54" t="s">
        <v>176</v>
      </c>
      <c r="L2" s="27" t="str">
        <f t="shared" ref="L2:L31" si="3">IF(K2="", "", TEXT(DATEVALUE(LEFT(K2, 10)), "dd-mmm-yyyy"))</f>
        <v>12-Jun-2025</v>
      </c>
      <c r="M2" s="23" t="s">
        <v>15</v>
      </c>
      <c r="N2" s="23" t="s">
        <v>177</v>
      </c>
      <c r="O2" s="24"/>
      <c r="P2" s="54">
        <v>1.0</v>
      </c>
      <c r="Q2" s="58" t="s">
        <v>178</v>
      </c>
      <c r="R2" s="27" t="str">
        <f>IFERROR(__xludf.DUMMYFUNCTION("IF(REGEXMATCH(N2, ""PRIORITY: Low""), ""Low"", IF(REGEXMATCH(N2, ""PRIORITY: Medium""), ""Medium"", IF(REGEXMATCH(N2, ""PRIORITY: High""), ""High"", """")))
"),"")</f>
        <v/>
      </c>
      <c r="S2" s="27" t="str">
        <f>IFERROR(__xludf.DUMMYFUNCTION("IF(REGEXMATCH(N2, ""SKILL: Low""), ""Low"", IF(REGEXMATCH(N2, ""SKILL: Medium""), ""Medium"", IF(REGEXMATCH(N2, ""SKILL: High""), ""High"", """")))"),"")</f>
        <v/>
      </c>
      <c r="T2" s="27" t="str">
        <f>IFERROR(__xludf.DUMMYFUNCTION("IF(REGEXMATCH(N2, ""STATUS: Dev Complete - Awaiting QA""), ""Dev Complete - Awaiting QA"", IF(REGEXMATCH(N2, ""STATUS: Follow-Up Required""), ""Follow-Up Required"", IF(REGEXMATCH(N2, ""STATUS: In Progress""), ""In Progress"", IF(REGEXMATCH(N2, ""STATUS: "&amp;"In QA""), ""In QA"", IF(REGEXMATCH(N2, ""STATUS: Needs Customer Feedback""), ""Needs Customer Feedback"", IF(REGEXMATCH(N2, ""STATUS: QA Passed - Awaiting Release""), ""QA Passed - Awaiting Release"", IF(REGEXMATCH(N2, ""STATUS: Release to Prod""), ""Rele"&amp;"ase to Prod"", """")))))))"),"")</f>
        <v/>
      </c>
    </row>
    <row r="3" hidden="1">
      <c r="A3" s="23" t="s">
        <v>122</v>
      </c>
      <c r="B3" s="12" t="s">
        <v>123</v>
      </c>
      <c r="C3" s="54">
        <v>25.0</v>
      </c>
      <c r="D3" s="55" t="s">
        <v>179</v>
      </c>
      <c r="E3" s="56" t="s">
        <v>173</v>
      </c>
      <c r="F3" s="54" t="s">
        <v>180</v>
      </c>
      <c r="G3" s="57" t="str">
        <f t="shared" si="1"/>
        <v>19-Apr-2024</v>
      </c>
      <c r="H3" s="54" t="s">
        <v>175</v>
      </c>
      <c r="I3" s="54" t="s">
        <v>181</v>
      </c>
      <c r="J3" s="27" t="str">
        <f t="shared" si="2"/>
        <v>12-Jun-2025</v>
      </c>
      <c r="K3" s="54" t="s">
        <v>181</v>
      </c>
      <c r="L3" s="27" t="str">
        <f t="shared" si="3"/>
        <v>12-Jun-2025</v>
      </c>
      <c r="M3" s="23" t="s">
        <v>15</v>
      </c>
      <c r="N3" s="23" t="s">
        <v>177</v>
      </c>
      <c r="O3" s="24"/>
      <c r="P3" s="54">
        <v>1.0</v>
      </c>
      <c r="Q3" s="58" t="s">
        <v>182</v>
      </c>
      <c r="R3" s="27" t="str">
        <f>IFERROR(__xludf.DUMMYFUNCTION("IF(REGEXMATCH(N3, ""PRIORITY: Low""), ""Low"", IF(REGEXMATCH(N3, ""PRIORITY: Medium""), ""Medium"", IF(REGEXMATCH(N3, ""PRIORITY: High""), ""High"", """")))
"),"")</f>
        <v/>
      </c>
      <c r="S3" s="27" t="str">
        <f>IFERROR(__xludf.DUMMYFUNCTION("IF(REGEXMATCH(N3, ""SKILL: Low""), ""Low"", IF(REGEXMATCH(N3, ""SKILL: Medium""), ""Medium"", IF(REGEXMATCH(N3, ""SKILL: High""), ""High"", """")))"),"")</f>
        <v/>
      </c>
      <c r="T3" s="27" t="str">
        <f>IFERROR(__xludf.DUMMYFUNCTION("IF(REGEXMATCH(N3, ""STATUS: Dev Complete - Awaiting QA""), ""Dev Complete - Awaiting QA"", IF(REGEXMATCH(N3, ""STATUS: Follow-Up Required""), ""Follow-Up Required"", IF(REGEXMATCH(N3, ""STATUS: In Progress""), ""In Progress"", IF(REGEXMATCH(N3, ""STATUS: "&amp;"In QA""), ""In QA"", IF(REGEXMATCH(N3, ""STATUS: Needs Customer Feedback""), ""Needs Customer Feedback"", IF(REGEXMATCH(N3, ""STATUS: QA Passed - Awaiting Release""), ""QA Passed - Awaiting Release"", IF(REGEXMATCH(N3, ""STATUS: Release to Prod""), ""Rele"&amp;"ase to Prod"", """")))))))"),"")</f>
        <v/>
      </c>
    </row>
    <row r="4" hidden="1">
      <c r="A4" s="23" t="s">
        <v>122</v>
      </c>
      <c r="B4" s="12" t="s">
        <v>123</v>
      </c>
      <c r="C4" s="54">
        <v>24.0</v>
      </c>
      <c r="D4" s="55" t="s">
        <v>183</v>
      </c>
      <c r="E4" s="56" t="s">
        <v>173</v>
      </c>
      <c r="F4" s="54" t="s">
        <v>184</v>
      </c>
      <c r="G4" s="57" t="str">
        <f t="shared" si="1"/>
        <v>19-Apr-2024</v>
      </c>
      <c r="H4" s="54" t="s">
        <v>175</v>
      </c>
      <c r="I4" s="54" t="s">
        <v>185</v>
      </c>
      <c r="J4" s="27" t="str">
        <f t="shared" si="2"/>
        <v>12-Jun-2025</v>
      </c>
      <c r="K4" s="54" t="s">
        <v>185</v>
      </c>
      <c r="L4" s="27" t="str">
        <f t="shared" si="3"/>
        <v>12-Jun-2025</v>
      </c>
      <c r="M4" s="23" t="s">
        <v>15</v>
      </c>
      <c r="N4" s="23" t="s">
        <v>177</v>
      </c>
      <c r="O4" s="24"/>
      <c r="P4" s="54">
        <v>1.0</v>
      </c>
      <c r="Q4" s="58" t="s">
        <v>186</v>
      </c>
      <c r="R4" s="27" t="str">
        <f>IFERROR(__xludf.DUMMYFUNCTION("IF(REGEXMATCH(N4, ""PRIORITY: Low""), ""Low"", IF(REGEXMATCH(N4, ""PRIORITY: Medium""), ""Medium"", IF(REGEXMATCH(N4, ""PRIORITY: High""), ""High"", """")))
"),"")</f>
        <v/>
      </c>
      <c r="S4" s="27" t="str">
        <f>IFERROR(__xludf.DUMMYFUNCTION("IF(REGEXMATCH(N4, ""SKILL: Low""), ""Low"", IF(REGEXMATCH(N4, ""SKILL: Medium""), ""Medium"", IF(REGEXMATCH(N4, ""SKILL: High""), ""High"", """")))"),"")</f>
        <v/>
      </c>
      <c r="T4" s="27" t="str">
        <f>IFERROR(__xludf.DUMMYFUNCTION("IF(REGEXMATCH(N4, ""STATUS: Dev Complete - Awaiting QA""), ""Dev Complete - Awaiting QA"", IF(REGEXMATCH(N4, ""STATUS: Follow-Up Required""), ""Follow-Up Required"", IF(REGEXMATCH(N4, ""STATUS: In Progress""), ""In Progress"", IF(REGEXMATCH(N4, ""STATUS: "&amp;"In QA""), ""In QA"", IF(REGEXMATCH(N4, ""STATUS: Needs Customer Feedback""), ""Needs Customer Feedback"", IF(REGEXMATCH(N4, ""STATUS: QA Passed - Awaiting Release""), ""QA Passed - Awaiting Release"", IF(REGEXMATCH(N4, ""STATUS: Release to Prod""), ""Rele"&amp;"ase to Prod"", """")))))))"),"")</f>
        <v/>
      </c>
    </row>
    <row r="5" hidden="1">
      <c r="A5" s="23" t="s">
        <v>122</v>
      </c>
      <c r="B5" s="12" t="s">
        <v>123</v>
      </c>
      <c r="C5" s="54">
        <v>15.0</v>
      </c>
      <c r="D5" s="55" t="s">
        <v>187</v>
      </c>
      <c r="E5" s="56" t="s">
        <v>173</v>
      </c>
      <c r="F5" s="54" t="s">
        <v>188</v>
      </c>
      <c r="G5" s="57" t="str">
        <f t="shared" si="1"/>
        <v>12-Feb-2024</v>
      </c>
      <c r="H5" s="54" t="s">
        <v>189</v>
      </c>
      <c r="I5" s="54" t="s">
        <v>190</v>
      </c>
      <c r="J5" s="27" t="str">
        <f t="shared" si="2"/>
        <v>12-Jun-2025</v>
      </c>
      <c r="K5" s="54" t="s">
        <v>190</v>
      </c>
      <c r="L5" s="27" t="str">
        <f t="shared" si="3"/>
        <v>12-Jun-2025</v>
      </c>
      <c r="M5" s="23" t="s">
        <v>15</v>
      </c>
      <c r="N5" s="23" t="s">
        <v>177</v>
      </c>
      <c r="O5" s="24"/>
      <c r="P5" s="54">
        <v>1.0</v>
      </c>
      <c r="Q5" s="58" t="s">
        <v>191</v>
      </c>
      <c r="R5" s="27" t="str">
        <f>IFERROR(__xludf.DUMMYFUNCTION("IF(REGEXMATCH(N5, ""PRIORITY: Low""), ""Low"", IF(REGEXMATCH(N5, ""PRIORITY: Medium""), ""Medium"", IF(REGEXMATCH(N5, ""PRIORITY: High""), ""High"", """")))
"),"")</f>
        <v/>
      </c>
      <c r="S5" s="27" t="str">
        <f>IFERROR(__xludf.DUMMYFUNCTION("IF(REGEXMATCH(N5, ""SKILL: Low""), ""Low"", IF(REGEXMATCH(N5, ""SKILL: Medium""), ""Medium"", IF(REGEXMATCH(N5, ""SKILL: High""), ""High"", """")))"),"")</f>
        <v/>
      </c>
      <c r="T5" s="27" t="str">
        <f>IFERROR(__xludf.DUMMYFUNCTION("IF(REGEXMATCH(N5, ""STATUS: Dev Complete - Awaiting QA""), ""Dev Complete - Awaiting QA"", IF(REGEXMATCH(N5, ""STATUS: Follow-Up Required""), ""Follow-Up Required"", IF(REGEXMATCH(N5, ""STATUS: In Progress""), ""In Progress"", IF(REGEXMATCH(N5, ""STATUS: "&amp;"In QA""), ""In QA"", IF(REGEXMATCH(N5, ""STATUS: Needs Customer Feedback""), ""Needs Customer Feedback"", IF(REGEXMATCH(N5, ""STATUS: QA Passed - Awaiting Release""), ""QA Passed - Awaiting Release"", IF(REGEXMATCH(N5, ""STATUS: Release to Prod""), ""Rele"&amp;"ase to Prod"", """")))))))"),"")</f>
        <v/>
      </c>
    </row>
    <row r="6" hidden="1">
      <c r="A6" s="23" t="s">
        <v>122</v>
      </c>
      <c r="B6" s="12" t="s">
        <v>123</v>
      </c>
      <c r="C6" s="54">
        <v>11.0</v>
      </c>
      <c r="D6" s="55" t="s">
        <v>192</v>
      </c>
      <c r="E6" s="56" t="s">
        <v>173</v>
      </c>
      <c r="F6" s="54" t="s">
        <v>193</v>
      </c>
      <c r="G6" s="57" t="str">
        <f t="shared" si="1"/>
        <v>31-Jan-2024</v>
      </c>
      <c r="H6" s="54" t="s">
        <v>189</v>
      </c>
      <c r="I6" s="54" t="s">
        <v>194</v>
      </c>
      <c r="J6" s="27" t="str">
        <f t="shared" si="2"/>
        <v>12-Feb-2024</v>
      </c>
      <c r="K6" s="54" t="s">
        <v>194</v>
      </c>
      <c r="L6" s="27" t="str">
        <f t="shared" si="3"/>
        <v>12-Feb-2024</v>
      </c>
      <c r="M6" s="23" t="s">
        <v>15</v>
      </c>
      <c r="N6" s="23" t="s">
        <v>177</v>
      </c>
      <c r="O6" s="24"/>
      <c r="P6" s="54">
        <v>1.0</v>
      </c>
      <c r="Q6" s="58" t="s">
        <v>195</v>
      </c>
      <c r="R6" s="27" t="str">
        <f>IFERROR(__xludf.DUMMYFUNCTION("IF(REGEXMATCH(N6, ""PRIORITY: Low""), ""Low"", IF(REGEXMATCH(N6, ""PRIORITY: Medium""), ""Medium"", IF(REGEXMATCH(N6, ""PRIORITY: High""), ""High"", """")))
"),"")</f>
        <v/>
      </c>
      <c r="S6" s="27" t="str">
        <f>IFERROR(__xludf.DUMMYFUNCTION("IF(REGEXMATCH(N6, ""SKILL: Low""), ""Low"", IF(REGEXMATCH(N6, ""SKILL: Medium""), ""Medium"", IF(REGEXMATCH(N6, ""SKILL: High""), ""High"", """")))"),"")</f>
        <v/>
      </c>
      <c r="T6" s="27" t="str">
        <f>IFERROR(__xludf.DUMMYFUNCTION("IF(REGEXMATCH(N6, ""STATUS: Dev Complete - Awaiting QA""), ""Dev Complete - Awaiting QA"", IF(REGEXMATCH(N6, ""STATUS: Follow-Up Required""), ""Follow-Up Required"", IF(REGEXMATCH(N6, ""STATUS: In Progress""), ""In Progress"", IF(REGEXMATCH(N6, ""STATUS: "&amp;"In QA""), ""In QA"", IF(REGEXMATCH(N6, ""STATUS: Needs Customer Feedback""), ""Needs Customer Feedback"", IF(REGEXMATCH(N6, ""STATUS: QA Passed - Awaiting Release""), ""QA Passed - Awaiting Release"", IF(REGEXMATCH(N6, ""STATUS: Release to Prod""), ""Rele"&amp;"ase to Prod"", """")))))))"),"")</f>
        <v/>
      </c>
    </row>
    <row r="7" hidden="1">
      <c r="A7" s="23" t="s">
        <v>122</v>
      </c>
      <c r="B7" s="12" t="s">
        <v>123</v>
      </c>
      <c r="C7" s="54">
        <v>8.0</v>
      </c>
      <c r="D7" s="55" t="s">
        <v>196</v>
      </c>
      <c r="E7" s="56" t="s">
        <v>173</v>
      </c>
      <c r="F7" s="54" t="s">
        <v>197</v>
      </c>
      <c r="G7" s="57" t="str">
        <f t="shared" si="1"/>
        <v>30-Jan-2024</v>
      </c>
      <c r="H7" s="54" t="s">
        <v>41</v>
      </c>
      <c r="I7" s="54" t="s">
        <v>198</v>
      </c>
      <c r="J7" s="27" t="str">
        <f t="shared" si="2"/>
        <v>12-Jun-2025</v>
      </c>
      <c r="K7" s="54" t="s">
        <v>198</v>
      </c>
      <c r="L7" s="27" t="str">
        <f t="shared" si="3"/>
        <v>12-Jun-2025</v>
      </c>
      <c r="M7" s="23" t="s">
        <v>15</v>
      </c>
      <c r="N7" s="23" t="s">
        <v>177</v>
      </c>
      <c r="O7" s="24"/>
      <c r="P7" s="54">
        <v>1.0</v>
      </c>
      <c r="Q7" s="58" t="s">
        <v>199</v>
      </c>
      <c r="R7" s="27" t="str">
        <f>IFERROR(__xludf.DUMMYFUNCTION("IF(REGEXMATCH(N7, ""PRIORITY: Low""), ""Low"", IF(REGEXMATCH(N7, ""PRIORITY: Medium""), ""Medium"", IF(REGEXMATCH(N7, ""PRIORITY: High""), ""High"", """")))
"),"")</f>
        <v/>
      </c>
      <c r="S7" s="27" t="str">
        <f>IFERROR(__xludf.DUMMYFUNCTION("IF(REGEXMATCH(N7, ""SKILL: Low""), ""Low"", IF(REGEXMATCH(N7, ""SKILL: Medium""), ""Medium"", IF(REGEXMATCH(N7, ""SKILL: High""), ""High"", """")))"),"")</f>
        <v/>
      </c>
      <c r="T7" s="27" t="str">
        <f>IFERROR(__xludf.DUMMYFUNCTION("IF(REGEXMATCH(N7, ""STATUS: Dev Complete - Awaiting QA""), ""Dev Complete - Awaiting QA"", IF(REGEXMATCH(N7, ""STATUS: Follow-Up Required""), ""Follow-Up Required"", IF(REGEXMATCH(N7, ""STATUS: In Progress""), ""In Progress"", IF(REGEXMATCH(N7, ""STATUS: "&amp;"In QA""), ""In QA"", IF(REGEXMATCH(N7, ""STATUS: Needs Customer Feedback""), ""Needs Customer Feedback"", IF(REGEXMATCH(N7, ""STATUS: QA Passed - Awaiting Release""), ""QA Passed - Awaiting Release"", IF(REGEXMATCH(N7, ""STATUS: Release to Prod""), ""Rele"&amp;"ase to Prod"", """")))))))"),"")</f>
        <v/>
      </c>
    </row>
    <row r="8" hidden="1">
      <c r="A8" s="23" t="s">
        <v>122</v>
      </c>
      <c r="B8" s="12" t="s">
        <v>123</v>
      </c>
      <c r="C8" s="54">
        <v>7.0</v>
      </c>
      <c r="D8" s="55" t="s">
        <v>200</v>
      </c>
      <c r="E8" s="56" t="s">
        <v>173</v>
      </c>
      <c r="F8" s="54" t="s">
        <v>201</v>
      </c>
      <c r="G8" s="57" t="str">
        <f t="shared" si="1"/>
        <v>30-Jan-2024</v>
      </c>
      <c r="H8" s="54" t="s">
        <v>41</v>
      </c>
      <c r="I8" s="54" t="s">
        <v>202</v>
      </c>
      <c r="J8" s="27" t="str">
        <f t="shared" si="2"/>
        <v>07-May-2024</v>
      </c>
      <c r="K8" s="54" t="s">
        <v>203</v>
      </c>
      <c r="L8" s="27" t="str">
        <f t="shared" si="3"/>
        <v>30-Jan-2024</v>
      </c>
      <c r="M8" s="23" t="s">
        <v>15</v>
      </c>
      <c r="N8" s="23" t="s">
        <v>177</v>
      </c>
      <c r="O8" s="24"/>
      <c r="P8" s="54">
        <v>0.0</v>
      </c>
      <c r="Q8" s="58" t="s">
        <v>204</v>
      </c>
      <c r="R8" s="27" t="str">
        <f>IFERROR(__xludf.DUMMYFUNCTION("IF(REGEXMATCH(N8, ""PRIORITY: Low""), ""Low"", IF(REGEXMATCH(N8, ""PRIORITY: Medium""), ""Medium"", IF(REGEXMATCH(N8, ""PRIORITY: High""), ""High"", """")))
"),"")</f>
        <v/>
      </c>
      <c r="S8" s="27" t="str">
        <f>IFERROR(__xludf.DUMMYFUNCTION("IF(REGEXMATCH(N8, ""SKILL: Low""), ""Low"", IF(REGEXMATCH(N8, ""SKILL: Medium""), ""Medium"", IF(REGEXMATCH(N8, ""SKILL: High""), ""High"", """")))"),"")</f>
        <v/>
      </c>
      <c r="T8" s="27" t="str">
        <f>IFERROR(__xludf.DUMMYFUNCTION("IF(REGEXMATCH(N8, ""STATUS: Dev Complete - Awaiting QA""), ""Dev Complete - Awaiting QA"", IF(REGEXMATCH(N8, ""STATUS: Follow-Up Required""), ""Follow-Up Required"", IF(REGEXMATCH(N8, ""STATUS: In Progress""), ""In Progress"", IF(REGEXMATCH(N8, ""STATUS: "&amp;"In QA""), ""In QA"", IF(REGEXMATCH(N8, ""STATUS: Needs Customer Feedback""), ""Needs Customer Feedback"", IF(REGEXMATCH(N8, ""STATUS: QA Passed - Awaiting Release""), ""QA Passed - Awaiting Release"", IF(REGEXMATCH(N8, ""STATUS: Release to Prod""), ""Rele"&amp;"ase to Prod"", """")))))))"),"")</f>
        <v/>
      </c>
    </row>
    <row r="9" hidden="1">
      <c r="A9" s="23" t="s">
        <v>122</v>
      </c>
      <c r="B9" s="12" t="s">
        <v>123</v>
      </c>
      <c r="C9" s="54">
        <v>5.0</v>
      </c>
      <c r="D9" s="55" t="s">
        <v>205</v>
      </c>
      <c r="E9" s="56" t="s">
        <v>173</v>
      </c>
      <c r="F9" s="54" t="s">
        <v>206</v>
      </c>
      <c r="G9" s="57" t="str">
        <f t="shared" si="1"/>
        <v>23-Jan-2024</v>
      </c>
      <c r="H9" s="54" t="s">
        <v>136</v>
      </c>
      <c r="I9" s="54" t="s">
        <v>207</v>
      </c>
      <c r="J9" s="27" t="str">
        <f t="shared" si="2"/>
        <v>12-Jun-2025</v>
      </c>
      <c r="K9" s="54" t="s">
        <v>207</v>
      </c>
      <c r="L9" s="27" t="str">
        <f t="shared" si="3"/>
        <v>12-Jun-2025</v>
      </c>
      <c r="M9" s="23" t="s">
        <v>15</v>
      </c>
      <c r="N9" s="23" t="s">
        <v>177</v>
      </c>
      <c r="O9" s="24"/>
      <c r="P9" s="54">
        <v>1.0</v>
      </c>
      <c r="Q9" s="58" t="s">
        <v>208</v>
      </c>
      <c r="R9" s="27" t="str">
        <f>IFERROR(__xludf.DUMMYFUNCTION("IF(REGEXMATCH(N9, ""PRIORITY: Low""), ""Low"", IF(REGEXMATCH(N9, ""PRIORITY: Medium""), ""Medium"", IF(REGEXMATCH(N9, ""PRIORITY: High""), ""High"", """")))
"),"")</f>
        <v/>
      </c>
      <c r="S9" s="27" t="str">
        <f>IFERROR(__xludf.DUMMYFUNCTION("IF(REGEXMATCH(N9, ""SKILL: Low""), ""Low"", IF(REGEXMATCH(N9, ""SKILL: Medium""), ""Medium"", IF(REGEXMATCH(N9, ""SKILL: High""), ""High"", """")))"),"")</f>
        <v/>
      </c>
      <c r="T9" s="27" t="str">
        <f>IFERROR(__xludf.DUMMYFUNCTION("IF(REGEXMATCH(N9, ""STATUS: Dev Complete - Awaiting QA""), ""Dev Complete - Awaiting QA"", IF(REGEXMATCH(N9, ""STATUS: Follow-Up Required""), ""Follow-Up Required"", IF(REGEXMATCH(N9, ""STATUS: In Progress""), ""In Progress"", IF(REGEXMATCH(N9, ""STATUS: "&amp;"In QA""), ""In QA"", IF(REGEXMATCH(N9, ""STATUS: Needs Customer Feedback""), ""Needs Customer Feedback"", IF(REGEXMATCH(N9, ""STATUS: QA Passed - Awaiting Release""), ""QA Passed - Awaiting Release"", IF(REGEXMATCH(N9, ""STATUS: Release to Prod""), ""Rele"&amp;"ase to Prod"", """")))))))"),"")</f>
        <v/>
      </c>
    </row>
    <row r="10" hidden="1">
      <c r="A10" s="23" t="s">
        <v>122</v>
      </c>
      <c r="B10" s="12" t="s">
        <v>123</v>
      </c>
      <c r="C10" s="54">
        <v>4.0</v>
      </c>
      <c r="D10" s="55" t="s">
        <v>209</v>
      </c>
      <c r="E10" s="56" t="s">
        <v>173</v>
      </c>
      <c r="F10" s="54" t="s">
        <v>210</v>
      </c>
      <c r="G10" s="57" t="str">
        <f t="shared" si="1"/>
        <v>23-Jan-2024</v>
      </c>
      <c r="H10" s="54" t="s">
        <v>136</v>
      </c>
      <c r="I10" s="54" t="s">
        <v>211</v>
      </c>
      <c r="J10" s="27" t="str">
        <f t="shared" si="2"/>
        <v>12-Jun-2025</v>
      </c>
      <c r="K10" s="54" t="s">
        <v>211</v>
      </c>
      <c r="L10" s="27" t="str">
        <f t="shared" si="3"/>
        <v>12-Jun-2025</v>
      </c>
      <c r="M10" s="23" t="s">
        <v>15</v>
      </c>
      <c r="N10" s="23" t="s">
        <v>177</v>
      </c>
      <c r="O10" s="24"/>
      <c r="P10" s="54">
        <v>1.0</v>
      </c>
      <c r="Q10" s="58" t="s">
        <v>212</v>
      </c>
      <c r="R10" s="27" t="str">
        <f>IFERROR(__xludf.DUMMYFUNCTION("IF(REGEXMATCH(N10, ""PRIORITY: Low""), ""Low"", IF(REGEXMATCH(N10, ""PRIORITY: Medium""), ""Medium"", IF(REGEXMATCH(N10, ""PRIORITY: High""), ""High"", """")))
"),"")</f>
        <v/>
      </c>
      <c r="S10" s="27" t="str">
        <f>IFERROR(__xludf.DUMMYFUNCTION("IF(REGEXMATCH(N10, ""SKILL: Low""), ""Low"", IF(REGEXMATCH(N10, ""SKILL: Medium""), ""Medium"", IF(REGEXMATCH(N10, ""SKILL: High""), ""High"", """")))"),"")</f>
        <v/>
      </c>
      <c r="T10" s="27" t="str">
        <f>IFERROR(__xludf.DUMMYFUNCTION("IF(REGEXMATCH(N10, ""STATUS: Dev Complete - Awaiting QA""), ""Dev Complete - Awaiting QA"", IF(REGEXMATCH(N10, ""STATUS: Follow-Up Required""), ""Follow-Up Required"", IF(REGEXMATCH(N10, ""STATUS: In Progress""), ""In Progress"", IF(REGEXMATCH(N10, ""STAT"&amp;"US: In QA""), ""In QA"", IF(REGEXMATCH(N10, ""STATUS: Needs Customer Feedback""), ""Needs Customer Feedback"", IF(REGEXMATCH(N10, ""STATUS: QA Passed - Awaiting Release""), ""QA Passed - Awaiting Release"", IF(REGEXMATCH(N10, ""STATUS: Release to Prod""),"&amp;" ""Release to Prod"", """")))))))"),"")</f>
        <v/>
      </c>
    </row>
    <row r="11" hidden="1">
      <c r="A11" s="23" t="s">
        <v>122</v>
      </c>
      <c r="B11" s="12" t="s">
        <v>123</v>
      </c>
      <c r="C11" s="54">
        <v>3.0</v>
      </c>
      <c r="D11" s="55" t="s">
        <v>213</v>
      </c>
      <c r="E11" s="56" t="s">
        <v>173</v>
      </c>
      <c r="F11" s="54" t="s">
        <v>214</v>
      </c>
      <c r="G11" s="57" t="str">
        <f t="shared" si="1"/>
        <v>22-Jan-2024</v>
      </c>
      <c r="H11" s="54" t="s">
        <v>189</v>
      </c>
      <c r="I11" s="54" t="s">
        <v>215</v>
      </c>
      <c r="J11" s="27" t="str">
        <f t="shared" si="2"/>
        <v>12-Jun-2025</v>
      </c>
      <c r="K11" s="54" t="s">
        <v>215</v>
      </c>
      <c r="L11" s="27" t="str">
        <f t="shared" si="3"/>
        <v>12-Jun-2025</v>
      </c>
      <c r="M11" s="23" t="s">
        <v>15</v>
      </c>
      <c r="N11" s="23" t="s">
        <v>177</v>
      </c>
      <c r="O11" s="24"/>
      <c r="P11" s="54">
        <v>3.0</v>
      </c>
      <c r="Q11" s="58" t="s">
        <v>216</v>
      </c>
      <c r="R11" s="27" t="str">
        <f>IFERROR(__xludf.DUMMYFUNCTION("IF(REGEXMATCH(N11, ""PRIORITY: Low""), ""Low"", IF(REGEXMATCH(N11, ""PRIORITY: Medium""), ""Medium"", IF(REGEXMATCH(N11, ""PRIORITY: High""), ""High"", """")))
"),"")</f>
        <v/>
      </c>
      <c r="S11" s="27" t="str">
        <f>IFERROR(__xludf.DUMMYFUNCTION("IF(REGEXMATCH(N11, ""SKILL: Low""), ""Low"", IF(REGEXMATCH(N11, ""SKILL: Medium""), ""Medium"", IF(REGEXMATCH(N11, ""SKILL: High""), ""High"", """")))"),"")</f>
        <v/>
      </c>
      <c r="T11" s="27" t="str">
        <f>IFERROR(__xludf.DUMMYFUNCTION("IF(REGEXMATCH(N11, ""STATUS: Dev Complete - Awaiting QA""), ""Dev Complete - Awaiting QA"", IF(REGEXMATCH(N11, ""STATUS: Follow-Up Required""), ""Follow-Up Required"", IF(REGEXMATCH(N11, ""STATUS: In Progress""), ""In Progress"", IF(REGEXMATCH(N11, ""STAT"&amp;"US: In QA""), ""In QA"", IF(REGEXMATCH(N11, ""STATUS: Needs Customer Feedback""), ""Needs Customer Feedback"", IF(REGEXMATCH(N11, ""STATUS: QA Passed - Awaiting Release""), ""QA Passed - Awaiting Release"", IF(REGEXMATCH(N11, ""STATUS: Release to Prod""),"&amp;" ""Release to Prod"", """")))))))"),"")</f>
        <v/>
      </c>
    </row>
    <row r="12" hidden="1">
      <c r="A12" s="23" t="s">
        <v>122</v>
      </c>
      <c r="B12" s="12" t="s">
        <v>123</v>
      </c>
      <c r="C12" s="54">
        <v>2.0</v>
      </c>
      <c r="D12" s="55" t="s">
        <v>217</v>
      </c>
      <c r="E12" s="56" t="s">
        <v>173</v>
      </c>
      <c r="F12" s="54" t="s">
        <v>218</v>
      </c>
      <c r="G12" s="57" t="str">
        <f t="shared" si="1"/>
        <v>19-Jan-2024</v>
      </c>
      <c r="H12" s="54" t="s">
        <v>189</v>
      </c>
      <c r="I12" s="54" t="s">
        <v>219</v>
      </c>
      <c r="J12" s="27" t="str">
        <f t="shared" si="2"/>
        <v>19-Jan-2024</v>
      </c>
      <c r="K12" s="54" t="s">
        <v>219</v>
      </c>
      <c r="L12" s="27" t="str">
        <f t="shared" si="3"/>
        <v>19-Jan-2024</v>
      </c>
      <c r="M12" s="23" t="s">
        <v>15</v>
      </c>
      <c r="N12" s="23" t="s">
        <v>177</v>
      </c>
      <c r="O12" s="24"/>
      <c r="P12" s="54">
        <v>0.0</v>
      </c>
      <c r="Q12" s="58" t="s">
        <v>220</v>
      </c>
      <c r="R12" s="27" t="str">
        <f>IFERROR(__xludf.DUMMYFUNCTION("IF(REGEXMATCH(N12, ""PRIORITY: Low""), ""Low"", IF(REGEXMATCH(N12, ""PRIORITY: Medium""), ""Medium"", IF(REGEXMATCH(N12, ""PRIORITY: High""), ""High"", """")))
"),"")</f>
        <v/>
      </c>
      <c r="S12" s="27" t="str">
        <f>IFERROR(__xludf.DUMMYFUNCTION("IF(REGEXMATCH(N12, ""SKILL: Low""), ""Low"", IF(REGEXMATCH(N12, ""SKILL: Medium""), ""Medium"", IF(REGEXMATCH(N12, ""SKILL: High""), ""High"", """")))"),"")</f>
        <v/>
      </c>
      <c r="T12" s="27" t="str">
        <f>IFERROR(__xludf.DUMMYFUNCTION("IF(REGEXMATCH(N12, ""STATUS: Dev Complete - Awaiting QA""), ""Dev Complete - Awaiting QA"", IF(REGEXMATCH(N12, ""STATUS: Follow-Up Required""), ""Follow-Up Required"", IF(REGEXMATCH(N12, ""STATUS: In Progress""), ""In Progress"", IF(REGEXMATCH(N12, ""STAT"&amp;"US: In QA""), ""In QA"", IF(REGEXMATCH(N12, ""STATUS: Needs Customer Feedback""), ""Needs Customer Feedback"", IF(REGEXMATCH(N12, ""STATUS: QA Passed - Awaiting Release""), ""QA Passed - Awaiting Release"", IF(REGEXMATCH(N12, ""STATUS: Release to Prod""),"&amp;" ""Release to Prod"", """")))))))"),"")</f>
        <v/>
      </c>
    </row>
    <row r="13" hidden="1">
      <c r="A13" s="23" t="s">
        <v>122</v>
      </c>
      <c r="B13" s="12" t="s">
        <v>123</v>
      </c>
      <c r="C13" s="54">
        <v>1.0</v>
      </c>
      <c r="D13" s="55" t="s">
        <v>221</v>
      </c>
      <c r="E13" s="56" t="s">
        <v>173</v>
      </c>
      <c r="F13" s="54" t="s">
        <v>222</v>
      </c>
      <c r="G13" s="57" t="str">
        <f t="shared" si="1"/>
        <v>17-Jan-2024</v>
      </c>
      <c r="H13" s="54" t="s">
        <v>136</v>
      </c>
      <c r="I13" s="54" t="s">
        <v>223</v>
      </c>
      <c r="J13" s="27" t="str">
        <f t="shared" si="2"/>
        <v>30-Jan-2024</v>
      </c>
      <c r="K13" s="54" t="s">
        <v>224</v>
      </c>
      <c r="L13" s="27" t="str">
        <f t="shared" si="3"/>
        <v>30-Jan-2024</v>
      </c>
      <c r="M13" s="23" t="s">
        <v>15</v>
      </c>
      <c r="N13" s="23" t="s">
        <v>177</v>
      </c>
      <c r="O13" s="24"/>
      <c r="P13" s="54">
        <v>0.0</v>
      </c>
      <c r="Q13" s="58" t="s">
        <v>225</v>
      </c>
      <c r="R13" s="27" t="str">
        <f>IFERROR(__xludf.DUMMYFUNCTION("IF(REGEXMATCH(N13, ""PRIORITY: Low""), ""Low"", IF(REGEXMATCH(N13, ""PRIORITY: Medium""), ""Medium"", IF(REGEXMATCH(N13, ""PRIORITY: High""), ""High"", """")))
"),"")</f>
        <v/>
      </c>
      <c r="S13" s="27" t="str">
        <f>IFERROR(__xludf.DUMMYFUNCTION("IF(REGEXMATCH(N13, ""SKILL: Low""), ""Low"", IF(REGEXMATCH(N13, ""SKILL: Medium""), ""Medium"", IF(REGEXMATCH(N13, ""SKILL: High""), ""High"", """")))"),"")</f>
        <v/>
      </c>
      <c r="T13" s="27" t="str">
        <f>IFERROR(__xludf.DUMMYFUNCTION("IF(REGEXMATCH(N13, ""STATUS: Dev Complete - Awaiting QA""), ""Dev Complete - Awaiting QA"", IF(REGEXMATCH(N13, ""STATUS: Follow-Up Required""), ""Follow-Up Required"", IF(REGEXMATCH(N13, ""STATUS: In Progress""), ""In Progress"", IF(REGEXMATCH(N13, ""STAT"&amp;"US: In QA""), ""In QA"", IF(REGEXMATCH(N13, ""STATUS: Needs Customer Feedback""), ""Needs Customer Feedback"", IF(REGEXMATCH(N13, ""STATUS: QA Passed - Awaiting Release""), ""QA Passed - Awaiting Release"", IF(REGEXMATCH(N13, ""STATUS: Release to Prod""),"&amp;" ""Release to Prod"", """")))))))"),"")</f>
        <v/>
      </c>
    </row>
    <row r="14" hidden="1">
      <c r="A14" s="23" t="s">
        <v>61</v>
      </c>
      <c r="B14" s="12" t="s">
        <v>62</v>
      </c>
      <c r="C14" s="54">
        <v>58.0</v>
      </c>
      <c r="D14" s="55" t="s">
        <v>226</v>
      </c>
      <c r="E14" s="56" t="s">
        <v>173</v>
      </c>
      <c r="F14" s="54" t="s">
        <v>227</v>
      </c>
      <c r="G14" s="57" t="str">
        <f t="shared" si="1"/>
        <v>08-Apr-2025</v>
      </c>
      <c r="H14" s="54" t="s">
        <v>57</v>
      </c>
      <c r="I14" s="54" t="s">
        <v>228</v>
      </c>
      <c r="J14" s="27" t="str">
        <f t="shared" si="2"/>
        <v>11-Jul-2025</v>
      </c>
      <c r="K14" s="54" t="s">
        <v>229</v>
      </c>
      <c r="L14" s="27" t="str">
        <f t="shared" si="3"/>
        <v>08-Apr-2025</v>
      </c>
      <c r="M14" s="23" t="s">
        <v>15</v>
      </c>
      <c r="N14" s="23" t="s">
        <v>177</v>
      </c>
      <c r="O14" s="24"/>
      <c r="P14" s="54">
        <v>0.0</v>
      </c>
      <c r="Q14" s="58" t="s">
        <v>230</v>
      </c>
      <c r="R14" s="27" t="str">
        <f>IFERROR(__xludf.DUMMYFUNCTION("IF(REGEXMATCH(N14, ""PRIORITY: Low""), ""Low"", IF(REGEXMATCH(N14, ""PRIORITY: Medium""), ""Medium"", IF(REGEXMATCH(N14, ""PRIORITY: High""), ""High"", """")))
"),"")</f>
        <v/>
      </c>
      <c r="S14" s="27" t="str">
        <f>IFERROR(__xludf.DUMMYFUNCTION("IF(REGEXMATCH(N14, ""SKILL: Low""), ""Low"", IF(REGEXMATCH(N14, ""SKILL: Medium""), ""Medium"", IF(REGEXMATCH(N14, ""SKILL: High""), ""High"", """")))"),"")</f>
        <v/>
      </c>
      <c r="T14" s="27" t="str">
        <f>IFERROR(__xludf.DUMMYFUNCTION("IF(REGEXMATCH(N14, ""STATUS: Dev Complete - Awaiting QA""), ""Dev Complete - Awaiting QA"", IF(REGEXMATCH(N14, ""STATUS: Follow-Up Required""), ""Follow-Up Required"", IF(REGEXMATCH(N14, ""STATUS: In Progress""), ""In Progress"", IF(REGEXMATCH(N14, ""STAT"&amp;"US: In QA""), ""In QA"", IF(REGEXMATCH(N14, ""STATUS: Needs Customer Feedback""), ""Needs Customer Feedback"", IF(REGEXMATCH(N14, ""STATUS: QA Passed - Awaiting Release""), ""QA Passed - Awaiting Release"", IF(REGEXMATCH(N14, ""STATUS: Release to Prod""),"&amp;" ""Release to Prod"", """")))))))"),"")</f>
        <v/>
      </c>
    </row>
    <row r="15" hidden="1">
      <c r="A15" s="23" t="s">
        <v>61</v>
      </c>
      <c r="B15" s="12" t="s">
        <v>62</v>
      </c>
      <c r="C15" s="54">
        <v>55.0</v>
      </c>
      <c r="D15" s="55" t="s">
        <v>231</v>
      </c>
      <c r="E15" s="56" t="s">
        <v>173</v>
      </c>
      <c r="F15" s="54" t="s">
        <v>232</v>
      </c>
      <c r="G15" s="57" t="str">
        <f t="shared" si="1"/>
        <v>26-Feb-2025</v>
      </c>
      <c r="H15" s="54" t="s">
        <v>37</v>
      </c>
      <c r="I15" s="54" t="s">
        <v>233</v>
      </c>
      <c r="J15" s="27" t="str">
        <f t="shared" si="2"/>
        <v>11-Jul-2025</v>
      </c>
      <c r="K15" s="54" t="s">
        <v>234</v>
      </c>
      <c r="L15" s="27" t="str">
        <f t="shared" si="3"/>
        <v>12-Jun-2025</v>
      </c>
      <c r="M15" s="23" t="s">
        <v>15</v>
      </c>
      <c r="N15" s="23" t="s">
        <v>177</v>
      </c>
      <c r="O15" s="24"/>
      <c r="P15" s="54">
        <v>1.0</v>
      </c>
      <c r="Q15" s="58" t="s">
        <v>235</v>
      </c>
      <c r="R15" s="27" t="str">
        <f>IFERROR(__xludf.DUMMYFUNCTION("IF(REGEXMATCH(N15, ""PRIORITY: Low""), ""Low"", IF(REGEXMATCH(N15, ""PRIORITY: Medium""), ""Medium"", IF(REGEXMATCH(N15, ""PRIORITY: High""), ""High"", """")))
"),"")</f>
        <v/>
      </c>
      <c r="S15" s="27" t="str">
        <f>IFERROR(__xludf.DUMMYFUNCTION("IF(REGEXMATCH(N15, ""SKILL: Low""), ""Low"", IF(REGEXMATCH(N15, ""SKILL: Medium""), ""Medium"", IF(REGEXMATCH(N15, ""SKILL: High""), ""High"", """")))"),"")</f>
        <v/>
      </c>
      <c r="T15" s="27" t="str">
        <f>IFERROR(__xludf.DUMMYFUNCTION("IF(REGEXMATCH(N15, ""STATUS: Dev Complete - Awaiting QA""), ""Dev Complete - Awaiting QA"", IF(REGEXMATCH(N15, ""STATUS: Follow-Up Required""), ""Follow-Up Required"", IF(REGEXMATCH(N15, ""STATUS: In Progress""), ""In Progress"", IF(REGEXMATCH(N15, ""STAT"&amp;"US: In QA""), ""In QA"", IF(REGEXMATCH(N15, ""STATUS: Needs Customer Feedback""), ""Needs Customer Feedback"", IF(REGEXMATCH(N15, ""STATUS: QA Passed - Awaiting Release""), ""QA Passed - Awaiting Release"", IF(REGEXMATCH(N15, ""STATUS: Release to Prod""),"&amp;" ""Release to Prod"", """")))))))"),"")</f>
        <v/>
      </c>
    </row>
    <row r="16" hidden="1">
      <c r="A16" s="23" t="s">
        <v>61</v>
      </c>
      <c r="B16" s="12" t="s">
        <v>62</v>
      </c>
      <c r="C16" s="54">
        <v>54.0</v>
      </c>
      <c r="D16" s="55" t="s">
        <v>236</v>
      </c>
      <c r="E16" s="56" t="s">
        <v>173</v>
      </c>
      <c r="F16" s="54" t="s">
        <v>237</v>
      </c>
      <c r="G16" s="57" t="str">
        <f t="shared" si="1"/>
        <v>26-Feb-2025</v>
      </c>
      <c r="H16" s="54" t="s">
        <v>37</v>
      </c>
      <c r="I16" s="54" t="s">
        <v>238</v>
      </c>
      <c r="J16" s="27" t="str">
        <f t="shared" si="2"/>
        <v>11-Jul-2025</v>
      </c>
      <c r="K16" s="54" t="s">
        <v>239</v>
      </c>
      <c r="L16" s="27" t="str">
        <f t="shared" si="3"/>
        <v>12-Jun-2025</v>
      </c>
      <c r="M16" s="23" t="s">
        <v>15</v>
      </c>
      <c r="N16" s="23" t="s">
        <v>177</v>
      </c>
      <c r="O16" s="24"/>
      <c r="P16" s="54">
        <v>1.0</v>
      </c>
      <c r="Q16" s="58" t="s">
        <v>240</v>
      </c>
      <c r="R16" s="27" t="str">
        <f>IFERROR(__xludf.DUMMYFUNCTION("IF(REGEXMATCH(N16, ""PRIORITY: Low""), ""Low"", IF(REGEXMATCH(N16, ""PRIORITY: Medium""), ""Medium"", IF(REGEXMATCH(N16, ""PRIORITY: High""), ""High"", """")))
"),"")</f>
        <v/>
      </c>
      <c r="S16" s="27" t="str">
        <f>IFERROR(__xludf.DUMMYFUNCTION("IF(REGEXMATCH(N16, ""SKILL: Low""), ""Low"", IF(REGEXMATCH(N16, ""SKILL: Medium""), ""Medium"", IF(REGEXMATCH(N16, ""SKILL: High""), ""High"", """")))"),"")</f>
        <v/>
      </c>
      <c r="T16" s="27" t="str">
        <f>IFERROR(__xludf.DUMMYFUNCTION("IF(REGEXMATCH(N16, ""STATUS: Dev Complete - Awaiting QA""), ""Dev Complete - Awaiting QA"", IF(REGEXMATCH(N16, ""STATUS: Follow-Up Required""), ""Follow-Up Required"", IF(REGEXMATCH(N16, ""STATUS: In Progress""), ""In Progress"", IF(REGEXMATCH(N16, ""STAT"&amp;"US: In QA""), ""In QA"", IF(REGEXMATCH(N16, ""STATUS: Needs Customer Feedback""), ""Needs Customer Feedback"", IF(REGEXMATCH(N16, ""STATUS: QA Passed - Awaiting Release""), ""QA Passed - Awaiting Release"", IF(REGEXMATCH(N16, ""STATUS: Release to Prod""),"&amp;" ""Release to Prod"", """")))))))"),"")</f>
        <v/>
      </c>
    </row>
    <row r="17" hidden="1">
      <c r="A17" s="23" t="s">
        <v>61</v>
      </c>
      <c r="B17" s="12" t="s">
        <v>62</v>
      </c>
      <c r="C17" s="54">
        <v>53.0</v>
      </c>
      <c r="D17" s="55" t="s">
        <v>241</v>
      </c>
      <c r="E17" s="56" t="s">
        <v>173</v>
      </c>
      <c r="F17" s="54" t="s">
        <v>242</v>
      </c>
      <c r="G17" s="57" t="str">
        <f t="shared" si="1"/>
        <v>26-Feb-2025</v>
      </c>
      <c r="H17" s="54" t="s">
        <v>37</v>
      </c>
      <c r="I17" s="54" t="s">
        <v>238</v>
      </c>
      <c r="J17" s="27" t="str">
        <f t="shared" si="2"/>
        <v>11-Jul-2025</v>
      </c>
      <c r="K17" s="54" t="s">
        <v>243</v>
      </c>
      <c r="L17" s="27" t="str">
        <f t="shared" si="3"/>
        <v>12-Jun-2025</v>
      </c>
      <c r="M17" s="23" t="s">
        <v>15</v>
      </c>
      <c r="N17" s="23" t="s">
        <v>177</v>
      </c>
      <c r="O17" s="24"/>
      <c r="P17" s="54">
        <v>1.0</v>
      </c>
      <c r="Q17" s="58" t="s">
        <v>244</v>
      </c>
      <c r="R17" s="27" t="str">
        <f>IFERROR(__xludf.DUMMYFUNCTION("IF(REGEXMATCH(N17, ""PRIORITY: Low""), ""Low"", IF(REGEXMATCH(N17, ""PRIORITY: Medium""), ""Medium"", IF(REGEXMATCH(N17, ""PRIORITY: High""), ""High"", """")))
"),"")</f>
        <v/>
      </c>
      <c r="S17" s="27" t="str">
        <f>IFERROR(__xludf.DUMMYFUNCTION("IF(REGEXMATCH(N17, ""SKILL: Low""), ""Low"", IF(REGEXMATCH(N17, ""SKILL: Medium""), ""Medium"", IF(REGEXMATCH(N17, ""SKILL: High""), ""High"", """")))"),"")</f>
        <v/>
      </c>
      <c r="T17" s="27" t="str">
        <f>IFERROR(__xludf.DUMMYFUNCTION("IF(REGEXMATCH(N17, ""STATUS: Dev Complete - Awaiting QA""), ""Dev Complete - Awaiting QA"", IF(REGEXMATCH(N17, ""STATUS: Follow-Up Required""), ""Follow-Up Required"", IF(REGEXMATCH(N17, ""STATUS: In Progress""), ""In Progress"", IF(REGEXMATCH(N17, ""STAT"&amp;"US: In QA""), ""In QA"", IF(REGEXMATCH(N17, ""STATUS: Needs Customer Feedback""), ""Needs Customer Feedback"", IF(REGEXMATCH(N17, ""STATUS: QA Passed - Awaiting Release""), ""QA Passed - Awaiting Release"", IF(REGEXMATCH(N17, ""STATUS: Release to Prod""),"&amp;" ""Release to Prod"", """")))))))"),"")</f>
        <v/>
      </c>
    </row>
    <row r="18">
      <c r="A18" s="23" t="s">
        <v>61</v>
      </c>
      <c r="B18" s="12" t="s">
        <v>62</v>
      </c>
      <c r="C18" s="54">
        <v>52.0</v>
      </c>
      <c r="D18" s="55" t="s">
        <v>245</v>
      </c>
      <c r="E18" s="56" t="s">
        <v>246</v>
      </c>
      <c r="F18" s="54" t="s">
        <v>247</v>
      </c>
      <c r="G18" s="57" t="str">
        <f t="shared" si="1"/>
        <v>26-Feb-2025</v>
      </c>
      <c r="H18" s="54" t="s">
        <v>37</v>
      </c>
      <c r="I18" s="54" t="s">
        <v>248</v>
      </c>
      <c r="J18" s="27" t="str">
        <f t="shared" si="2"/>
        <v>03-Dec-2025</v>
      </c>
      <c r="K18" s="59"/>
      <c r="L18" s="27" t="str">
        <f t="shared" si="3"/>
        <v/>
      </c>
      <c r="M18" s="23" t="s">
        <v>249</v>
      </c>
      <c r="N18" s="23" t="s">
        <v>250</v>
      </c>
      <c r="O18" s="60" t="s">
        <v>37</v>
      </c>
      <c r="P18" s="54">
        <v>0.0</v>
      </c>
      <c r="Q18" s="58" t="s">
        <v>251</v>
      </c>
      <c r="R18" s="27" t="str">
        <f>IFERROR(__xludf.DUMMYFUNCTION("IF(REGEXMATCH(N18, ""PRIORITY: Low""), ""Low"", IF(REGEXMATCH(N18, ""PRIORITY: Medium""), ""Medium"", IF(REGEXMATCH(N18, ""PRIORITY: High""), ""High"", """")))
"),"Low")</f>
        <v>Low</v>
      </c>
      <c r="S18" s="27" t="str">
        <f>IFERROR(__xludf.DUMMYFUNCTION("IF(REGEXMATCH(N18, ""SKILL: Low""), ""Low"", IF(REGEXMATCH(N18, ""SKILL: Medium""), ""Medium"", IF(REGEXMATCH(N18, ""SKILL: High""), ""High"", """")))"),"Low")</f>
        <v>Low</v>
      </c>
      <c r="T18" s="27" t="str">
        <f>IFERROR(__xludf.DUMMYFUNCTION("IF(REGEXMATCH(N18, ""STATUS: Dev Complete - Awaiting QA""), ""Dev Complete - Awaiting QA"", IF(REGEXMATCH(N18, ""STATUS: Follow-Up Required""), ""Follow-Up Required"", IF(REGEXMATCH(N18, ""STATUS: In Progress""), ""In Progress"", IF(REGEXMATCH(N18, ""STAT"&amp;"US: In QA""), ""In QA"", IF(REGEXMATCH(N18, ""STATUS: Needs Customer Feedback""), ""Needs Customer Feedback"", IF(REGEXMATCH(N18, ""STATUS: QA Passed - Awaiting Release""), ""QA Passed - Awaiting Release"", IF(REGEXMATCH(N18, ""STATUS: Release to Prod""),"&amp;" ""Release to Prod"", """")))))))"),"In Progress")</f>
        <v>In Progress</v>
      </c>
    </row>
    <row r="19" hidden="1">
      <c r="A19" s="23" t="s">
        <v>61</v>
      </c>
      <c r="B19" s="12" t="s">
        <v>62</v>
      </c>
      <c r="C19" s="54">
        <v>38.0</v>
      </c>
      <c r="D19" s="55" t="s">
        <v>252</v>
      </c>
      <c r="E19" s="56" t="s">
        <v>173</v>
      </c>
      <c r="F19" s="54" t="s">
        <v>253</v>
      </c>
      <c r="G19" s="57" t="str">
        <f t="shared" si="1"/>
        <v>21-Jan-2025</v>
      </c>
      <c r="H19" s="54" t="s">
        <v>254</v>
      </c>
      <c r="I19" s="54" t="s">
        <v>255</v>
      </c>
      <c r="J19" s="27" t="str">
        <f t="shared" si="2"/>
        <v>11-Jul-2025</v>
      </c>
      <c r="K19" s="54" t="s">
        <v>256</v>
      </c>
      <c r="L19" s="27" t="str">
        <f t="shared" si="3"/>
        <v>07-Feb-2025</v>
      </c>
      <c r="M19" s="23" t="s">
        <v>15</v>
      </c>
      <c r="N19" s="23" t="s">
        <v>177</v>
      </c>
      <c r="O19" s="24"/>
      <c r="P19" s="54">
        <v>0.0</v>
      </c>
      <c r="Q19" s="58" t="s">
        <v>257</v>
      </c>
      <c r="R19" s="27" t="str">
        <f>IFERROR(__xludf.DUMMYFUNCTION("IF(REGEXMATCH(N19, ""PRIORITY: Low""), ""Low"", IF(REGEXMATCH(N19, ""PRIORITY: Medium""), ""Medium"", IF(REGEXMATCH(N19, ""PRIORITY: High""), ""High"", """")))
"),"")</f>
        <v/>
      </c>
      <c r="S19" s="27" t="str">
        <f>IFERROR(__xludf.DUMMYFUNCTION("IF(REGEXMATCH(N19, ""SKILL: Low""), ""Low"", IF(REGEXMATCH(N19, ""SKILL: Medium""), ""Medium"", IF(REGEXMATCH(N19, ""SKILL: High""), ""High"", """")))"),"")</f>
        <v/>
      </c>
      <c r="T19" s="27" t="str">
        <f>IFERROR(__xludf.DUMMYFUNCTION("IF(REGEXMATCH(N19, ""STATUS: Dev Complete - Awaiting QA""), ""Dev Complete - Awaiting QA"", IF(REGEXMATCH(N19, ""STATUS: Follow-Up Required""), ""Follow-Up Required"", IF(REGEXMATCH(N19, ""STATUS: In Progress""), ""In Progress"", IF(REGEXMATCH(N19, ""STAT"&amp;"US: In QA""), ""In QA"", IF(REGEXMATCH(N19, ""STATUS: Needs Customer Feedback""), ""Needs Customer Feedback"", IF(REGEXMATCH(N19, ""STATUS: QA Passed - Awaiting Release""), ""QA Passed - Awaiting Release"", IF(REGEXMATCH(N19, ""STATUS: Release to Prod""),"&amp;" ""Release to Prod"", """")))))))"),"")</f>
        <v/>
      </c>
    </row>
    <row r="20" hidden="1">
      <c r="A20" s="23" t="s">
        <v>61</v>
      </c>
      <c r="B20" s="12" t="s">
        <v>62</v>
      </c>
      <c r="C20" s="54">
        <v>37.0</v>
      </c>
      <c r="D20" s="55" t="s">
        <v>258</v>
      </c>
      <c r="E20" s="56" t="s">
        <v>173</v>
      </c>
      <c r="F20" s="54" t="s">
        <v>259</v>
      </c>
      <c r="G20" s="57" t="str">
        <f t="shared" si="1"/>
        <v>21-Jan-2025</v>
      </c>
      <c r="H20" s="54" t="s">
        <v>37</v>
      </c>
      <c r="I20" s="54" t="s">
        <v>260</v>
      </c>
      <c r="J20" s="27" t="str">
        <f t="shared" si="2"/>
        <v>11-Jul-2025</v>
      </c>
      <c r="K20" s="54" t="s">
        <v>256</v>
      </c>
      <c r="L20" s="27" t="str">
        <f t="shared" si="3"/>
        <v>07-Feb-2025</v>
      </c>
      <c r="M20" s="23" t="s">
        <v>15</v>
      </c>
      <c r="N20" s="23" t="s">
        <v>177</v>
      </c>
      <c r="O20" s="24"/>
      <c r="P20" s="54">
        <v>0.0</v>
      </c>
      <c r="Q20" s="58" t="s">
        <v>261</v>
      </c>
      <c r="R20" s="27" t="str">
        <f>IFERROR(__xludf.DUMMYFUNCTION("IF(REGEXMATCH(N20, ""PRIORITY: Low""), ""Low"", IF(REGEXMATCH(N20, ""PRIORITY: Medium""), ""Medium"", IF(REGEXMATCH(N20, ""PRIORITY: High""), ""High"", """")))
"),"")</f>
        <v/>
      </c>
      <c r="S20" s="27" t="str">
        <f>IFERROR(__xludf.DUMMYFUNCTION("IF(REGEXMATCH(N20, ""SKILL: Low""), ""Low"", IF(REGEXMATCH(N20, ""SKILL: Medium""), ""Medium"", IF(REGEXMATCH(N20, ""SKILL: High""), ""High"", """")))"),"")</f>
        <v/>
      </c>
      <c r="T20" s="27" t="str">
        <f>IFERROR(__xludf.DUMMYFUNCTION("IF(REGEXMATCH(N20, ""STATUS: Dev Complete - Awaiting QA""), ""Dev Complete - Awaiting QA"", IF(REGEXMATCH(N20, ""STATUS: Follow-Up Required""), ""Follow-Up Required"", IF(REGEXMATCH(N20, ""STATUS: In Progress""), ""In Progress"", IF(REGEXMATCH(N20, ""STAT"&amp;"US: In QA""), ""In QA"", IF(REGEXMATCH(N20, ""STATUS: Needs Customer Feedback""), ""Needs Customer Feedback"", IF(REGEXMATCH(N20, ""STATUS: QA Passed - Awaiting Release""), ""QA Passed - Awaiting Release"", IF(REGEXMATCH(N20, ""STATUS: Release to Prod""),"&amp;" ""Release to Prod"", """")))))))"),"")</f>
        <v/>
      </c>
    </row>
    <row r="21">
      <c r="A21" s="23" t="s">
        <v>61</v>
      </c>
      <c r="B21" s="12" t="s">
        <v>62</v>
      </c>
      <c r="C21" s="54">
        <v>36.0</v>
      </c>
      <c r="D21" s="55" t="s">
        <v>262</v>
      </c>
      <c r="E21" s="56" t="s">
        <v>246</v>
      </c>
      <c r="F21" s="54" t="s">
        <v>263</v>
      </c>
      <c r="G21" s="57" t="str">
        <f t="shared" si="1"/>
        <v>21-Jan-2025</v>
      </c>
      <c r="H21" s="54" t="s">
        <v>37</v>
      </c>
      <c r="I21" s="54" t="s">
        <v>264</v>
      </c>
      <c r="J21" s="27" t="str">
        <f t="shared" si="2"/>
        <v>16-Jul-2025</v>
      </c>
      <c r="K21" s="59"/>
      <c r="L21" s="27" t="str">
        <f t="shared" si="3"/>
        <v/>
      </c>
      <c r="M21" s="23" t="s">
        <v>249</v>
      </c>
      <c r="N21" s="23" t="s">
        <v>265</v>
      </c>
      <c r="O21" s="60" t="s">
        <v>37</v>
      </c>
      <c r="P21" s="54">
        <v>1.0</v>
      </c>
      <c r="Q21" s="58" t="s">
        <v>266</v>
      </c>
      <c r="R21" s="27" t="str">
        <f>IFERROR(__xludf.DUMMYFUNCTION("IF(REGEXMATCH(N21, ""PRIORITY: Low""), ""Low"", IF(REGEXMATCH(N21, ""PRIORITY: Medium""), ""Medium"", IF(REGEXMATCH(N21, ""PRIORITY: High""), ""High"", """")))
"),"Medium")</f>
        <v>Medium</v>
      </c>
      <c r="S21" s="27" t="str">
        <f>IFERROR(__xludf.DUMMYFUNCTION("IF(REGEXMATCH(N21, ""SKILL: Low""), ""Low"", IF(REGEXMATCH(N21, ""SKILL: Medium""), ""Medium"", IF(REGEXMATCH(N21, ""SKILL: High""), ""High"", """")))"),"Medium")</f>
        <v>Medium</v>
      </c>
      <c r="T21" s="27" t="str">
        <f>IFERROR(__xludf.DUMMYFUNCTION("IF(REGEXMATCH(N21, ""STATUS: Dev Complete - Awaiting QA""), ""Dev Complete - Awaiting QA"", IF(REGEXMATCH(N21, ""STATUS: Follow-Up Required""), ""Follow-Up Required"", IF(REGEXMATCH(N21, ""STATUS: In Progress""), ""In Progress"", IF(REGEXMATCH(N21, ""STAT"&amp;"US: In QA""), ""In QA"", IF(REGEXMATCH(N21, ""STATUS: Needs Customer Feedback""), ""Needs Customer Feedback"", IF(REGEXMATCH(N21, ""STATUS: QA Passed - Awaiting Release""), ""QA Passed - Awaiting Release"", IF(REGEXMATCH(N21, ""STATUS: Release to Prod""),"&amp;" ""Release to Prod"", """")))))))"),"In Progress")</f>
        <v>In Progress</v>
      </c>
    </row>
    <row r="22" hidden="1">
      <c r="A22" s="23" t="s">
        <v>82</v>
      </c>
      <c r="B22" s="12" t="s">
        <v>267</v>
      </c>
      <c r="C22" s="54">
        <v>432.0</v>
      </c>
      <c r="D22" s="55" t="s">
        <v>268</v>
      </c>
      <c r="E22" s="56" t="s">
        <v>173</v>
      </c>
      <c r="F22" s="54" t="s">
        <v>269</v>
      </c>
      <c r="G22" s="57" t="str">
        <f t="shared" si="1"/>
        <v>25-Aug-2025</v>
      </c>
      <c r="H22" s="54" t="s">
        <v>51</v>
      </c>
      <c r="I22" s="54" t="s">
        <v>270</v>
      </c>
      <c r="J22" s="27" t="str">
        <f t="shared" si="2"/>
        <v>05-Sep-2025</v>
      </c>
      <c r="K22" s="54" t="s">
        <v>270</v>
      </c>
      <c r="L22" s="27" t="str">
        <f t="shared" si="3"/>
        <v>05-Sep-2025</v>
      </c>
      <c r="M22" s="23" t="s">
        <v>15</v>
      </c>
      <c r="N22" s="23" t="s">
        <v>177</v>
      </c>
      <c r="O22" s="24"/>
      <c r="P22" s="54">
        <v>1.0</v>
      </c>
      <c r="Q22" s="58" t="s">
        <v>271</v>
      </c>
      <c r="R22" s="27" t="str">
        <f>IFERROR(__xludf.DUMMYFUNCTION("IF(REGEXMATCH(N22, ""PRIORITY: Low""), ""Low"", IF(REGEXMATCH(N22, ""PRIORITY: Medium""), ""Medium"", IF(REGEXMATCH(N22, ""PRIORITY: High""), ""High"", """")))
"),"")</f>
        <v/>
      </c>
      <c r="S22" s="27" t="str">
        <f>IFERROR(__xludf.DUMMYFUNCTION("IF(REGEXMATCH(N22, ""SKILL: Low""), ""Low"", IF(REGEXMATCH(N22, ""SKILL: Medium""), ""Medium"", IF(REGEXMATCH(N22, ""SKILL: High""), ""High"", """")))"),"")</f>
        <v/>
      </c>
      <c r="T22" s="27" t="str">
        <f>IFERROR(__xludf.DUMMYFUNCTION("IF(REGEXMATCH(N22, ""STATUS: Dev Complete - Awaiting QA""), ""Dev Complete - Awaiting QA"", IF(REGEXMATCH(N22, ""STATUS: Follow-Up Required""), ""Follow-Up Required"", IF(REGEXMATCH(N22, ""STATUS: In Progress""), ""In Progress"", IF(REGEXMATCH(N22, ""STAT"&amp;"US: In QA""), ""In QA"", IF(REGEXMATCH(N22, ""STATUS: Needs Customer Feedback""), ""Needs Customer Feedback"", IF(REGEXMATCH(N22, ""STATUS: QA Passed - Awaiting Release""), ""QA Passed - Awaiting Release"", IF(REGEXMATCH(N22, ""STATUS: Release to Prod""),"&amp;" ""Release to Prod"", """")))))))"),"")</f>
        <v/>
      </c>
    </row>
    <row r="23" hidden="1">
      <c r="A23" s="23" t="s">
        <v>82</v>
      </c>
      <c r="B23" s="12" t="s">
        <v>267</v>
      </c>
      <c r="C23" s="54">
        <v>431.0</v>
      </c>
      <c r="D23" s="55" t="s">
        <v>272</v>
      </c>
      <c r="E23" s="56" t="s">
        <v>173</v>
      </c>
      <c r="F23" s="54" t="s">
        <v>273</v>
      </c>
      <c r="G23" s="57" t="str">
        <f t="shared" si="1"/>
        <v>22-Aug-2025</v>
      </c>
      <c r="H23" s="54" t="s">
        <v>51</v>
      </c>
      <c r="I23" s="54" t="s">
        <v>274</v>
      </c>
      <c r="J23" s="27" t="str">
        <f t="shared" si="2"/>
        <v>05-Sep-2025</v>
      </c>
      <c r="K23" s="54" t="s">
        <v>274</v>
      </c>
      <c r="L23" s="27" t="str">
        <f t="shared" si="3"/>
        <v>05-Sep-2025</v>
      </c>
      <c r="M23" s="23" t="s">
        <v>15</v>
      </c>
      <c r="N23" s="23" t="s">
        <v>177</v>
      </c>
      <c r="O23" s="23" t="s">
        <v>275</v>
      </c>
      <c r="P23" s="54">
        <v>1.0</v>
      </c>
      <c r="Q23" s="58" t="s">
        <v>276</v>
      </c>
      <c r="R23" s="27" t="str">
        <f>IFERROR(__xludf.DUMMYFUNCTION("IF(REGEXMATCH(N23, ""PRIORITY: Low""), ""Low"", IF(REGEXMATCH(N23, ""PRIORITY: Medium""), ""Medium"", IF(REGEXMATCH(N23, ""PRIORITY: High""), ""High"", """")))
"),"")</f>
        <v/>
      </c>
      <c r="S23" s="27" t="str">
        <f>IFERROR(__xludf.DUMMYFUNCTION("IF(REGEXMATCH(N23, ""SKILL: Low""), ""Low"", IF(REGEXMATCH(N23, ""SKILL: Medium""), ""Medium"", IF(REGEXMATCH(N23, ""SKILL: High""), ""High"", """")))"),"")</f>
        <v/>
      </c>
      <c r="T23" s="27" t="str">
        <f>IFERROR(__xludf.DUMMYFUNCTION("IF(REGEXMATCH(N23, ""STATUS: Dev Complete - Awaiting QA""), ""Dev Complete - Awaiting QA"", IF(REGEXMATCH(N23, ""STATUS: Follow-Up Required""), ""Follow-Up Required"", IF(REGEXMATCH(N23, ""STATUS: In Progress""), ""In Progress"", IF(REGEXMATCH(N23, ""STAT"&amp;"US: In QA""), ""In QA"", IF(REGEXMATCH(N23, ""STATUS: Needs Customer Feedback""), ""Needs Customer Feedback"", IF(REGEXMATCH(N23, ""STATUS: QA Passed - Awaiting Release""), ""QA Passed - Awaiting Release"", IF(REGEXMATCH(N23, ""STATUS: Release to Prod""),"&amp;" ""Release to Prod"", """")))))))"),"")</f>
        <v/>
      </c>
    </row>
    <row r="24" hidden="1">
      <c r="A24" s="23" t="s">
        <v>82</v>
      </c>
      <c r="B24" s="12" t="s">
        <v>267</v>
      </c>
      <c r="C24" s="54">
        <v>427.0</v>
      </c>
      <c r="D24" s="55" t="s">
        <v>277</v>
      </c>
      <c r="E24" s="56" t="s">
        <v>173</v>
      </c>
      <c r="F24" s="54" t="s">
        <v>278</v>
      </c>
      <c r="G24" s="57" t="str">
        <f t="shared" si="1"/>
        <v>17-Aug-2025</v>
      </c>
      <c r="H24" s="54" t="s">
        <v>44</v>
      </c>
      <c r="I24" s="54" t="s">
        <v>279</v>
      </c>
      <c r="J24" s="27" t="str">
        <f t="shared" si="2"/>
        <v>19-Sep-2025</v>
      </c>
      <c r="K24" s="54" t="s">
        <v>280</v>
      </c>
      <c r="L24" s="27" t="str">
        <f t="shared" si="3"/>
        <v>05-Sep-2025</v>
      </c>
      <c r="M24" s="23" t="s">
        <v>15</v>
      </c>
      <c r="N24" s="23" t="s">
        <v>177</v>
      </c>
      <c r="O24" s="23" t="s">
        <v>275</v>
      </c>
      <c r="P24" s="54">
        <v>1.0</v>
      </c>
      <c r="Q24" s="58" t="s">
        <v>281</v>
      </c>
      <c r="R24" s="27" t="str">
        <f>IFERROR(__xludf.DUMMYFUNCTION("IF(REGEXMATCH(N24, ""PRIORITY: Low""), ""Low"", IF(REGEXMATCH(N24, ""PRIORITY: Medium""), ""Medium"", IF(REGEXMATCH(N24, ""PRIORITY: High""), ""High"", """")))
"),"")</f>
        <v/>
      </c>
      <c r="S24" s="27" t="str">
        <f>IFERROR(__xludf.DUMMYFUNCTION("IF(REGEXMATCH(N24, ""SKILL: Low""), ""Low"", IF(REGEXMATCH(N24, ""SKILL: Medium""), ""Medium"", IF(REGEXMATCH(N24, ""SKILL: High""), ""High"", """")))"),"")</f>
        <v/>
      </c>
      <c r="T24" s="27" t="str">
        <f>IFERROR(__xludf.DUMMYFUNCTION("IF(REGEXMATCH(N24, ""STATUS: Dev Complete - Awaiting QA""), ""Dev Complete - Awaiting QA"", IF(REGEXMATCH(N24, ""STATUS: Follow-Up Required""), ""Follow-Up Required"", IF(REGEXMATCH(N24, ""STATUS: In Progress""), ""In Progress"", IF(REGEXMATCH(N24, ""STAT"&amp;"US: In QA""), ""In QA"", IF(REGEXMATCH(N24, ""STATUS: Needs Customer Feedback""), ""Needs Customer Feedback"", IF(REGEXMATCH(N24, ""STATUS: QA Passed - Awaiting Release""), ""QA Passed - Awaiting Release"", IF(REGEXMATCH(N24, ""STATUS: Release to Prod""),"&amp;" ""Release to Prod"", """")))))))"),"")</f>
        <v/>
      </c>
    </row>
    <row r="25" hidden="1">
      <c r="A25" s="23" t="s">
        <v>82</v>
      </c>
      <c r="B25" s="12" t="s">
        <v>267</v>
      </c>
      <c r="C25" s="54">
        <v>424.0</v>
      </c>
      <c r="D25" s="55" t="s">
        <v>282</v>
      </c>
      <c r="E25" s="56" t="s">
        <v>173</v>
      </c>
      <c r="F25" s="54" t="s">
        <v>283</v>
      </c>
      <c r="G25" s="57" t="str">
        <f t="shared" si="1"/>
        <v>13-Aug-2025</v>
      </c>
      <c r="H25" s="54" t="s">
        <v>57</v>
      </c>
      <c r="I25" s="54" t="s">
        <v>284</v>
      </c>
      <c r="J25" s="27" t="str">
        <f t="shared" si="2"/>
        <v>05-Sep-2025</v>
      </c>
      <c r="K25" s="54" t="s">
        <v>284</v>
      </c>
      <c r="L25" s="27" t="str">
        <f t="shared" si="3"/>
        <v>05-Sep-2025</v>
      </c>
      <c r="M25" s="23" t="s">
        <v>285</v>
      </c>
      <c r="N25" s="23" t="s">
        <v>286</v>
      </c>
      <c r="O25" s="23" t="s">
        <v>51</v>
      </c>
      <c r="P25" s="54">
        <v>3.0</v>
      </c>
      <c r="Q25" s="58" t="s">
        <v>287</v>
      </c>
      <c r="R25" s="27" t="str">
        <f>IFERROR(__xludf.DUMMYFUNCTION("IF(REGEXMATCH(N25, ""PRIORITY: Low""), ""Low"", IF(REGEXMATCH(N25, ""PRIORITY: Medium""), ""Medium"", IF(REGEXMATCH(N25, ""PRIORITY: High""), ""High"", """")))
"),"Low")</f>
        <v>Low</v>
      </c>
      <c r="S25" s="27" t="str">
        <f>IFERROR(__xludf.DUMMYFUNCTION("IF(REGEXMATCH(N25, ""SKILL: Low""), ""Low"", IF(REGEXMATCH(N25, ""SKILL: Medium""), ""Medium"", IF(REGEXMATCH(N25, ""SKILL: High""), ""High"", """")))"),"Low")</f>
        <v>Low</v>
      </c>
      <c r="T25" s="27" t="str">
        <f>IFERROR(__xludf.DUMMYFUNCTION("IF(REGEXMATCH(N25, ""STATUS: Dev Complete - Awaiting QA""), ""Dev Complete - Awaiting QA"", IF(REGEXMATCH(N25, ""STATUS: Follow-Up Required""), ""Follow-Up Required"", IF(REGEXMATCH(N25, ""STATUS: In Progress""), ""In Progress"", IF(REGEXMATCH(N25, ""STAT"&amp;"US: In QA""), ""In QA"", IF(REGEXMATCH(N25, ""STATUS: Needs Customer Feedback""), ""Needs Customer Feedback"", IF(REGEXMATCH(N25, ""STATUS: QA Passed - Awaiting Release""), ""QA Passed - Awaiting Release"", IF(REGEXMATCH(N25, ""STATUS: Release to Prod""),"&amp;" ""Release to Prod"", """")))))))"),"QA Passed - Awaiting Release")</f>
        <v>QA Passed - Awaiting Release</v>
      </c>
    </row>
    <row r="26" hidden="1">
      <c r="A26" s="23" t="s">
        <v>82</v>
      </c>
      <c r="B26" s="12" t="s">
        <v>267</v>
      </c>
      <c r="C26" s="54">
        <v>422.0</v>
      </c>
      <c r="D26" s="55" t="s">
        <v>288</v>
      </c>
      <c r="E26" s="56" t="s">
        <v>173</v>
      </c>
      <c r="F26" s="54" t="s">
        <v>289</v>
      </c>
      <c r="G26" s="57" t="str">
        <f t="shared" si="1"/>
        <v>06-Aug-2025</v>
      </c>
      <c r="H26" s="54" t="s">
        <v>57</v>
      </c>
      <c r="I26" s="54" t="s">
        <v>290</v>
      </c>
      <c r="J26" s="27" t="str">
        <f t="shared" si="2"/>
        <v>05-Sep-2025</v>
      </c>
      <c r="K26" s="54" t="s">
        <v>290</v>
      </c>
      <c r="L26" s="27" t="str">
        <f t="shared" si="3"/>
        <v>05-Sep-2025</v>
      </c>
      <c r="M26" s="23" t="s">
        <v>291</v>
      </c>
      <c r="N26" s="23" t="s">
        <v>292</v>
      </c>
      <c r="O26" s="23" t="s">
        <v>51</v>
      </c>
      <c r="P26" s="54">
        <v>3.0</v>
      </c>
      <c r="Q26" s="58" t="s">
        <v>293</v>
      </c>
      <c r="R26" s="27" t="str">
        <f>IFERROR(__xludf.DUMMYFUNCTION("IF(REGEXMATCH(N26, ""PRIORITY: Low""), ""Low"", IF(REGEXMATCH(N26, ""PRIORITY: Medium""), ""Medium"", IF(REGEXMATCH(N26, ""PRIORITY: High""), ""High"", """")))
"),"Low")</f>
        <v>Low</v>
      </c>
      <c r="S26" s="27" t="str">
        <f>IFERROR(__xludf.DUMMYFUNCTION("IF(REGEXMATCH(N26, ""SKILL: Low""), ""Low"", IF(REGEXMATCH(N26, ""SKILL: Medium""), ""Medium"", IF(REGEXMATCH(N26, ""SKILL: High""), ""High"", """")))"),"Low")</f>
        <v>Low</v>
      </c>
      <c r="T26" s="27" t="str">
        <f>IFERROR(__xludf.DUMMYFUNCTION("IF(REGEXMATCH(N26, ""STATUS: Dev Complete - Awaiting QA""), ""Dev Complete - Awaiting QA"", IF(REGEXMATCH(N26, ""STATUS: Follow-Up Required""), ""Follow-Up Required"", IF(REGEXMATCH(N26, ""STATUS: In Progress""), ""In Progress"", IF(REGEXMATCH(N26, ""STAT"&amp;"US: In QA""), ""In QA"", IF(REGEXMATCH(N26, ""STATUS: Needs Customer Feedback""), ""Needs Customer Feedback"", IF(REGEXMATCH(N26, ""STATUS: QA Passed - Awaiting Release""), ""QA Passed - Awaiting Release"", IF(REGEXMATCH(N26, ""STATUS: Release to Prod""),"&amp;" ""Release to Prod"", """")))))))"),"")</f>
        <v/>
      </c>
    </row>
    <row r="27" hidden="1">
      <c r="A27" s="23" t="s">
        <v>82</v>
      </c>
      <c r="B27" s="12" t="s">
        <v>267</v>
      </c>
      <c r="C27" s="54">
        <v>418.0</v>
      </c>
      <c r="D27" s="55" t="s">
        <v>294</v>
      </c>
      <c r="E27" s="56" t="s">
        <v>173</v>
      </c>
      <c r="F27" s="54" t="s">
        <v>295</v>
      </c>
      <c r="G27" s="57" t="str">
        <f t="shared" si="1"/>
        <v>05-Aug-2025</v>
      </c>
      <c r="H27" s="54" t="s">
        <v>57</v>
      </c>
      <c r="I27" s="54" t="s">
        <v>296</v>
      </c>
      <c r="J27" s="27" t="str">
        <f t="shared" si="2"/>
        <v>05-Sep-2025</v>
      </c>
      <c r="K27" s="54" t="s">
        <v>296</v>
      </c>
      <c r="L27" s="27" t="str">
        <f t="shared" si="3"/>
        <v>05-Sep-2025</v>
      </c>
      <c r="M27" s="23" t="s">
        <v>285</v>
      </c>
      <c r="N27" s="23" t="s">
        <v>297</v>
      </c>
      <c r="O27" s="23" t="s">
        <v>51</v>
      </c>
      <c r="P27" s="54">
        <v>4.0</v>
      </c>
      <c r="Q27" s="58" t="s">
        <v>298</v>
      </c>
      <c r="R27" s="27" t="str">
        <f>IFERROR(__xludf.DUMMYFUNCTION("IF(REGEXMATCH(N27, ""PRIORITY: Low""), ""Low"", IF(REGEXMATCH(N27, ""PRIORITY: Medium""), ""Medium"", IF(REGEXMATCH(N27, ""PRIORITY: High""), ""High"", """")))
"),"High")</f>
        <v>High</v>
      </c>
      <c r="S27" s="27" t="str">
        <f>IFERROR(__xludf.DUMMYFUNCTION("IF(REGEXMATCH(N27, ""SKILL: Low""), ""Low"", IF(REGEXMATCH(N27, ""SKILL: Medium""), ""Medium"", IF(REGEXMATCH(N27, ""SKILL: High""), ""High"", """")))"),"Medium")</f>
        <v>Medium</v>
      </c>
      <c r="T27" s="27" t="str">
        <f>IFERROR(__xludf.DUMMYFUNCTION("IF(REGEXMATCH(N27, ""STATUS: Dev Complete - Awaiting QA""), ""Dev Complete - Awaiting QA"", IF(REGEXMATCH(N27, ""STATUS: Follow-Up Required""), ""Follow-Up Required"", IF(REGEXMATCH(N27, ""STATUS: In Progress""), ""In Progress"", IF(REGEXMATCH(N27, ""STAT"&amp;"US: In QA""), ""In QA"", IF(REGEXMATCH(N27, ""STATUS: Needs Customer Feedback""), ""Needs Customer Feedback"", IF(REGEXMATCH(N27, ""STATUS: QA Passed - Awaiting Release""), ""QA Passed - Awaiting Release"", IF(REGEXMATCH(N27, ""STATUS: Release to Prod""),"&amp;" ""Release to Prod"", """")))))))"),"")</f>
        <v/>
      </c>
    </row>
    <row r="28" hidden="1">
      <c r="A28" s="23" t="s">
        <v>82</v>
      </c>
      <c r="B28" s="12" t="s">
        <v>267</v>
      </c>
      <c r="C28" s="54">
        <v>407.0</v>
      </c>
      <c r="D28" s="55" t="s">
        <v>299</v>
      </c>
      <c r="E28" s="56" t="s">
        <v>173</v>
      </c>
      <c r="F28" s="54" t="s">
        <v>300</v>
      </c>
      <c r="G28" s="57" t="str">
        <f t="shared" si="1"/>
        <v>14-Jul-2025</v>
      </c>
      <c r="H28" s="54" t="s">
        <v>51</v>
      </c>
      <c r="I28" s="54" t="s">
        <v>301</v>
      </c>
      <c r="J28" s="27" t="str">
        <f t="shared" si="2"/>
        <v>31-Jul-2025</v>
      </c>
      <c r="K28" s="54" t="s">
        <v>301</v>
      </c>
      <c r="L28" s="27" t="str">
        <f t="shared" si="3"/>
        <v>31-Jul-2025</v>
      </c>
      <c r="M28" s="23" t="s">
        <v>249</v>
      </c>
      <c r="N28" s="23" t="s">
        <v>302</v>
      </c>
      <c r="O28" s="23" t="s">
        <v>47</v>
      </c>
      <c r="P28" s="54">
        <v>2.0</v>
      </c>
      <c r="Q28" s="58" t="s">
        <v>303</v>
      </c>
      <c r="R28" s="27" t="str">
        <f>IFERROR(__xludf.DUMMYFUNCTION("IF(REGEXMATCH(N28, ""PRIORITY: Low""), ""Low"", IF(REGEXMATCH(N28, ""PRIORITY: Medium""), ""Medium"", IF(REGEXMATCH(N28, ""PRIORITY: High""), ""High"", """")))
"),"Low")</f>
        <v>Low</v>
      </c>
      <c r="S28" s="27" t="str">
        <f>IFERROR(__xludf.DUMMYFUNCTION("IF(REGEXMATCH(N28, ""SKILL: Low""), ""Low"", IF(REGEXMATCH(N28, ""SKILL: Medium""), ""Medium"", IF(REGEXMATCH(N28, ""SKILL: High""), ""High"", """")))"),"Low")</f>
        <v>Low</v>
      </c>
      <c r="T28" s="27" t="str">
        <f>IFERROR(__xludf.DUMMYFUNCTION("IF(REGEXMATCH(N28, ""STATUS: Dev Complete - Awaiting QA""), ""Dev Complete - Awaiting QA"", IF(REGEXMATCH(N28, ""STATUS: Follow-Up Required""), ""Follow-Up Required"", IF(REGEXMATCH(N28, ""STATUS: In Progress""), ""In Progress"", IF(REGEXMATCH(N28, ""STAT"&amp;"US: In QA""), ""In QA"", IF(REGEXMATCH(N28, ""STATUS: Needs Customer Feedback""), ""Needs Customer Feedback"", IF(REGEXMATCH(N28, ""STATUS: QA Passed - Awaiting Release""), ""QA Passed - Awaiting Release"", IF(REGEXMATCH(N28, ""STATUS: Release to Prod""),"&amp;" ""Release to Prod"", """")))))))"),"")</f>
        <v/>
      </c>
    </row>
    <row r="29" hidden="1">
      <c r="A29" s="23" t="s">
        <v>82</v>
      </c>
      <c r="B29" s="12" t="s">
        <v>267</v>
      </c>
      <c r="C29" s="54">
        <v>406.0</v>
      </c>
      <c r="D29" s="55" t="s">
        <v>304</v>
      </c>
      <c r="E29" s="56" t="s">
        <v>173</v>
      </c>
      <c r="F29" s="54" t="s">
        <v>305</v>
      </c>
      <c r="G29" s="57" t="str">
        <f t="shared" si="1"/>
        <v>14-Jul-2025</v>
      </c>
      <c r="H29" s="54" t="s">
        <v>51</v>
      </c>
      <c r="I29" s="54" t="s">
        <v>306</v>
      </c>
      <c r="J29" s="27" t="str">
        <f t="shared" si="2"/>
        <v>22-Aug-2025</v>
      </c>
      <c r="K29" s="54" t="s">
        <v>307</v>
      </c>
      <c r="L29" s="27" t="str">
        <f t="shared" si="3"/>
        <v>11-Aug-2025</v>
      </c>
      <c r="M29" s="23" t="s">
        <v>285</v>
      </c>
      <c r="N29" s="23" t="s">
        <v>297</v>
      </c>
      <c r="O29" s="23" t="s">
        <v>54</v>
      </c>
      <c r="P29" s="54">
        <v>6.0</v>
      </c>
      <c r="Q29" s="58" t="s">
        <v>308</v>
      </c>
      <c r="R29" s="27" t="str">
        <f>IFERROR(__xludf.DUMMYFUNCTION("IF(REGEXMATCH(N29, ""PRIORITY: Low""), ""Low"", IF(REGEXMATCH(N29, ""PRIORITY: Medium""), ""Medium"", IF(REGEXMATCH(N29, ""PRIORITY: High""), ""High"", """")))
"),"High")</f>
        <v>High</v>
      </c>
      <c r="S29" s="27" t="str">
        <f>IFERROR(__xludf.DUMMYFUNCTION("IF(REGEXMATCH(N29, ""SKILL: Low""), ""Low"", IF(REGEXMATCH(N29, ""SKILL: Medium""), ""Medium"", IF(REGEXMATCH(N29, ""SKILL: High""), ""High"", """")))"),"Medium")</f>
        <v>Medium</v>
      </c>
      <c r="T29" s="27" t="str">
        <f>IFERROR(__xludf.DUMMYFUNCTION("IF(REGEXMATCH(N29, ""STATUS: Dev Complete - Awaiting QA""), ""Dev Complete - Awaiting QA"", IF(REGEXMATCH(N29, ""STATUS: Follow-Up Required""), ""Follow-Up Required"", IF(REGEXMATCH(N29, ""STATUS: In Progress""), ""In Progress"", IF(REGEXMATCH(N29, ""STAT"&amp;"US: In QA""), ""In QA"", IF(REGEXMATCH(N29, ""STATUS: Needs Customer Feedback""), ""Needs Customer Feedback"", IF(REGEXMATCH(N29, ""STATUS: QA Passed - Awaiting Release""), ""QA Passed - Awaiting Release"", IF(REGEXMATCH(N29, ""STATUS: Release to Prod""),"&amp;" ""Release to Prod"", """")))))))"),"")</f>
        <v/>
      </c>
    </row>
    <row r="30" hidden="1">
      <c r="A30" s="23" t="s">
        <v>82</v>
      </c>
      <c r="B30" s="12" t="s">
        <v>267</v>
      </c>
      <c r="C30" s="54">
        <v>405.0</v>
      </c>
      <c r="D30" s="55" t="s">
        <v>309</v>
      </c>
      <c r="E30" s="56" t="s">
        <v>173</v>
      </c>
      <c r="F30" s="54" t="s">
        <v>310</v>
      </c>
      <c r="G30" s="57" t="str">
        <f t="shared" si="1"/>
        <v>14-Jul-2025</v>
      </c>
      <c r="H30" s="54" t="s">
        <v>51</v>
      </c>
      <c r="I30" s="54" t="s">
        <v>311</v>
      </c>
      <c r="J30" s="27" t="str">
        <f t="shared" si="2"/>
        <v>18-Aug-2025</v>
      </c>
      <c r="K30" s="54" t="s">
        <v>311</v>
      </c>
      <c r="L30" s="27" t="str">
        <f t="shared" si="3"/>
        <v>18-Aug-2025</v>
      </c>
      <c r="M30" s="23" t="s">
        <v>249</v>
      </c>
      <c r="N30" s="23" t="s">
        <v>286</v>
      </c>
      <c r="O30" s="23" t="s">
        <v>51</v>
      </c>
      <c r="P30" s="54">
        <v>1.0</v>
      </c>
      <c r="Q30" s="58" t="s">
        <v>312</v>
      </c>
      <c r="R30" s="27" t="str">
        <f>IFERROR(__xludf.DUMMYFUNCTION("IF(REGEXMATCH(N30, ""PRIORITY: Low""), ""Low"", IF(REGEXMATCH(N30, ""PRIORITY: Medium""), ""Medium"", IF(REGEXMATCH(N30, ""PRIORITY: High""), ""High"", """")))
"),"Low")</f>
        <v>Low</v>
      </c>
      <c r="S30" s="27" t="str">
        <f>IFERROR(__xludf.DUMMYFUNCTION("IF(REGEXMATCH(N30, ""SKILL: Low""), ""Low"", IF(REGEXMATCH(N30, ""SKILL: Medium""), ""Medium"", IF(REGEXMATCH(N30, ""SKILL: High""), ""High"", """")))"),"Low")</f>
        <v>Low</v>
      </c>
      <c r="T30" s="27" t="str">
        <f>IFERROR(__xludf.DUMMYFUNCTION("IF(REGEXMATCH(N30, ""STATUS: Dev Complete - Awaiting QA""), ""Dev Complete - Awaiting QA"", IF(REGEXMATCH(N30, ""STATUS: Follow-Up Required""), ""Follow-Up Required"", IF(REGEXMATCH(N30, ""STATUS: In Progress""), ""In Progress"", IF(REGEXMATCH(N30, ""STAT"&amp;"US: In QA""), ""In QA"", IF(REGEXMATCH(N30, ""STATUS: Needs Customer Feedback""), ""Needs Customer Feedback"", IF(REGEXMATCH(N30, ""STATUS: QA Passed - Awaiting Release""), ""QA Passed - Awaiting Release"", IF(REGEXMATCH(N30, ""STATUS: Release to Prod""),"&amp;" ""Release to Prod"", """")))))))"),"QA Passed - Awaiting Release")</f>
        <v>QA Passed - Awaiting Release</v>
      </c>
    </row>
    <row r="31" hidden="1">
      <c r="A31" s="23" t="s">
        <v>82</v>
      </c>
      <c r="B31" s="12" t="s">
        <v>267</v>
      </c>
      <c r="C31" s="54">
        <v>404.0</v>
      </c>
      <c r="D31" s="55" t="s">
        <v>313</v>
      </c>
      <c r="E31" s="56" t="s">
        <v>173</v>
      </c>
      <c r="F31" s="54" t="s">
        <v>314</v>
      </c>
      <c r="G31" s="57" t="str">
        <f t="shared" si="1"/>
        <v>14-Jul-2025</v>
      </c>
      <c r="H31" s="54" t="s">
        <v>51</v>
      </c>
      <c r="I31" s="54" t="s">
        <v>315</v>
      </c>
      <c r="J31" s="27" t="str">
        <f t="shared" si="2"/>
        <v>31-Jul-2025</v>
      </c>
      <c r="K31" s="54" t="s">
        <v>316</v>
      </c>
      <c r="L31" s="27" t="str">
        <f t="shared" si="3"/>
        <v>14-Jul-2025</v>
      </c>
      <c r="M31" s="23" t="s">
        <v>291</v>
      </c>
      <c r="N31" s="23" t="s">
        <v>177</v>
      </c>
      <c r="O31" s="23" t="s">
        <v>57</v>
      </c>
      <c r="P31" s="54">
        <v>1.0</v>
      </c>
      <c r="Q31" s="58" t="s">
        <v>317</v>
      </c>
      <c r="R31" s="27" t="str">
        <f>IFERROR(__xludf.DUMMYFUNCTION("IF(REGEXMATCH(N31, ""PRIORITY: Low""), ""Low"", IF(REGEXMATCH(N31, ""PRIORITY: Medium""), ""Medium"", IF(REGEXMATCH(N31, ""PRIORITY: High""), ""High"", """")))
"),"")</f>
        <v/>
      </c>
      <c r="S31" s="27" t="str">
        <f>IFERROR(__xludf.DUMMYFUNCTION("IF(REGEXMATCH(N31, ""SKILL: Low""), ""Low"", IF(REGEXMATCH(N31, ""SKILL: Medium""), ""Medium"", IF(REGEXMATCH(N31, ""SKILL: High""), ""High"", """")))"),"")</f>
        <v/>
      </c>
      <c r="T31" s="27" t="str">
        <f>IFERROR(__xludf.DUMMYFUNCTION("IF(REGEXMATCH(N31, ""STATUS: Dev Complete - Awaiting QA""), ""Dev Complete - Awaiting QA"", IF(REGEXMATCH(N31, ""STATUS: Follow-Up Required""), ""Follow-Up Required"", IF(REGEXMATCH(N31, ""STATUS: In Progress""), ""In Progress"", IF(REGEXMATCH(N31, ""STAT"&amp;"US: In QA""), ""In QA"", IF(REGEXMATCH(N31, ""STATUS: Needs Customer Feedback""), ""Needs Customer Feedback"", IF(REGEXMATCH(N31, ""STATUS: QA Passed - Awaiting Release""), ""QA Passed - Awaiting Release"", IF(REGEXMATCH(N31, ""STATUS: Release to Prod""),"&amp;" ""Release to Prod"", """")))))))"),"")</f>
        <v/>
      </c>
    </row>
    <row r="32" hidden="1">
      <c r="A32" s="23" t="s">
        <v>82</v>
      </c>
      <c r="B32" s="12" t="s">
        <v>267</v>
      </c>
      <c r="C32" s="54">
        <v>403.0</v>
      </c>
      <c r="D32" s="55" t="s">
        <v>318</v>
      </c>
      <c r="E32" s="56" t="s">
        <v>173</v>
      </c>
      <c r="F32" s="54" t="s">
        <v>319</v>
      </c>
      <c r="G32" s="57" t="str">
        <f t="shared" si="1"/>
        <v>11-Jul-2025</v>
      </c>
      <c r="H32" s="54" t="s">
        <v>51</v>
      </c>
      <c r="I32" s="54" t="s">
        <v>320</v>
      </c>
      <c r="J32" s="27"/>
      <c r="K32" s="54" t="s">
        <v>320</v>
      </c>
      <c r="L32" s="27"/>
      <c r="M32" s="23" t="s">
        <v>285</v>
      </c>
      <c r="N32" s="23" t="s">
        <v>286</v>
      </c>
      <c r="O32" s="23" t="s">
        <v>47</v>
      </c>
      <c r="P32" s="54">
        <v>5.0</v>
      </c>
      <c r="Q32" s="58" t="s">
        <v>321</v>
      </c>
      <c r="R32" s="27"/>
      <c r="S32" s="27"/>
      <c r="T32" s="27"/>
    </row>
    <row r="33" hidden="1">
      <c r="A33" s="23" t="s">
        <v>82</v>
      </c>
      <c r="B33" s="12" t="s">
        <v>267</v>
      </c>
      <c r="C33" s="54">
        <v>401.0</v>
      </c>
      <c r="D33" s="55" t="s">
        <v>322</v>
      </c>
      <c r="E33" s="56" t="s">
        <v>173</v>
      </c>
      <c r="F33" s="54" t="s">
        <v>323</v>
      </c>
      <c r="G33" s="57" t="str">
        <f t="shared" si="1"/>
        <v>11-Jul-2025</v>
      </c>
      <c r="H33" s="54" t="s">
        <v>51</v>
      </c>
      <c r="I33" s="54" t="s">
        <v>315</v>
      </c>
      <c r="J33" s="27"/>
      <c r="K33" s="54" t="s">
        <v>324</v>
      </c>
      <c r="L33" s="27"/>
      <c r="M33" s="23" t="s">
        <v>285</v>
      </c>
      <c r="N33" s="23" t="s">
        <v>325</v>
      </c>
      <c r="O33" s="24"/>
      <c r="P33" s="54">
        <v>3.0</v>
      </c>
      <c r="Q33" s="58" t="s">
        <v>326</v>
      </c>
      <c r="R33" s="27"/>
      <c r="S33" s="27"/>
      <c r="T33" s="27"/>
    </row>
    <row r="34" hidden="1">
      <c r="A34" s="23" t="s">
        <v>82</v>
      </c>
      <c r="B34" s="12" t="s">
        <v>267</v>
      </c>
      <c r="C34" s="54">
        <v>400.0</v>
      </c>
      <c r="D34" s="55" t="s">
        <v>327</v>
      </c>
      <c r="E34" s="56" t="s">
        <v>173</v>
      </c>
      <c r="F34" s="54" t="s">
        <v>328</v>
      </c>
      <c r="G34" s="57" t="str">
        <f t="shared" si="1"/>
        <v>11-Jul-2025</v>
      </c>
      <c r="H34" s="54" t="s">
        <v>95</v>
      </c>
      <c r="I34" s="54" t="s">
        <v>329</v>
      </c>
      <c r="J34" s="27"/>
      <c r="K34" s="54" t="s">
        <v>330</v>
      </c>
      <c r="L34" s="27"/>
      <c r="M34" s="23" t="s">
        <v>285</v>
      </c>
      <c r="N34" s="23" t="s">
        <v>331</v>
      </c>
      <c r="O34" s="24"/>
      <c r="P34" s="54">
        <v>4.0</v>
      </c>
      <c r="Q34" s="58" t="s">
        <v>332</v>
      </c>
      <c r="R34" s="27"/>
      <c r="S34" s="27"/>
      <c r="T34" s="27"/>
    </row>
    <row r="35" hidden="1">
      <c r="A35" s="23" t="s">
        <v>82</v>
      </c>
      <c r="B35" s="12" t="s">
        <v>267</v>
      </c>
      <c r="C35" s="54">
        <v>398.0</v>
      </c>
      <c r="D35" s="55" t="s">
        <v>333</v>
      </c>
      <c r="E35" s="56" t="s">
        <v>173</v>
      </c>
      <c r="F35" s="54" t="s">
        <v>334</v>
      </c>
      <c r="G35" s="57" t="str">
        <f t="shared" si="1"/>
        <v>10-Jul-2025</v>
      </c>
      <c r="H35" s="54" t="s">
        <v>109</v>
      </c>
      <c r="I35" s="54" t="s">
        <v>335</v>
      </c>
      <c r="J35" s="27" t="str">
        <f t="shared" ref="J35:J841" si="4">IF(I35="", "", TEXT(DATEVALUE(LEFT(I35, 10)), "dd-mmm-yyyy"))</f>
        <v>05-Sep-2025</v>
      </c>
      <c r="K35" s="54" t="s">
        <v>335</v>
      </c>
      <c r="L35" s="27" t="str">
        <f t="shared" ref="L35:L841" si="5">IF(K35="", "", TEXT(DATEVALUE(LEFT(K35, 10)), "dd-mmm-yyyy"))</f>
        <v>05-Sep-2025</v>
      </c>
      <c r="M35" s="23" t="s">
        <v>291</v>
      </c>
      <c r="N35" s="23" t="s">
        <v>292</v>
      </c>
      <c r="O35" s="23" t="s">
        <v>51</v>
      </c>
      <c r="P35" s="54">
        <v>4.0</v>
      </c>
      <c r="Q35" s="58" t="s">
        <v>336</v>
      </c>
      <c r="R35" s="27" t="str">
        <f>IFERROR(__xludf.DUMMYFUNCTION("IF(REGEXMATCH(N35, ""PRIORITY: Low""), ""Low"", IF(REGEXMATCH(N35, ""PRIORITY: Medium""), ""Medium"", IF(REGEXMATCH(N35, ""PRIORITY: High""), ""High"", """")))
"),"Low")</f>
        <v>Low</v>
      </c>
      <c r="S35" s="27" t="str">
        <f>IFERROR(__xludf.DUMMYFUNCTION("IF(REGEXMATCH(N35, ""SKILL: Low""), ""Low"", IF(REGEXMATCH(N35, ""SKILL: Medium""), ""Medium"", IF(REGEXMATCH(N35, ""SKILL: High""), ""High"", """")))"),"Low")</f>
        <v>Low</v>
      </c>
      <c r="T35" s="27" t="str">
        <f>IFERROR(__xludf.DUMMYFUNCTION("IF(REGEXMATCH(N35, ""STATUS: Dev Complete - Awaiting QA""), ""Dev Complete - Awaiting QA"", IF(REGEXMATCH(N35, ""STATUS: Follow-Up Required""), ""Follow-Up Required"", IF(REGEXMATCH(N35, ""STATUS: In Progress""), ""In Progress"", IF(REGEXMATCH(N35, ""STAT"&amp;"US: In QA""), ""In QA"", IF(REGEXMATCH(N35, ""STATUS: Needs Customer Feedback""), ""Needs Customer Feedback"", IF(REGEXMATCH(N35, ""STATUS: QA Passed - Awaiting Release""), ""QA Passed - Awaiting Release"", IF(REGEXMATCH(N35, ""STATUS: Release to Prod""),"&amp;" ""Release to Prod"", """")))))))"),"")</f>
        <v/>
      </c>
    </row>
    <row r="36" hidden="1">
      <c r="A36" s="23" t="s">
        <v>82</v>
      </c>
      <c r="B36" s="12" t="s">
        <v>267</v>
      </c>
      <c r="C36" s="54">
        <v>397.0</v>
      </c>
      <c r="D36" s="55" t="s">
        <v>337</v>
      </c>
      <c r="E36" s="56" t="s">
        <v>173</v>
      </c>
      <c r="F36" s="54" t="s">
        <v>338</v>
      </c>
      <c r="G36" s="57" t="str">
        <f t="shared" si="1"/>
        <v>10-Jul-2025</v>
      </c>
      <c r="H36" s="54" t="s">
        <v>109</v>
      </c>
      <c r="I36" s="54" t="s">
        <v>329</v>
      </c>
      <c r="J36" s="27" t="str">
        <f t="shared" si="4"/>
        <v>31-Jul-2025</v>
      </c>
      <c r="K36" s="54" t="s">
        <v>339</v>
      </c>
      <c r="L36" s="27" t="str">
        <f t="shared" si="5"/>
        <v>15-Jul-2025</v>
      </c>
      <c r="M36" s="23" t="s">
        <v>285</v>
      </c>
      <c r="N36" s="23" t="s">
        <v>331</v>
      </c>
      <c r="O36" s="24"/>
      <c r="P36" s="54">
        <v>3.0</v>
      </c>
      <c r="Q36" s="58" t="s">
        <v>340</v>
      </c>
      <c r="R36" s="27" t="str">
        <f>IFERROR(__xludf.DUMMYFUNCTION("IF(REGEXMATCH(N36, ""PRIORITY: Low""), ""Low"", IF(REGEXMATCH(N36, ""PRIORITY: Medium""), ""Medium"", IF(REGEXMATCH(N36, ""PRIORITY: High""), ""High"", """")))
"),"")</f>
        <v/>
      </c>
      <c r="S36" s="27" t="str">
        <f>IFERROR(__xludf.DUMMYFUNCTION("IF(REGEXMATCH(N36, ""SKILL: Low""), ""Low"", IF(REGEXMATCH(N36, ""SKILL: Medium""), ""Medium"", IF(REGEXMATCH(N36, ""SKILL: High""), ""High"", """")))"),"")</f>
        <v/>
      </c>
      <c r="T36" s="27" t="str">
        <f>IFERROR(__xludf.DUMMYFUNCTION("IF(REGEXMATCH(N36, ""STATUS: Dev Complete - Awaiting QA""), ""Dev Complete - Awaiting QA"", IF(REGEXMATCH(N36, ""STATUS: Follow-Up Required""), ""Follow-Up Required"", IF(REGEXMATCH(N36, ""STATUS: In Progress""), ""In Progress"", IF(REGEXMATCH(N36, ""STAT"&amp;"US: In QA""), ""In QA"", IF(REGEXMATCH(N36, ""STATUS: Needs Customer Feedback""), ""Needs Customer Feedback"", IF(REGEXMATCH(N36, ""STATUS: QA Passed - Awaiting Release""), ""QA Passed - Awaiting Release"", IF(REGEXMATCH(N36, ""STATUS: Release to Prod""),"&amp;" ""Release to Prod"", """")))))))"),"Dev Complete - Awaiting QA")</f>
        <v>Dev Complete - Awaiting QA</v>
      </c>
    </row>
    <row r="37" hidden="1">
      <c r="A37" s="23" t="s">
        <v>82</v>
      </c>
      <c r="B37" s="12" t="s">
        <v>267</v>
      </c>
      <c r="C37" s="54">
        <v>396.0</v>
      </c>
      <c r="D37" s="55" t="s">
        <v>341</v>
      </c>
      <c r="E37" s="56" t="s">
        <v>173</v>
      </c>
      <c r="F37" s="54" t="s">
        <v>342</v>
      </c>
      <c r="G37" s="57" t="str">
        <f t="shared" si="1"/>
        <v>10-Jul-2025</v>
      </c>
      <c r="H37" s="54" t="s">
        <v>109</v>
      </c>
      <c r="I37" s="54" t="s">
        <v>343</v>
      </c>
      <c r="J37" s="27" t="str">
        <f t="shared" si="4"/>
        <v>05-Sep-2025</v>
      </c>
      <c r="K37" s="54" t="s">
        <v>343</v>
      </c>
      <c r="L37" s="27" t="str">
        <f t="shared" si="5"/>
        <v>05-Sep-2025</v>
      </c>
      <c r="M37" s="23" t="s">
        <v>285</v>
      </c>
      <c r="N37" s="23" t="s">
        <v>302</v>
      </c>
      <c r="O37" s="23" t="s">
        <v>47</v>
      </c>
      <c r="P37" s="54">
        <v>2.0</v>
      </c>
      <c r="Q37" s="58" t="s">
        <v>344</v>
      </c>
      <c r="R37" s="27" t="str">
        <f>IFERROR(__xludf.DUMMYFUNCTION("IF(REGEXMATCH(N37, ""PRIORITY: Low""), ""Low"", IF(REGEXMATCH(N37, ""PRIORITY: Medium""), ""Medium"", IF(REGEXMATCH(N37, ""PRIORITY: High""), ""High"", """")))
"),"Low")</f>
        <v>Low</v>
      </c>
      <c r="S37" s="27" t="str">
        <f>IFERROR(__xludf.DUMMYFUNCTION("IF(REGEXMATCH(N37, ""SKILL: Low""), ""Low"", IF(REGEXMATCH(N37, ""SKILL: Medium""), ""Medium"", IF(REGEXMATCH(N37, ""SKILL: High""), ""High"", """")))"),"Low")</f>
        <v>Low</v>
      </c>
      <c r="T37" s="27" t="str">
        <f>IFERROR(__xludf.DUMMYFUNCTION("IF(REGEXMATCH(N37, ""STATUS: Dev Complete - Awaiting QA""), ""Dev Complete - Awaiting QA"", IF(REGEXMATCH(N37, ""STATUS: Follow-Up Required""), ""Follow-Up Required"", IF(REGEXMATCH(N37, ""STATUS: In Progress""), ""In Progress"", IF(REGEXMATCH(N37, ""STAT"&amp;"US: In QA""), ""In QA"", IF(REGEXMATCH(N37, ""STATUS: Needs Customer Feedback""), ""Needs Customer Feedback"", IF(REGEXMATCH(N37, ""STATUS: QA Passed - Awaiting Release""), ""QA Passed - Awaiting Release"", IF(REGEXMATCH(N37, ""STATUS: Release to Prod""),"&amp;" ""Release to Prod"", """")))))))"),"")</f>
        <v/>
      </c>
    </row>
    <row r="38" hidden="1">
      <c r="A38" s="23" t="s">
        <v>82</v>
      </c>
      <c r="B38" s="12" t="s">
        <v>267</v>
      </c>
      <c r="C38" s="54">
        <v>395.0</v>
      </c>
      <c r="D38" s="55" t="s">
        <v>345</v>
      </c>
      <c r="E38" s="56" t="s">
        <v>173</v>
      </c>
      <c r="F38" s="54" t="s">
        <v>346</v>
      </c>
      <c r="G38" s="57" t="str">
        <f t="shared" si="1"/>
        <v>10-Jul-2025</v>
      </c>
      <c r="H38" s="54" t="s">
        <v>109</v>
      </c>
      <c r="I38" s="54" t="s">
        <v>347</v>
      </c>
      <c r="J38" s="27" t="str">
        <f t="shared" si="4"/>
        <v>05-Sep-2025</v>
      </c>
      <c r="K38" s="54" t="s">
        <v>347</v>
      </c>
      <c r="L38" s="27" t="str">
        <f t="shared" si="5"/>
        <v>05-Sep-2025</v>
      </c>
      <c r="M38" s="23" t="s">
        <v>285</v>
      </c>
      <c r="N38" s="23" t="s">
        <v>348</v>
      </c>
      <c r="O38" s="23" t="s">
        <v>51</v>
      </c>
      <c r="P38" s="54">
        <v>3.0</v>
      </c>
      <c r="Q38" s="58" t="s">
        <v>349</v>
      </c>
      <c r="R38" s="27" t="str">
        <f>IFERROR(__xludf.DUMMYFUNCTION("IF(REGEXMATCH(N38, ""PRIORITY: Low""), ""Low"", IF(REGEXMATCH(N38, ""PRIORITY: Medium""), ""Medium"", IF(REGEXMATCH(N38, ""PRIORITY: High""), ""High"", """")))
"),"Low")</f>
        <v>Low</v>
      </c>
      <c r="S38" s="27" t="str">
        <f>IFERROR(__xludf.DUMMYFUNCTION("IF(REGEXMATCH(N38, ""SKILL: Low""), ""Low"", IF(REGEXMATCH(N38, ""SKILL: Medium""), ""Medium"", IF(REGEXMATCH(N38, ""SKILL: High""), ""High"", """")))"),"Medium")</f>
        <v>Medium</v>
      </c>
      <c r="T38" s="27" t="str">
        <f>IFERROR(__xludf.DUMMYFUNCTION("IF(REGEXMATCH(N38, ""STATUS: Dev Complete - Awaiting QA""), ""Dev Complete - Awaiting QA"", IF(REGEXMATCH(N38, ""STATUS: Follow-Up Required""), ""Follow-Up Required"", IF(REGEXMATCH(N38, ""STATUS: In Progress""), ""In Progress"", IF(REGEXMATCH(N38, ""STAT"&amp;"US: In QA""), ""In QA"", IF(REGEXMATCH(N38, ""STATUS: Needs Customer Feedback""), ""Needs Customer Feedback"", IF(REGEXMATCH(N38, ""STATUS: QA Passed - Awaiting Release""), ""QA Passed - Awaiting Release"", IF(REGEXMATCH(N38, ""STATUS: Release to Prod""),"&amp;" ""Release to Prod"", """")))))))"),"")</f>
        <v/>
      </c>
    </row>
    <row r="39" hidden="1">
      <c r="A39" s="23" t="s">
        <v>82</v>
      </c>
      <c r="B39" s="12" t="s">
        <v>267</v>
      </c>
      <c r="C39" s="54">
        <v>394.0</v>
      </c>
      <c r="D39" s="55" t="s">
        <v>350</v>
      </c>
      <c r="E39" s="56" t="s">
        <v>173</v>
      </c>
      <c r="F39" s="54" t="s">
        <v>351</v>
      </c>
      <c r="G39" s="57" t="str">
        <f t="shared" si="1"/>
        <v>10-Jul-2025</v>
      </c>
      <c r="H39" s="54" t="s">
        <v>109</v>
      </c>
      <c r="I39" s="54" t="s">
        <v>352</v>
      </c>
      <c r="J39" s="27" t="str">
        <f t="shared" si="4"/>
        <v>05-Sep-2025</v>
      </c>
      <c r="K39" s="54" t="s">
        <v>352</v>
      </c>
      <c r="L39" s="27" t="str">
        <f t="shared" si="5"/>
        <v>05-Sep-2025</v>
      </c>
      <c r="M39" s="23" t="s">
        <v>249</v>
      </c>
      <c r="N39" s="23" t="s">
        <v>250</v>
      </c>
      <c r="O39" s="23" t="s">
        <v>51</v>
      </c>
      <c r="P39" s="54">
        <v>5.0</v>
      </c>
      <c r="Q39" s="58" t="s">
        <v>353</v>
      </c>
      <c r="R39" s="27" t="str">
        <f>IFERROR(__xludf.DUMMYFUNCTION("IF(REGEXMATCH(N39, ""PRIORITY: Low""), ""Low"", IF(REGEXMATCH(N39, ""PRIORITY: Medium""), ""Medium"", IF(REGEXMATCH(N39, ""PRIORITY: High""), ""High"", """")))
"),"Low")</f>
        <v>Low</v>
      </c>
      <c r="S39" s="27" t="str">
        <f>IFERROR(__xludf.DUMMYFUNCTION("IF(REGEXMATCH(N39, ""SKILL: Low""), ""Low"", IF(REGEXMATCH(N39, ""SKILL: Medium""), ""Medium"", IF(REGEXMATCH(N39, ""SKILL: High""), ""High"", """")))"),"Low")</f>
        <v>Low</v>
      </c>
      <c r="T39" s="27" t="str">
        <f>IFERROR(__xludf.DUMMYFUNCTION("IF(REGEXMATCH(N39, ""STATUS: Dev Complete - Awaiting QA""), ""Dev Complete - Awaiting QA"", IF(REGEXMATCH(N39, ""STATUS: Follow-Up Required""), ""Follow-Up Required"", IF(REGEXMATCH(N39, ""STATUS: In Progress""), ""In Progress"", IF(REGEXMATCH(N39, ""STAT"&amp;"US: In QA""), ""In QA"", IF(REGEXMATCH(N39, ""STATUS: Needs Customer Feedback""), ""Needs Customer Feedback"", IF(REGEXMATCH(N39, ""STATUS: QA Passed - Awaiting Release""), ""QA Passed - Awaiting Release"", IF(REGEXMATCH(N39, ""STATUS: Release to Prod""),"&amp;" ""Release to Prod"", """")))))))"),"In Progress")</f>
        <v>In Progress</v>
      </c>
    </row>
    <row r="40" hidden="1">
      <c r="A40" s="23" t="s">
        <v>82</v>
      </c>
      <c r="B40" s="12" t="s">
        <v>267</v>
      </c>
      <c r="C40" s="54">
        <v>393.0</v>
      </c>
      <c r="D40" s="55" t="s">
        <v>354</v>
      </c>
      <c r="E40" s="56" t="s">
        <v>173</v>
      </c>
      <c r="F40" s="54" t="s">
        <v>355</v>
      </c>
      <c r="G40" s="57" t="str">
        <f t="shared" si="1"/>
        <v>09-Jul-2025</v>
      </c>
      <c r="H40" s="54" t="s">
        <v>57</v>
      </c>
      <c r="I40" s="54" t="s">
        <v>356</v>
      </c>
      <c r="J40" s="27" t="str">
        <f t="shared" si="4"/>
        <v>05-Sep-2025</v>
      </c>
      <c r="K40" s="54" t="s">
        <v>356</v>
      </c>
      <c r="L40" s="27" t="str">
        <f t="shared" si="5"/>
        <v>05-Sep-2025</v>
      </c>
      <c r="M40" s="23" t="s">
        <v>249</v>
      </c>
      <c r="N40" s="23" t="s">
        <v>302</v>
      </c>
      <c r="O40" s="23" t="s">
        <v>47</v>
      </c>
      <c r="P40" s="54">
        <v>3.0</v>
      </c>
      <c r="Q40" s="58" t="s">
        <v>357</v>
      </c>
      <c r="R40" s="27" t="str">
        <f>IFERROR(__xludf.DUMMYFUNCTION("IF(REGEXMATCH(N40, ""PRIORITY: Low""), ""Low"", IF(REGEXMATCH(N40, ""PRIORITY: Medium""), ""Medium"", IF(REGEXMATCH(N40, ""PRIORITY: High""), ""High"", """")))
"),"Low")</f>
        <v>Low</v>
      </c>
      <c r="S40" s="27" t="str">
        <f>IFERROR(__xludf.DUMMYFUNCTION("IF(REGEXMATCH(N40, ""SKILL: Low""), ""Low"", IF(REGEXMATCH(N40, ""SKILL: Medium""), ""Medium"", IF(REGEXMATCH(N40, ""SKILL: High""), ""High"", """")))"),"Low")</f>
        <v>Low</v>
      </c>
      <c r="T40" s="27" t="str">
        <f>IFERROR(__xludf.DUMMYFUNCTION("IF(REGEXMATCH(N40, ""STATUS: Dev Complete - Awaiting QA""), ""Dev Complete - Awaiting QA"", IF(REGEXMATCH(N40, ""STATUS: Follow-Up Required""), ""Follow-Up Required"", IF(REGEXMATCH(N40, ""STATUS: In Progress""), ""In Progress"", IF(REGEXMATCH(N40, ""STAT"&amp;"US: In QA""), ""In QA"", IF(REGEXMATCH(N40, ""STATUS: Needs Customer Feedback""), ""Needs Customer Feedback"", IF(REGEXMATCH(N40, ""STATUS: QA Passed - Awaiting Release""), ""QA Passed - Awaiting Release"", IF(REGEXMATCH(N40, ""STATUS: Release to Prod""),"&amp;" ""Release to Prod"", """")))))))"),"")</f>
        <v/>
      </c>
    </row>
    <row r="41" hidden="1">
      <c r="A41" s="23" t="s">
        <v>82</v>
      </c>
      <c r="B41" s="12" t="s">
        <v>267</v>
      </c>
      <c r="C41" s="54">
        <v>392.0</v>
      </c>
      <c r="D41" s="55" t="s">
        <v>358</v>
      </c>
      <c r="E41" s="56" t="s">
        <v>173</v>
      </c>
      <c r="F41" s="54" t="s">
        <v>359</v>
      </c>
      <c r="G41" s="57" t="str">
        <f t="shared" si="1"/>
        <v>09-Jul-2025</v>
      </c>
      <c r="H41" s="54" t="s">
        <v>57</v>
      </c>
      <c r="I41" s="54" t="s">
        <v>360</v>
      </c>
      <c r="J41" s="27" t="str">
        <f t="shared" si="4"/>
        <v>31-Jul-2025</v>
      </c>
      <c r="K41" s="54" t="s">
        <v>360</v>
      </c>
      <c r="L41" s="27" t="str">
        <f t="shared" si="5"/>
        <v>31-Jul-2025</v>
      </c>
      <c r="M41" s="23" t="s">
        <v>249</v>
      </c>
      <c r="N41" s="23" t="s">
        <v>361</v>
      </c>
      <c r="O41" s="23" t="s">
        <v>44</v>
      </c>
      <c r="P41" s="54">
        <v>4.0</v>
      </c>
      <c r="Q41" s="58" t="s">
        <v>362</v>
      </c>
      <c r="R41" s="27" t="str">
        <f>IFERROR(__xludf.DUMMYFUNCTION("IF(REGEXMATCH(N41, ""PRIORITY: Low""), ""Low"", IF(REGEXMATCH(N41, ""PRIORITY: Medium""), ""Medium"", IF(REGEXMATCH(N41, ""PRIORITY: High""), ""High"", """")))
"),"Medium")</f>
        <v>Medium</v>
      </c>
      <c r="S41" s="27" t="str">
        <f>IFERROR(__xludf.DUMMYFUNCTION("IF(REGEXMATCH(N41, ""SKILL: Low""), ""Low"", IF(REGEXMATCH(N41, ""SKILL: Medium""), ""Medium"", IF(REGEXMATCH(N41, ""SKILL: High""), ""High"", """")))"),"Low")</f>
        <v>Low</v>
      </c>
      <c r="T41" s="27" t="str">
        <f>IFERROR(__xludf.DUMMYFUNCTION("IF(REGEXMATCH(N41, ""STATUS: Dev Complete - Awaiting QA""), ""Dev Complete - Awaiting QA"", IF(REGEXMATCH(N41, ""STATUS: Follow-Up Required""), ""Follow-Up Required"", IF(REGEXMATCH(N41, ""STATUS: In Progress""), ""In Progress"", IF(REGEXMATCH(N41, ""STAT"&amp;"US: In QA""), ""In QA"", IF(REGEXMATCH(N41, ""STATUS: Needs Customer Feedback""), ""Needs Customer Feedback"", IF(REGEXMATCH(N41, ""STATUS: QA Passed - Awaiting Release""), ""QA Passed - Awaiting Release"", IF(REGEXMATCH(N41, ""STATUS: Release to Prod""),"&amp;" ""Release to Prod"", """")))))))"),"")</f>
        <v/>
      </c>
    </row>
    <row r="42" hidden="1">
      <c r="A42" s="23" t="s">
        <v>82</v>
      </c>
      <c r="B42" s="12" t="s">
        <v>267</v>
      </c>
      <c r="C42" s="54">
        <v>391.0</v>
      </c>
      <c r="D42" s="55" t="s">
        <v>363</v>
      </c>
      <c r="E42" s="56" t="s">
        <v>173</v>
      </c>
      <c r="F42" s="54" t="s">
        <v>364</v>
      </c>
      <c r="G42" s="57" t="str">
        <f t="shared" si="1"/>
        <v>08-Jul-2025</v>
      </c>
      <c r="H42" s="54" t="s">
        <v>51</v>
      </c>
      <c r="I42" s="54" t="s">
        <v>329</v>
      </c>
      <c r="J42" s="27" t="str">
        <f t="shared" si="4"/>
        <v>31-Jul-2025</v>
      </c>
      <c r="K42" s="54" t="s">
        <v>365</v>
      </c>
      <c r="L42" s="27" t="str">
        <f t="shared" si="5"/>
        <v>11-Jul-2025</v>
      </c>
      <c r="M42" s="23" t="s">
        <v>285</v>
      </c>
      <c r="N42" s="23" t="s">
        <v>177</v>
      </c>
      <c r="O42" s="23" t="s">
        <v>57</v>
      </c>
      <c r="P42" s="54">
        <v>1.0</v>
      </c>
      <c r="Q42" s="58" t="s">
        <v>366</v>
      </c>
      <c r="R42" s="27" t="str">
        <f>IFERROR(__xludf.DUMMYFUNCTION("IF(REGEXMATCH(N42, ""PRIORITY: Low""), ""Low"", IF(REGEXMATCH(N42, ""PRIORITY: Medium""), ""Medium"", IF(REGEXMATCH(N42, ""PRIORITY: High""), ""High"", """")))
"),"")</f>
        <v/>
      </c>
      <c r="S42" s="27" t="str">
        <f>IFERROR(__xludf.DUMMYFUNCTION("IF(REGEXMATCH(N42, ""SKILL: Low""), ""Low"", IF(REGEXMATCH(N42, ""SKILL: Medium""), ""Medium"", IF(REGEXMATCH(N42, ""SKILL: High""), ""High"", """")))"),"")</f>
        <v/>
      </c>
      <c r="T42" s="27" t="str">
        <f>IFERROR(__xludf.DUMMYFUNCTION("IF(REGEXMATCH(N42, ""STATUS: Dev Complete - Awaiting QA""), ""Dev Complete - Awaiting QA"", IF(REGEXMATCH(N42, ""STATUS: Follow-Up Required""), ""Follow-Up Required"", IF(REGEXMATCH(N42, ""STATUS: In Progress""), ""In Progress"", IF(REGEXMATCH(N42, ""STAT"&amp;"US: In QA""), ""In QA"", IF(REGEXMATCH(N42, ""STATUS: Needs Customer Feedback""), ""Needs Customer Feedback"", IF(REGEXMATCH(N42, ""STATUS: QA Passed - Awaiting Release""), ""QA Passed - Awaiting Release"", IF(REGEXMATCH(N42, ""STATUS: Release to Prod""),"&amp;" ""Release to Prod"", """")))))))"),"")</f>
        <v/>
      </c>
    </row>
    <row r="43" hidden="1">
      <c r="A43" s="23" t="s">
        <v>82</v>
      </c>
      <c r="B43" s="12" t="s">
        <v>267</v>
      </c>
      <c r="C43" s="54">
        <v>390.0</v>
      </c>
      <c r="D43" s="55" t="s">
        <v>367</v>
      </c>
      <c r="E43" s="56" t="s">
        <v>173</v>
      </c>
      <c r="F43" s="54" t="s">
        <v>368</v>
      </c>
      <c r="G43" s="57" t="str">
        <f t="shared" si="1"/>
        <v>08-Jul-2025</v>
      </c>
      <c r="H43" s="54" t="s">
        <v>117</v>
      </c>
      <c r="I43" s="54" t="s">
        <v>369</v>
      </c>
      <c r="J43" s="27" t="str">
        <f t="shared" si="4"/>
        <v>31-Jul-2025</v>
      </c>
      <c r="K43" s="54" t="s">
        <v>369</v>
      </c>
      <c r="L43" s="27" t="str">
        <f t="shared" si="5"/>
        <v>31-Jul-2025</v>
      </c>
      <c r="M43" s="23" t="s">
        <v>285</v>
      </c>
      <c r="N43" s="23" t="s">
        <v>370</v>
      </c>
      <c r="O43" s="23" t="s">
        <v>57</v>
      </c>
      <c r="P43" s="54">
        <v>4.0</v>
      </c>
      <c r="Q43" s="58" t="s">
        <v>371</v>
      </c>
      <c r="R43" s="27" t="str">
        <f>IFERROR(__xludf.DUMMYFUNCTION("IF(REGEXMATCH(N43, ""PRIORITY: Low""), ""Low"", IF(REGEXMATCH(N43, ""PRIORITY: Medium""), ""Medium"", IF(REGEXMATCH(N43, ""PRIORITY: High""), ""High"", """")))
"),"")</f>
        <v/>
      </c>
      <c r="S43" s="27" t="str">
        <f>IFERROR(__xludf.DUMMYFUNCTION("IF(REGEXMATCH(N43, ""SKILL: Low""), ""Low"", IF(REGEXMATCH(N43, ""SKILL: Medium""), ""Medium"", IF(REGEXMATCH(N43, ""SKILL: High""), ""High"", """")))"),"Medium")</f>
        <v>Medium</v>
      </c>
      <c r="T43" s="27" t="str">
        <f>IFERROR(__xludf.DUMMYFUNCTION("IF(REGEXMATCH(N43, ""STATUS: Dev Complete - Awaiting QA""), ""Dev Complete - Awaiting QA"", IF(REGEXMATCH(N43, ""STATUS: Follow-Up Required""), ""Follow-Up Required"", IF(REGEXMATCH(N43, ""STATUS: In Progress""), ""In Progress"", IF(REGEXMATCH(N43, ""STAT"&amp;"US: In QA""), ""In QA"", IF(REGEXMATCH(N43, ""STATUS: Needs Customer Feedback""), ""Needs Customer Feedback"", IF(REGEXMATCH(N43, ""STATUS: QA Passed - Awaiting Release""), ""QA Passed - Awaiting Release"", IF(REGEXMATCH(N43, ""STATUS: Release to Prod""),"&amp;" ""Release to Prod"", """")))))))"),"Follow-Up Required")</f>
        <v>Follow-Up Required</v>
      </c>
    </row>
    <row r="44" hidden="1">
      <c r="A44" s="23" t="s">
        <v>82</v>
      </c>
      <c r="B44" s="12" t="s">
        <v>267</v>
      </c>
      <c r="C44" s="54">
        <v>388.0</v>
      </c>
      <c r="D44" s="55" t="s">
        <v>372</v>
      </c>
      <c r="E44" s="56" t="s">
        <v>173</v>
      </c>
      <c r="F44" s="54" t="s">
        <v>373</v>
      </c>
      <c r="G44" s="57" t="str">
        <f t="shared" si="1"/>
        <v>26-Jun-2025</v>
      </c>
      <c r="H44" s="54" t="s">
        <v>374</v>
      </c>
      <c r="I44" s="54" t="s">
        <v>375</v>
      </c>
      <c r="J44" s="27" t="str">
        <f t="shared" si="4"/>
        <v>26-Sep-2025</v>
      </c>
      <c r="K44" s="54" t="s">
        <v>376</v>
      </c>
      <c r="L44" s="27" t="str">
        <f t="shared" si="5"/>
        <v>30-Jun-2025</v>
      </c>
      <c r="M44" s="23" t="s">
        <v>249</v>
      </c>
      <c r="N44" s="23" t="s">
        <v>177</v>
      </c>
      <c r="O44" s="24"/>
      <c r="P44" s="54">
        <v>1.0</v>
      </c>
      <c r="Q44" s="58" t="s">
        <v>377</v>
      </c>
      <c r="R44" s="27" t="str">
        <f>IFERROR(__xludf.DUMMYFUNCTION("IF(REGEXMATCH(N44, ""PRIORITY: Low""), ""Low"", IF(REGEXMATCH(N44, ""PRIORITY: Medium""), ""Medium"", IF(REGEXMATCH(N44, ""PRIORITY: High""), ""High"", """")))
"),"")</f>
        <v/>
      </c>
      <c r="S44" s="27" t="str">
        <f>IFERROR(__xludf.DUMMYFUNCTION("IF(REGEXMATCH(N44, ""SKILL: Low""), ""Low"", IF(REGEXMATCH(N44, ""SKILL: Medium""), ""Medium"", IF(REGEXMATCH(N44, ""SKILL: High""), ""High"", """")))"),"")</f>
        <v/>
      </c>
      <c r="T44" s="27" t="str">
        <f>IFERROR(__xludf.DUMMYFUNCTION("IF(REGEXMATCH(N44, ""STATUS: Dev Complete - Awaiting QA""), ""Dev Complete - Awaiting QA"", IF(REGEXMATCH(N44, ""STATUS: Follow-Up Required""), ""Follow-Up Required"", IF(REGEXMATCH(N44, ""STATUS: In Progress""), ""In Progress"", IF(REGEXMATCH(N44, ""STAT"&amp;"US: In QA""), ""In QA"", IF(REGEXMATCH(N44, ""STATUS: Needs Customer Feedback""), ""Needs Customer Feedback"", IF(REGEXMATCH(N44, ""STATUS: QA Passed - Awaiting Release""), ""QA Passed - Awaiting Release"", IF(REGEXMATCH(N44, ""STATUS: Release to Prod""),"&amp;" ""Release to Prod"", """")))))))"),"")</f>
        <v/>
      </c>
    </row>
    <row r="45" hidden="1">
      <c r="A45" s="23" t="s">
        <v>82</v>
      </c>
      <c r="B45" s="12" t="s">
        <v>267</v>
      </c>
      <c r="C45" s="54">
        <v>387.0</v>
      </c>
      <c r="D45" s="55" t="s">
        <v>378</v>
      </c>
      <c r="E45" s="56" t="s">
        <v>173</v>
      </c>
      <c r="F45" s="54" t="s">
        <v>379</v>
      </c>
      <c r="G45" s="57" t="str">
        <f t="shared" si="1"/>
        <v>26-Jun-2025</v>
      </c>
      <c r="H45" s="54" t="s">
        <v>57</v>
      </c>
      <c r="I45" s="54" t="s">
        <v>380</v>
      </c>
      <c r="J45" s="27" t="str">
        <f t="shared" si="4"/>
        <v>31-Jul-2025</v>
      </c>
      <c r="K45" s="54" t="s">
        <v>381</v>
      </c>
      <c r="L45" s="27" t="str">
        <f t="shared" si="5"/>
        <v>26-Jun-2025</v>
      </c>
      <c r="M45" s="23" t="s">
        <v>249</v>
      </c>
      <c r="N45" s="23" t="s">
        <v>177</v>
      </c>
      <c r="O45" s="24"/>
      <c r="P45" s="54">
        <v>1.0</v>
      </c>
      <c r="Q45" s="58" t="s">
        <v>382</v>
      </c>
      <c r="R45" s="27" t="str">
        <f>IFERROR(__xludf.DUMMYFUNCTION("IF(REGEXMATCH(N45, ""PRIORITY: Low""), ""Low"", IF(REGEXMATCH(N45, ""PRIORITY: Medium""), ""Medium"", IF(REGEXMATCH(N45, ""PRIORITY: High""), ""High"", """")))
"),"")</f>
        <v/>
      </c>
      <c r="S45" s="27" t="str">
        <f>IFERROR(__xludf.DUMMYFUNCTION("IF(REGEXMATCH(N45, ""SKILL: Low""), ""Low"", IF(REGEXMATCH(N45, ""SKILL: Medium""), ""Medium"", IF(REGEXMATCH(N45, ""SKILL: High""), ""High"", """")))"),"")</f>
        <v/>
      </c>
      <c r="T45" s="27" t="str">
        <f>IFERROR(__xludf.DUMMYFUNCTION("IF(REGEXMATCH(N45, ""STATUS: Dev Complete - Awaiting QA""), ""Dev Complete - Awaiting QA"", IF(REGEXMATCH(N45, ""STATUS: Follow-Up Required""), ""Follow-Up Required"", IF(REGEXMATCH(N45, ""STATUS: In Progress""), ""In Progress"", IF(REGEXMATCH(N45, ""STAT"&amp;"US: In QA""), ""In QA"", IF(REGEXMATCH(N45, ""STATUS: Needs Customer Feedback""), ""Needs Customer Feedback"", IF(REGEXMATCH(N45, ""STATUS: QA Passed - Awaiting Release""), ""QA Passed - Awaiting Release"", IF(REGEXMATCH(N45, ""STATUS: Release to Prod""),"&amp;" ""Release to Prod"", """")))))))"),"")</f>
        <v/>
      </c>
    </row>
    <row r="46" hidden="1">
      <c r="A46" s="23" t="s">
        <v>82</v>
      </c>
      <c r="B46" s="12" t="s">
        <v>267</v>
      </c>
      <c r="C46" s="54">
        <v>386.0</v>
      </c>
      <c r="D46" s="55" t="s">
        <v>383</v>
      </c>
      <c r="E46" s="56" t="s">
        <v>173</v>
      </c>
      <c r="F46" s="54" t="s">
        <v>384</v>
      </c>
      <c r="G46" s="57" t="str">
        <f t="shared" si="1"/>
        <v>26-Jun-2025</v>
      </c>
      <c r="H46" s="54" t="s">
        <v>57</v>
      </c>
      <c r="I46" s="54" t="s">
        <v>375</v>
      </c>
      <c r="J46" s="27" t="str">
        <f t="shared" si="4"/>
        <v>26-Sep-2025</v>
      </c>
      <c r="K46" s="54" t="s">
        <v>385</v>
      </c>
      <c r="L46" s="27" t="str">
        <f t="shared" si="5"/>
        <v>26-Jun-2025</v>
      </c>
      <c r="M46" s="23" t="s">
        <v>285</v>
      </c>
      <c r="N46" s="23" t="s">
        <v>177</v>
      </c>
      <c r="O46" s="24"/>
      <c r="P46" s="54">
        <v>1.0</v>
      </c>
      <c r="Q46" s="58" t="s">
        <v>386</v>
      </c>
      <c r="R46" s="27" t="str">
        <f>IFERROR(__xludf.DUMMYFUNCTION("IF(REGEXMATCH(N46, ""PRIORITY: Low""), ""Low"", IF(REGEXMATCH(N46, ""PRIORITY: Medium""), ""Medium"", IF(REGEXMATCH(N46, ""PRIORITY: High""), ""High"", """")))
"),"")</f>
        <v/>
      </c>
      <c r="S46" s="27" t="str">
        <f>IFERROR(__xludf.DUMMYFUNCTION("IF(REGEXMATCH(N46, ""SKILL: Low""), ""Low"", IF(REGEXMATCH(N46, ""SKILL: Medium""), ""Medium"", IF(REGEXMATCH(N46, ""SKILL: High""), ""High"", """")))"),"")</f>
        <v/>
      </c>
      <c r="T46" s="27" t="str">
        <f>IFERROR(__xludf.DUMMYFUNCTION("IF(REGEXMATCH(N46, ""STATUS: Dev Complete - Awaiting QA""), ""Dev Complete - Awaiting QA"", IF(REGEXMATCH(N46, ""STATUS: Follow-Up Required""), ""Follow-Up Required"", IF(REGEXMATCH(N46, ""STATUS: In Progress""), ""In Progress"", IF(REGEXMATCH(N46, ""STAT"&amp;"US: In QA""), ""In QA"", IF(REGEXMATCH(N46, ""STATUS: Needs Customer Feedback""), ""Needs Customer Feedback"", IF(REGEXMATCH(N46, ""STATUS: QA Passed - Awaiting Release""), ""QA Passed - Awaiting Release"", IF(REGEXMATCH(N46, ""STATUS: Release to Prod""),"&amp;" ""Release to Prod"", """")))))))"),"")</f>
        <v/>
      </c>
    </row>
    <row r="47" hidden="1">
      <c r="A47" s="23" t="s">
        <v>82</v>
      </c>
      <c r="B47" s="12" t="s">
        <v>267</v>
      </c>
      <c r="C47" s="54">
        <v>385.0</v>
      </c>
      <c r="D47" s="55" t="s">
        <v>387</v>
      </c>
      <c r="E47" s="56" t="s">
        <v>173</v>
      </c>
      <c r="F47" s="54" t="s">
        <v>388</v>
      </c>
      <c r="G47" s="57" t="str">
        <f t="shared" si="1"/>
        <v>25-Jun-2025</v>
      </c>
      <c r="H47" s="54" t="s">
        <v>57</v>
      </c>
      <c r="I47" s="54" t="s">
        <v>389</v>
      </c>
      <c r="J47" s="27" t="str">
        <f t="shared" si="4"/>
        <v>11-Jul-2025</v>
      </c>
      <c r="K47" s="54" t="s">
        <v>390</v>
      </c>
      <c r="L47" s="27" t="str">
        <f t="shared" si="5"/>
        <v>25-Jun-2025</v>
      </c>
      <c r="M47" s="23" t="s">
        <v>249</v>
      </c>
      <c r="N47" s="23" t="s">
        <v>177</v>
      </c>
      <c r="O47" s="24"/>
      <c r="P47" s="54">
        <v>0.0</v>
      </c>
      <c r="Q47" s="58" t="s">
        <v>391</v>
      </c>
      <c r="R47" s="27" t="str">
        <f>IFERROR(__xludf.DUMMYFUNCTION("IF(REGEXMATCH(N47, ""PRIORITY: Low""), ""Low"", IF(REGEXMATCH(N47, ""PRIORITY: Medium""), ""Medium"", IF(REGEXMATCH(N47, ""PRIORITY: High""), ""High"", """")))
"),"")</f>
        <v/>
      </c>
      <c r="S47" s="27" t="str">
        <f>IFERROR(__xludf.DUMMYFUNCTION("IF(REGEXMATCH(N47, ""SKILL: Low""), ""Low"", IF(REGEXMATCH(N47, ""SKILL: Medium""), ""Medium"", IF(REGEXMATCH(N47, ""SKILL: High""), ""High"", """")))"),"")</f>
        <v/>
      </c>
      <c r="T47" s="27" t="str">
        <f>IFERROR(__xludf.DUMMYFUNCTION("IF(REGEXMATCH(N47, ""STATUS: Dev Complete - Awaiting QA""), ""Dev Complete - Awaiting QA"", IF(REGEXMATCH(N47, ""STATUS: Follow-Up Required""), ""Follow-Up Required"", IF(REGEXMATCH(N47, ""STATUS: In Progress""), ""In Progress"", IF(REGEXMATCH(N47, ""STAT"&amp;"US: In QA""), ""In QA"", IF(REGEXMATCH(N47, ""STATUS: Needs Customer Feedback""), ""Needs Customer Feedback"", IF(REGEXMATCH(N47, ""STATUS: QA Passed - Awaiting Release""), ""QA Passed - Awaiting Release"", IF(REGEXMATCH(N47, ""STATUS: Release to Prod""),"&amp;" ""Release to Prod"", """")))))))"),"")</f>
        <v/>
      </c>
    </row>
    <row r="48" hidden="1">
      <c r="A48" s="23" t="s">
        <v>82</v>
      </c>
      <c r="B48" s="12" t="s">
        <v>267</v>
      </c>
      <c r="C48" s="54">
        <v>384.0</v>
      </c>
      <c r="D48" s="55" t="s">
        <v>392</v>
      </c>
      <c r="E48" s="56" t="s">
        <v>173</v>
      </c>
      <c r="F48" s="54" t="s">
        <v>393</v>
      </c>
      <c r="G48" s="57" t="str">
        <f t="shared" si="1"/>
        <v>25-Jun-2025</v>
      </c>
      <c r="H48" s="54" t="s">
        <v>109</v>
      </c>
      <c r="I48" s="54" t="s">
        <v>394</v>
      </c>
      <c r="J48" s="27" t="str">
        <f t="shared" si="4"/>
        <v>26-Sep-2025</v>
      </c>
      <c r="K48" s="54" t="s">
        <v>395</v>
      </c>
      <c r="L48" s="27" t="str">
        <f t="shared" si="5"/>
        <v>26-Jun-2025</v>
      </c>
      <c r="M48" s="23" t="s">
        <v>249</v>
      </c>
      <c r="N48" s="23" t="s">
        <v>177</v>
      </c>
      <c r="O48" s="24"/>
      <c r="P48" s="54">
        <v>1.0</v>
      </c>
      <c r="Q48" s="58" t="s">
        <v>396</v>
      </c>
      <c r="R48" s="27" t="str">
        <f>IFERROR(__xludf.DUMMYFUNCTION("IF(REGEXMATCH(N48, ""PRIORITY: Low""), ""Low"", IF(REGEXMATCH(N48, ""PRIORITY: Medium""), ""Medium"", IF(REGEXMATCH(N48, ""PRIORITY: High""), ""High"", """")))
"),"")</f>
        <v/>
      </c>
      <c r="S48" s="27" t="str">
        <f>IFERROR(__xludf.DUMMYFUNCTION("IF(REGEXMATCH(N48, ""SKILL: Low""), ""Low"", IF(REGEXMATCH(N48, ""SKILL: Medium""), ""Medium"", IF(REGEXMATCH(N48, ""SKILL: High""), ""High"", """")))"),"")</f>
        <v/>
      </c>
      <c r="T48" s="27" t="str">
        <f>IFERROR(__xludf.DUMMYFUNCTION("IF(REGEXMATCH(N48, ""STATUS: Dev Complete - Awaiting QA""), ""Dev Complete - Awaiting QA"", IF(REGEXMATCH(N48, ""STATUS: Follow-Up Required""), ""Follow-Up Required"", IF(REGEXMATCH(N48, ""STATUS: In Progress""), ""In Progress"", IF(REGEXMATCH(N48, ""STAT"&amp;"US: In QA""), ""In QA"", IF(REGEXMATCH(N48, ""STATUS: Needs Customer Feedback""), ""Needs Customer Feedback"", IF(REGEXMATCH(N48, ""STATUS: QA Passed - Awaiting Release""), ""QA Passed - Awaiting Release"", IF(REGEXMATCH(N48, ""STATUS: Release to Prod""),"&amp;" ""Release to Prod"", """")))))))"),"")</f>
        <v/>
      </c>
    </row>
    <row r="49" hidden="1">
      <c r="A49" s="23" t="s">
        <v>82</v>
      </c>
      <c r="B49" s="12" t="s">
        <v>267</v>
      </c>
      <c r="C49" s="54">
        <v>383.0</v>
      </c>
      <c r="D49" s="55" t="s">
        <v>397</v>
      </c>
      <c r="E49" s="56" t="s">
        <v>173</v>
      </c>
      <c r="F49" s="54" t="s">
        <v>398</v>
      </c>
      <c r="G49" s="57" t="str">
        <f t="shared" si="1"/>
        <v>25-Jun-2025</v>
      </c>
      <c r="H49" s="54" t="s">
        <v>109</v>
      </c>
      <c r="I49" s="54" t="s">
        <v>394</v>
      </c>
      <c r="J49" s="27" t="str">
        <f t="shared" si="4"/>
        <v>26-Sep-2025</v>
      </c>
      <c r="K49" s="54" t="s">
        <v>399</v>
      </c>
      <c r="L49" s="27" t="str">
        <f t="shared" si="5"/>
        <v>26-Jun-2025</v>
      </c>
      <c r="M49" s="23" t="s">
        <v>249</v>
      </c>
      <c r="N49" s="23" t="s">
        <v>177</v>
      </c>
      <c r="O49" s="24"/>
      <c r="P49" s="54">
        <v>1.0</v>
      </c>
      <c r="Q49" s="58" t="s">
        <v>400</v>
      </c>
      <c r="R49" s="27" t="str">
        <f>IFERROR(__xludf.DUMMYFUNCTION("IF(REGEXMATCH(N49, ""PRIORITY: Low""), ""Low"", IF(REGEXMATCH(N49, ""PRIORITY: Medium""), ""Medium"", IF(REGEXMATCH(N49, ""PRIORITY: High""), ""High"", """")))
"),"")</f>
        <v/>
      </c>
      <c r="S49" s="27" t="str">
        <f>IFERROR(__xludf.DUMMYFUNCTION("IF(REGEXMATCH(N49, ""SKILL: Low""), ""Low"", IF(REGEXMATCH(N49, ""SKILL: Medium""), ""Medium"", IF(REGEXMATCH(N49, ""SKILL: High""), ""High"", """")))"),"")</f>
        <v/>
      </c>
      <c r="T49" s="27" t="str">
        <f>IFERROR(__xludf.DUMMYFUNCTION("IF(REGEXMATCH(N49, ""STATUS: Dev Complete - Awaiting QA""), ""Dev Complete - Awaiting QA"", IF(REGEXMATCH(N49, ""STATUS: Follow-Up Required""), ""Follow-Up Required"", IF(REGEXMATCH(N49, ""STATUS: In Progress""), ""In Progress"", IF(REGEXMATCH(N49, ""STAT"&amp;"US: In QA""), ""In QA"", IF(REGEXMATCH(N49, ""STATUS: Needs Customer Feedback""), ""Needs Customer Feedback"", IF(REGEXMATCH(N49, ""STATUS: QA Passed - Awaiting Release""), ""QA Passed - Awaiting Release"", IF(REGEXMATCH(N49, ""STATUS: Release to Prod""),"&amp;" ""Release to Prod"", """")))))))"),"")</f>
        <v/>
      </c>
    </row>
    <row r="50" hidden="1">
      <c r="A50" s="23" t="s">
        <v>82</v>
      </c>
      <c r="B50" s="12" t="s">
        <v>267</v>
      </c>
      <c r="C50" s="54">
        <v>382.0</v>
      </c>
      <c r="D50" s="55" t="s">
        <v>401</v>
      </c>
      <c r="E50" s="56" t="s">
        <v>173</v>
      </c>
      <c r="F50" s="54" t="s">
        <v>402</v>
      </c>
      <c r="G50" s="57" t="str">
        <f t="shared" si="1"/>
        <v>25-Jun-2025</v>
      </c>
      <c r="H50" s="54" t="s">
        <v>109</v>
      </c>
      <c r="I50" s="54" t="s">
        <v>403</v>
      </c>
      <c r="J50" s="27" t="str">
        <f t="shared" si="4"/>
        <v>05-Sep-2025</v>
      </c>
      <c r="K50" s="54" t="s">
        <v>403</v>
      </c>
      <c r="L50" s="27" t="str">
        <f t="shared" si="5"/>
        <v>05-Sep-2025</v>
      </c>
      <c r="M50" s="23" t="s">
        <v>249</v>
      </c>
      <c r="N50" s="23" t="s">
        <v>292</v>
      </c>
      <c r="O50" s="23" t="s">
        <v>51</v>
      </c>
      <c r="P50" s="54">
        <v>2.0</v>
      </c>
      <c r="Q50" s="58" t="s">
        <v>404</v>
      </c>
      <c r="R50" s="27" t="str">
        <f>IFERROR(__xludf.DUMMYFUNCTION("IF(REGEXMATCH(N50, ""PRIORITY: Low""), ""Low"", IF(REGEXMATCH(N50, ""PRIORITY: Medium""), ""Medium"", IF(REGEXMATCH(N50, ""PRIORITY: High""), ""High"", """")))
"),"Low")</f>
        <v>Low</v>
      </c>
      <c r="S50" s="27" t="str">
        <f>IFERROR(__xludf.DUMMYFUNCTION("IF(REGEXMATCH(N50, ""SKILL: Low""), ""Low"", IF(REGEXMATCH(N50, ""SKILL: Medium""), ""Medium"", IF(REGEXMATCH(N50, ""SKILL: High""), ""High"", """")))"),"Low")</f>
        <v>Low</v>
      </c>
      <c r="T50" s="27" t="str">
        <f>IFERROR(__xludf.DUMMYFUNCTION("IF(REGEXMATCH(N50, ""STATUS: Dev Complete - Awaiting QA""), ""Dev Complete - Awaiting QA"", IF(REGEXMATCH(N50, ""STATUS: Follow-Up Required""), ""Follow-Up Required"", IF(REGEXMATCH(N50, ""STATUS: In Progress""), ""In Progress"", IF(REGEXMATCH(N50, ""STAT"&amp;"US: In QA""), ""In QA"", IF(REGEXMATCH(N50, ""STATUS: Needs Customer Feedback""), ""Needs Customer Feedback"", IF(REGEXMATCH(N50, ""STATUS: QA Passed - Awaiting Release""), ""QA Passed - Awaiting Release"", IF(REGEXMATCH(N50, ""STATUS: Release to Prod""),"&amp;" ""Release to Prod"", """")))))))"),"")</f>
        <v/>
      </c>
    </row>
    <row r="51" hidden="1">
      <c r="A51" s="23" t="s">
        <v>82</v>
      </c>
      <c r="B51" s="12" t="s">
        <v>267</v>
      </c>
      <c r="C51" s="54">
        <v>381.0</v>
      </c>
      <c r="D51" s="55" t="s">
        <v>405</v>
      </c>
      <c r="E51" s="56" t="s">
        <v>173</v>
      </c>
      <c r="F51" s="54" t="s">
        <v>406</v>
      </c>
      <c r="G51" s="57" t="str">
        <f t="shared" si="1"/>
        <v>25-Jun-2025</v>
      </c>
      <c r="H51" s="54" t="s">
        <v>109</v>
      </c>
      <c r="I51" s="54" t="s">
        <v>407</v>
      </c>
      <c r="J51" s="27" t="str">
        <f t="shared" si="4"/>
        <v>26-Sep-2025</v>
      </c>
      <c r="K51" s="54" t="s">
        <v>408</v>
      </c>
      <c r="L51" s="27" t="str">
        <f t="shared" si="5"/>
        <v>25-Jun-2025</v>
      </c>
      <c r="M51" s="23" t="s">
        <v>291</v>
      </c>
      <c r="N51" s="23" t="s">
        <v>177</v>
      </c>
      <c r="O51" s="24"/>
      <c r="P51" s="54">
        <v>0.0</v>
      </c>
      <c r="Q51" s="58" t="s">
        <v>409</v>
      </c>
      <c r="R51" s="27" t="str">
        <f>IFERROR(__xludf.DUMMYFUNCTION("IF(REGEXMATCH(N51, ""PRIORITY: Low""), ""Low"", IF(REGEXMATCH(N51, ""PRIORITY: Medium""), ""Medium"", IF(REGEXMATCH(N51, ""PRIORITY: High""), ""High"", """")))
"),"")</f>
        <v/>
      </c>
      <c r="S51" s="27" t="str">
        <f>IFERROR(__xludf.DUMMYFUNCTION("IF(REGEXMATCH(N51, ""SKILL: Low""), ""Low"", IF(REGEXMATCH(N51, ""SKILL: Medium""), ""Medium"", IF(REGEXMATCH(N51, ""SKILL: High""), ""High"", """")))"),"")</f>
        <v/>
      </c>
      <c r="T51" s="27" t="str">
        <f>IFERROR(__xludf.DUMMYFUNCTION("IF(REGEXMATCH(N51, ""STATUS: Dev Complete - Awaiting QA""), ""Dev Complete - Awaiting QA"", IF(REGEXMATCH(N51, ""STATUS: Follow-Up Required""), ""Follow-Up Required"", IF(REGEXMATCH(N51, ""STATUS: In Progress""), ""In Progress"", IF(REGEXMATCH(N51, ""STAT"&amp;"US: In QA""), ""In QA"", IF(REGEXMATCH(N51, ""STATUS: Needs Customer Feedback""), ""Needs Customer Feedback"", IF(REGEXMATCH(N51, ""STATUS: QA Passed - Awaiting Release""), ""QA Passed - Awaiting Release"", IF(REGEXMATCH(N51, ""STATUS: Release to Prod""),"&amp;" ""Release to Prod"", """")))))))"),"")</f>
        <v/>
      </c>
    </row>
    <row r="52" hidden="1">
      <c r="A52" s="23" t="s">
        <v>82</v>
      </c>
      <c r="B52" s="12" t="s">
        <v>267</v>
      </c>
      <c r="C52" s="54">
        <v>380.0</v>
      </c>
      <c r="D52" s="55" t="s">
        <v>410</v>
      </c>
      <c r="E52" s="56" t="s">
        <v>173</v>
      </c>
      <c r="F52" s="54" t="s">
        <v>411</v>
      </c>
      <c r="G52" s="57" t="str">
        <f t="shared" si="1"/>
        <v>25-Jun-2025</v>
      </c>
      <c r="H52" s="54" t="s">
        <v>109</v>
      </c>
      <c r="I52" s="54" t="s">
        <v>412</v>
      </c>
      <c r="J52" s="27" t="str">
        <f t="shared" si="4"/>
        <v>05-Sep-2025</v>
      </c>
      <c r="K52" s="54" t="s">
        <v>412</v>
      </c>
      <c r="L52" s="27" t="str">
        <f t="shared" si="5"/>
        <v>05-Sep-2025</v>
      </c>
      <c r="M52" s="23" t="s">
        <v>249</v>
      </c>
      <c r="N52" s="23" t="s">
        <v>292</v>
      </c>
      <c r="O52" s="23" t="s">
        <v>51</v>
      </c>
      <c r="P52" s="54">
        <v>2.0</v>
      </c>
      <c r="Q52" s="58" t="s">
        <v>413</v>
      </c>
      <c r="R52" s="27" t="str">
        <f>IFERROR(__xludf.DUMMYFUNCTION("IF(REGEXMATCH(N52, ""PRIORITY: Low""), ""Low"", IF(REGEXMATCH(N52, ""PRIORITY: Medium""), ""Medium"", IF(REGEXMATCH(N52, ""PRIORITY: High""), ""High"", """")))
"),"Low")</f>
        <v>Low</v>
      </c>
      <c r="S52" s="27" t="str">
        <f>IFERROR(__xludf.DUMMYFUNCTION("IF(REGEXMATCH(N52, ""SKILL: Low""), ""Low"", IF(REGEXMATCH(N52, ""SKILL: Medium""), ""Medium"", IF(REGEXMATCH(N52, ""SKILL: High""), ""High"", """")))"),"Low")</f>
        <v>Low</v>
      </c>
      <c r="T52" s="27" t="str">
        <f>IFERROR(__xludf.DUMMYFUNCTION("IF(REGEXMATCH(N52, ""STATUS: Dev Complete - Awaiting QA""), ""Dev Complete - Awaiting QA"", IF(REGEXMATCH(N52, ""STATUS: Follow-Up Required""), ""Follow-Up Required"", IF(REGEXMATCH(N52, ""STATUS: In Progress""), ""In Progress"", IF(REGEXMATCH(N52, ""STAT"&amp;"US: In QA""), ""In QA"", IF(REGEXMATCH(N52, ""STATUS: Needs Customer Feedback""), ""Needs Customer Feedback"", IF(REGEXMATCH(N52, ""STATUS: QA Passed - Awaiting Release""), ""QA Passed - Awaiting Release"", IF(REGEXMATCH(N52, ""STATUS: Release to Prod""),"&amp;" ""Release to Prod"", """")))))))"),"")</f>
        <v/>
      </c>
    </row>
    <row r="53" hidden="1">
      <c r="A53" s="23" t="s">
        <v>82</v>
      </c>
      <c r="B53" s="12" t="s">
        <v>267</v>
      </c>
      <c r="C53" s="54">
        <v>379.0</v>
      </c>
      <c r="D53" s="55" t="s">
        <v>414</v>
      </c>
      <c r="E53" s="56" t="s">
        <v>173</v>
      </c>
      <c r="F53" s="54" t="s">
        <v>415</v>
      </c>
      <c r="G53" s="57" t="str">
        <f t="shared" si="1"/>
        <v>25-Jun-2025</v>
      </c>
      <c r="H53" s="54" t="s">
        <v>109</v>
      </c>
      <c r="I53" s="54" t="s">
        <v>407</v>
      </c>
      <c r="J53" s="27" t="str">
        <f t="shared" si="4"/>
        <v>26-Sep-2025</v>
      </c>
      <c r="K53" s="54" t="s">
        <v>416</v>
      </c>
      <c r="L53" s="27" t="str">
        <f t="shared" si="5"/>
        <v>14-Jul-2025</v>
      </c>
      <c r="M53" s="23" t="s">
        <v>249</v>
      </c>
      <c r="N53" s="23" t="s">
        <v>417</v>
      </c>
      <c r="O53" s="24"/>
      <c r="P53" s="54">
        <v>1.0</v>
      </c>
      <c r="Q53" s="58" t="s">
        <v>418</v>
      </c>
      <c r="R53" s="27" t="str">
        <f>IFERROR(__xludf.DUMMYFUNCTION("IF(REGEXMATCH(N53, ""PRIORITY: Low""), ""Low"", IF(REGEXMATCH(N53, ""PRIORITY: Medium""), ""Medium"", IF(REGEXMATCH(N53, ""PRIORITY: High""), ""High"", """")))
"),"Low")</f>
        <v>Low</v>
      </c>
      <c r="S53" s="27" t="str">
        <f>IFERROR(__xludf.DUMMYFUNCTION("IF(REGEXMATCH(N53, ""SKILL: Low""), ""Low"", IF(REGEXMATCH(N53, ""SKILL: Medium""), ""Medium"", IF(REGEXMATCH(N53, ""SKILL: High""), ""High"", """")))"),"")</f>
        <v/>
      </c>
      <c r="T53" s="27" t="str">
        <f>IFERROR(__xludf.DUMMYFUNCTION("IF(REGEXMATCH(N53, ""STATUS: Dev Complete - Awaiting QA""), ""Dev Complete - Awaiting QA"", IF(REGEXMATCH(N53, ""STATUS: Follow-Up Required""), ""Follow-Up Required"", IF(REGEXMATCH(N53, ""STATUS: In Progress""), ""In Progress"", IF(REGEXMATCH(N53, ""STAT"&amp;"US: In QA""), ""In QA"", IF(REGEXMATCH(N53, ""STATUS: Needs Customer Feedback""), ""Needs Customer Feedback"", IF(REGEXMATCH(N53, ""STATUS: QA Passed - Awaiting Release""), ""QA Passed - Awaiting Release"", IF(REGEXMATCH(N53, ""STATUS: Release to Prod""),"&amp;" ""Release to Prod"", """")))))))"),"")</f>
        <v/>
      </c>
    </row>
    <row r="54" hidden="1">
      <c r="A54" s="23" t="s">
        <v>82</v>
      </c>
      <c r="B54" s="12" t="s">
        <v>267</v>
      </c>
      <c r="C54" s="54">
        <v>378.0</v>
      </c>
      <c r="D54" s="55" t="s">
        <v>419</v>
      </c>
      <c r="E54" s="56" t="s">
        <v>173</v>
      </c>
      <c r="F54" s="54" t="s">
        <v>420</v>
      </c>
      <c r="G54" s="57" t="str">
        <f t="shared" si="1"/>
        <v>25-Jun-2025</v>
      </c>
      <c r="H54" s="54" t="s">
        <v>109</v>
      </c>
      <c r="I54" s="54" t="s">
        <v>407</v>
      </c>
      <c r="J54" s="27" t="str">
        <f t="shared" si="4"/>
        <v>26-Sep-2025</v>
      </c>
      <c r="K54" s="54" t="s">
        <v>421</v>
      </c>
      <c r="L54" s="27" t="str">
        <f t="shared" si="5"/>
        <v>25-Jun-2025</v>
      </c>
      <c r="M54" s="23" t="s">
        <v>291</v>
      </c>
      <c r="N54" s="23" t="s">
        <v>177</v>
      </c>
      <c r="O54" s="24"/>
      <c r="P54" s="54">
        <v>0.0</v>
      </c>
      <c r="Q54" s="58" t="s">
        <v>422</v>
      </c>
      <c r="R54" s="27" t="str">
        <f>IFERROR(__xludf.DUMMYFUNCTION("IF(REGEXMATCH(N54, ""PRIORITY: Low""), ""Low"", IF(REGEXMATCH(N54, ""PRIORITY: Medium""), ""Medium"", IF(REGEXMATCH(N54, ""PRIORITY: High""), ""High"", """")))
"),"")</f>
        <v/>
      </c>
      <c r="S54" s="27" t="str">
        <f>IFERROR(__xludf.DUMMYFUNCTION("IF(REGEXMATCH(N54, ""SKILL: Low""), ""Low"", IF(REGEXMATCH(N54, ""SKILL: Medium""), ""Medium"", IF(REGEXMATCH(N54, ""SKILL: High""), ""High"", """")))"),"")</f>
        <v/>
      </c>
      <c r="T54" s="27" t="str">
        <f>IFERROR(__xludf.DUMMYFUNCTION("IF(REGEXMATCH(N54, ""STATUS: Dev Complete - Awaiting QA""), ""Dev Complete - Awaiting QA"", IF(REGEXMATCH(N54, ""STATUS: Follow-Up Required""), ""Follow-Up Required"", IF(REGEXMATCH(N54, ""STATUS: In Progress""), ""In Progress"", IF(REGEXMATCH(N54, ""STAT"&amp;"US: In QA""), ""In QA"", IF(REGEXMATCH(N54, ""STATUS: Needs Customer Feedback""), ""Needs Customer Feedback"", IF(REGEXMATCH(N54, ""STATUS: QA Passed - Awaiting Release""), ""QA Passed - Awaiting Release"", IF(REGEXMATCH(N54, ""STATUS: Release to Prod""),"&amp;" ""Release to Prod"", """")))))))"),"")</f>
        <v/>
      </c>
    </row>
    <row r="55" hidden="1">
      <c r="A55" s="23" t="s">
        <v>82</v>
      </c>
      <c r="B55" s="12" t="s">
        <v>267</v>
      </c>
      <c r="C55" s="54">
        <v>377.0</v>
      </c>
      <c r="D55" s="55" t="s">
        <v>423</v>
      </c>
      <c r="E55" s="56" t="s">
        <v>173</v>
      </c>
      <c r="F55" s="54" t="s">
        <v>424</v>
      </c>
      <c r="G55" s="57" t="str">
        <f t="shared" si="1"/>
        <v>25-Jun-2025</v>
      </c>
      <c r="H55" s="54" t="s">
        <v>109</v>
      </c>
      <c r="I55" s="54" t="s">
        <v>425</v>
      </c>
      <c r="J55" s="27" t="str">
        <f t="shared" si="4"/>
        <v>26-Sep-2025</v>
      </c>
      <c r="K55" s="54" t="s">
        <v>426</v>
      </c>
      <c r="L55" s="27" t="str">
        <f t="shared" si="5"/>
        <v>26-Jun-2025</v>
      </c>
      <c r="M55" s="23" t="s">
        <v>249</v>
      </c>
      <c r="N55" s="23" t="s">
        <v>177</v>
      </c>
      <c r="O55" s="24"/>
      <c r="P55" s="54">
        <v>1.0</v>
      </c>
      <c r="Q55" s="58" t="s">
        <v>427</v>
      </c>
      <c r="R55" s="27" t="str">
        <f>IFERROR(__xludf.DUMMYFUNCTION("IF(REGEXMATCH(N55, ""PRIORITY: Low""), ""Low"", IF(REGEXMATCH(N55, ""PRIORITY: Medium""), ""Medium"", IF(REGEXMATCH(N55, ""PRIORITY: High""), ""High"", """")))
"),"")</f>
        <v/>
      </c>
      <c r="S55" s="27" t="str">
        <f>IFERROR(__xludf.DUMMYFUNCTION("IF(REGEXMATCH(N55, ""SKILL: Low""), ""Low"", IF(REGEXMATCH(N55, ""SKILL: Medium""), ""Medium"", IF(REGEXMATCH(N55, ""SKILL: High""), ""High"", """")))"),"")</f>
        <v/>
      </c>
      <c r="T55" s="27" t="str">
        <f>IFERROR(__xludf.DUMMYFUNCTION("IF(REGEXMATCH(N55, ""STATUS: Dev Complete - Awaiting QA""), ""Dev Complete - Awaiting QA"", IF(REGEXMATCH(N55, ""STATUS: Follow-Up Required""), ""Follow-Up Required"", IF(REGEXMATCH(N55, ""STATUS: In Progress""), ""In Progress"", IF(REGEXMATCH(N55, ""STAT"&amp;"US: In QA""), ""In QA"", IF(REGEXMATCH(N55, ""STATUS: Needs Customer Feedback""), ""Needs Customer Feedback"", IF(REGEXMATCH(N55, ""STATUS: QA Passed - Awaiting Release""), ""QA Passed - Awaiting Release"", IF(REGEXMATCH(N55, ""STATUS: Release to Prod""),"&amp;" ""Release to Prod"", """")))))))"),"")</f>
        <v/>
      </c>
    </row>
    <row r="56" hidden="1">
      <c r="A56" s="23" t="s">
        <v>82</v>
      </c>
      <c r="B56" s="12" t="s">
        <v>267</v>
      </c>
      <c r="C56" s="54">
        <v>376.0</v>
      </c>
      <c r="D56" s="55" t="s">
        <v>428</v>
      </c>
      <c r="E56" s="56" t="s">
        <v>173</v>
      </c>
      <c r="F56" s="54" t="s">
        <v>429</v>
      </c>
      <c r="G56" s="57" t="str">
        <f t="shared" si="1"/>
        <v>25-Jun-2025</v>
      </c>
      <c r="H56" s="54" t="s">
        <v>109</v>
      </c>
      <c r="I56" s="54" t="s">
        <v>430</v>
      </c>
      <c r="J56" s="27" t="str">
        <f t="shared" si="4"/>
        <v>18-Aug-2025</v>
      </c>
      <c r="K56" s="54" t="s">
        <v>430</v>
      </c>
      <c r="L56" s="27" t="str">
        <f t="shared" si="5"/>
        <v>18-Aug-2025</v>
      </c>
      <c r="M56" s="23" t="s">
        <v>249</v>
      </c>
      <c r="N56" s="23" t="s">
        <v>361</v>
      </c>
      <c r="O56" s="23" t="s">
        <v>47</v>
      </c>
      <c r="P56" s="54">
        <v>10.0</v>
      </c>
      <c r="Q56" s="58" t="s">
        <v>431</v>
      </c>
      <c r="R56" s="27" t="str">
        <f>IFERROR(__xludf.DUMMYFUNCTION("IF(REGEXMATCH(N56, ""PRIORITY: Low""), ""Low"", IF(REGEXMATCH(N56, ""PRIORITY: Medium""), ""Medium"", IF(REGEXMATCH(N56, ""PRIORITY: High""), ""High"", """")))
"),"Medium")</f>
        <v>Medium</v>
      </c>
      <c r="S56" s="27" t="str">
        <f>IFERROR(__xludf.DUMMYFUNCTION("IF(REGEXMATCH(N56, ""SKILL: Low""), ""Low"", IF(REGEXMATCH(N56, ""SKILL: Medium""), ""Medium"", IF(REGEXMATCH(N56, ""SKILL: High""), ""High"", """")))"),"Low")</f>
        <v>Low</v>
      </c>
      <c r="T56" s="27" t="str">
        <f>IFERROR(__xludf.DUMMYFUNCTION("IF(REGEXMATCH(N56, ""STATUS: Dev Complete - Awaiting QA""), ""Dev Complete - Awaiting QA"", IF(REGEXMATCH(N56, ""STATUS: Follow-Up Required""), ""Follow-Up Required"", IF(REGEXMATCH(N56, ""STATUS: In Progress""), ""In Progress"", IF(REGEXMATCH(N56, ""STAT"&amp;"US: In QA""), ""In QA"", IF(REGEXMATCH(N56, ""STATUS: Needs Customer Feedback""), ""Needs Customer Feedback"", IF(REGEXMATCH(N56, ""STATUS: QA Passed - Awaiting Release""), ""QA Passed - Awaiting Release"", IF(REGEXMATCH(N56, ""STATUS: Release to Prod""),"&amp;" ""Release to Prod"", """")))))))"),"")</f>
        <v/>
      </c>
    </row>
    <row r="57" hidden="1">
      <c r="A57" s="23" t="s">
        <v>82</v>
      </c>
      <c r="B57" s="12" t="s">
        <v>267</v>
      </c>
      <c r="C57" s="54">
        <v>375.0</v>
      </c>
      <c r="D57" s="55" t="s">
        <v>432</v>
      </c>
      <c r="E57" s="56" t="s">
        <v>173</v>
      </c>
      <c r="F57" s="54" t="s">
        <v>433</v>
      </c>
      <c r="G57" s="57" t="str">
        <f t="shared" si="1"/>
        <v>25-Jun-2025</v>
      </c>
      <c r="H57" s="54" t="s">
        <v>109</v>
      </c>
      <c r="I57" s="54" t="s">
        <v>434</v>
      </c>
      <c r="J57" s="27" t="str">
        <f t="shared" si="4"/>
        <v>05-Sep-2025</v>
      </c>
      <c r="K57" s="54" t="s">
        <v>434</v>
      </c>
      <c r="L57" s="27" t="str">
        <f t="shared" si="5"/>
        <v>05-Sep-2025</v>
      </c>
      <c r="M57" s="23" t="s">
        <v>249</v>
      </c>
      <c r="N57" s="23" t="s">
        <v>292</v>
      </c>
      <c r="O57" s="23" t="s">
        <v>51</v>
      </c>
      <c r="P57" s="54">
        <v>2.0</v>
      </c>
      <c r="Q57" s="58" t="s">
        <v>435</v>
      </c>
      <c r="R57" s="27" t="str">
        <f>IFERROR(__xludf.DUMMYFUNCTION("IF(REGEXMATCH(N57, ""PRIORITY: Low""), ""Low"", IF(REGEXMATCH(N57, ""PRIORITY: Medium""), ""Medium"", IF(REGEXMATCH(N57, ""PRIORITY: High""), ""High"", """")))
"),"Low")</f>
        <v>Low</v>
      </c>
      <c r="S57" s="27" t="str">
        <f>IFERROR(__xludf.DUMMYFUNCTION("IF(REGEXMATCH(N57, ""SKILL: Low""), ""Low"", IF(REGEXMATCH(N57, ""SKILL: Medium""), ""Medium"", IF(REGEXMATCH(N57, ""SKILL: High""), ""High"", """")))"),"Low")</f>
        <v>Low</v>
      </c>
      <c r="T57" s="27" t="str">
        <f>IFERROR(__xludf.DUMMYFUNCTION("IF(REGEXMATCH(N57, ""STATUS: Dev Complete - Awaiting QA""), ""Dev Complete - Awaiting QA"", IF(REGEXMATCH(N57, ""STATUS: Follow-Up Required""), ""Follow-Up Required"", IF(REGEXMATCH(N57, ""STATUS: In Progress""), ""In Progress"", IF(REGEXMATCH(N57, ""STAT"&amp;"US: In QA""), ""In QA"", IF(REGEXMATCH(N57, ""STATUS: Needs Customer Feedback""), ""Needs Customer Feedback"", IF(REGEXMATCH(N57, ""STATUS: QA Passed - Awaiting Release""), ""QA Passed - Awaiting Release"", IF(REGEXMATCH(N57, ""STATUS: Release to Prod""),"&amp;" ""Release to Prod"", """")))))))"),"")</f>
        <v/>
      </c>
    </row>
    <row r="58" hidden="1">
      <c r="A58" s="23" t="s">
        <v>82</v>
      </c>
      <c r="B58" s="12" t="s">
        <v>267</v>
      </c>
      <c r="C58" s="54">
        <v>374.0</v>
      </c>
      <c r="D58" s="55" t="s">
        <v>436</v>
      </c>
      <c r="E58" s="56" t="s">
        <v>173</v>
      </c>
      <c r="F58" s="54" t="s">
        <v>437</v>
      </c>
      <c r="G58" s="57" t="str">
        <f t="shared" si="1"/>
        <v>25-Jun-2025</v>
      </c>
      <c r="H58" s="54" t="s">
        <v>109</v>
      </c>
      <c r="I58" s="54" t="s">
        <v>438</v>
      </c>
      <c r="J58" s="27" t="str">
        <f t="shared" si="4"/>
        <v>22-Aug-2025</v>
      </c>
      <c r="K58" s="54" t="s">
        <v>439</v>
      </c>
      <c r="L58" s="27" t="str">
        <f t="shared" si="5"/>
        <v>11-Aug-2025</v>
      </c>
      <c r="M58" s="23" t="s">
        <v>285</v>
      </c>
      <c r="N58" s="23" t="s">
        <v>297</v>
      </c>
      <c r="O58" s="23" t="s">
        <v>54</v>
      </c>
      <c r="P58" s="54">
        <v>8.0</v>
      </c>
      <c r="Q58" s="58" t="s">
        <v>440</v>
      </c>
      <c r="R58" s="27" t="str">
        <f>IFERROR(__xludf.DUMMYFUNCTION("IF(REGEXMATCH(N58, ""PRIORITY: Low""), ""Low"", IF(REGEXMATCH(N58, ""PRIORITY: Medium""), ""Medium"", IF(REGEXMATCH(N58, ""PRIORITY: High""), ""High"", """")))
"),"High")</f>
        <v>High</v>
      </c>
      <c r="S58" s="27" t="str">
        <f>IFERROR(__xludf.DUMMYFUNCTION("IF(REGEXMATCH(N58, ""SKILL: Low""), ""Low"", IF(REGEXMATCH(N58, ""SKILL: Medium""), ""Medium"", IF(REGEXMATCH(N58, ""SKILL: High""), ""High"", """")))"),"Medium")</f>
        <v>Medium</v>
      </c>
      <c r="T58" s="27" t="str">
        <f>IFERROR(__xludf.DUMMYFUNCTION("IF(REGEXMATCH(N58, ""STATUS: Dev Complete - Awaiting QA""), ""Dev Complete - Awaiting QA"", IF(REGEXMATCH(N58, ""STATUS: Follow-Up Required""), ""Follow-Up Required"", IF(REGEXMATCH(N58, ""STATUS: In Progress""), ""In Progress"", IF(REGEXMATCH(N58, ""STAT"&amp;"US: In QA""), ""In QA"", IF(REGEXMATCH(N58, ""STATUS: Needs Customer Feedback""), ""Needs Customer Feedback"", IF(REGEXMATCH(N58, ""STATUS: QA Passed - Awaiting Release""), ""QA Passed - Awaiting Release"", IF(REGEXMATCH(N58, ""STATUS: Release to Prod""),"&amp;" ""Release to Prod"", """")))))))"),"")</f>
        <v/>
      </c>
    </row>
    <row r="59" hidden="1">
      <c r="A59" s="23" t="s">
        <v>82</v>
      </c>
      <c r="B59" s="12" t="s">
        <v>267</v>
      </c>
      <c r="C59" s="54">
        <v>373.0</v>
      </c>
      <c r="D59" s="55" t="s">
        <v>441</v>
      </c>
      <c r="E59" s="56" t="s">
        <v>173</v>
      </c>
      <c r="F59" s="54" t="s">
        <v>442</v>
      </c>
      <c r="G59" s="57" t="str">
        <f t="shared" si="1"/>
        <v>25-Jun-2025</v>
      </c>
      <c r="H59" s="54" t="s">
        <v>109</v>
      </c>
      <c r="I59" s="54" t="s">
        <v>425</v>
      </c>
      <c r="J59" s="27" t="str">
        <f t="shared" si="4"/>
        <v>26-Sep-2025</v>
      </c>
      <c r="K59" s="54" t="s">
        <v>443</v>
      </c>
      <c r="L59" s="27" t="str">
        <f t="shared" si="5"/>
        <v>15-Jul-2025</v>
      </c>
      <c r="M59" s="23" t="s">
        <v>249</v>
      </c>
      <c r="N59" s="23" t="s">
        <v>444</v>
      </c>
      <c r="O59" s="24"/>
      <c r="P59" s="54">
        <v>2.0</v>
      </c>
      <c r="Q59" s="58" t="s">
        <v>445</v>
      </c>
      <c r="R59" s="27" t="str">
        <f>IFERROR(__xludf.DUMMYFUNCTION("IF(REGEXMATCH(N59, ""PRIORITY: Low""), ""Low"", IF(REGEXMATCH(N59, ""PRIORITY: Medium""), ""Medium"", IF(REGEXMATCH(N59, ""PRIORITY: High""), ""High"", """")))
"),"Low")</f>
        <v>Low</v>
      </c>
      <c r="S59" s="27" t="str">
        <f>IFERROR(__xludf.DUMMYFUNCTION("IF(REGEXMATCH(N59, ""SKILL: Low""), ""Low"", IF(REGEXMATCH(N59, ""SKILL: Medium""), ""Medium"", IF(REGEXMATCH(N59, ""SKILL: High""), ""High"", """")))"),"")</f>
        <v/>
      </c>
      <c r="T59" s="27" t="str">
        <f>IFERROR(__xludf.DUMMYFUNCTION("IF(REGEXMATCH(N59, ""STATUS: Dev Complete - Awaiting QA""), ""Dev Complete - Awaiting QA"", IF(REGEXMATCH(N59, ""STATUS: Follow-Up Required""), ""Follow-Up Required"", IF(REGEXMATCH(N59, ""STATUS: In Progress""), ""In Progress"", IF(REGEXMATCH(N59, ""STAT"&amp;"US: In QA""), ""In QA"", IF(REGEXMATCH(N59, ""STATUS: Needs Customer Feedback""), ""Needs Customer Feedback"", IF(REGEXMATCH(N59, ""STATUS: QA Passed - Awaiting Release""), ""QA Passed - Awaiting Release"", IF(REGEXMATCH(N59, ""STATUS: Release to Prod""),"&amp;" ""Release to Prod"", """")))))))"),"Dev Complete - Awaiting QA")</f>
        <v>Dev Complete - Awaiting QA</v>
      </c>
    </row>
    <row r="60" hidden="1">
      <c r="A60" s="23" t="s">
        <v>82</v>
      </c>
      <c r="B60" s="12" t="s">
        <v>267</v>
      </c>
      <c r="C60" s="54">
        <v>372.0</v>
      </c>
      <c r="D60" s="55" t="s">
        <v>446</v>
      </c>
      <c r="E60" s="56" t="s">
        <v>173</v>
      </c>
      <c r="F60" s="54" t="s">
        <v>447</v>
      </c>
      <c r="G60" s="57" t="str">
        <f t="shared" si="1"/>
        <v>25-Jun-2025</v>
      </c>
      <c r="H60" s="54" t="s">
        <v>109</v>
      </c>
      <c r="I60" s="54" t="s">
        <v>448</v>
      </c>
      <c r="J60" s="27" t="str">
        <f t="shared" si="4"/>
        <v>05-Sep-2025</v>
      </c>
      <c r="K60" s="54" t="s">
        <v>448</v>
      </c>
      <c r="L60" s="27" t="str">
        <f t="shared" si="5"/>
        <v>05-Sep-2025</v>
      </c>
      <c r="M60" s="23" t="s">
        <v>249</v>
      </c>
      <c r="N60" s="23" t="s">
        <v>292</v>
      </c>
      <c r="O60" s="23" t="s">
        <v>51</v>
      </c>
      <c r="P60" s="54">
        <v>3.0</v>
      </c>
      <c r="Q60" s="58" t="s">
        <v>449</v>
      </c>
      <c r="R60" s="27" t="str">
        <f>IFERROR(__xludf.DUMMYFUNCTION("IF(REGEXMATCH(N60, ""PRIORITY: Low""), ""Low"", IF(REGEXMATCH(N60, ""PRIORITY: Medium""), ""Medium"", IF(REGEXMATCH(N60, ""PRIORITY: High""), ""High"", """")))
"),"Low")</f>
        <v>Low</v>
      </c>
      <c r="S60" s="27" t="str">
        <f>IFERROR(__xludf.DUMMYFUNCTION("IF(REGEXMATCH(N60, ""SKILL: Low""), ""Low"", IF(REGEXMATCH(N60, ""SKILL: Medium""), ""Medium"", IF(REGEXMATCH(N60, ""SKILL: High""), ""High"", """")))"),"Low")</f>
        <v>Low</v>
      </c>
      <c r="T60" s="27" t="str">
        <f>IFERROR(__xludf.DUMMYFUNCTION("IF(REGEXMATCH(N60, ""STATUS: Dev Complete - Awaiting QA""), ""Dev Complete - Awaiting QA"", IF(REGEXMATCH(N60, ""STATUS: Follow-Up Required""), ""Follow-Up Required"", IF(REGEXMATCH(N60, ""STATUS: In Progress""), ""In Progress"", IF(REGEXMATCH(N60, ""STAT"&amp;"US: In QA""), ""In QA"", IF(REGEXMATCH(N60, ""STATUS: Needs Customer Feedback""), ""Needs Customer Feedback"", IF(REGEXMATCH(N60, ""STATUS: QA Passed - Awaiting Release""), ""QA Passed - Awaiting Release"", IF(REGEXMATCH(N60, ""STATUS: Release to Prod""),"&amp;" ""Release to Prod"", """")))))))"),"")</f>
        <v/>
      </c>
    </row>
    <row r="61" hidden="1">
      <c r="A61" s="23" t="s">
        <v>82</v>
      </c>
      <c r="B61" s="12" t="s">
        <v>267</v>
      </c>
      <c r="C61" s="54">
        <v>371.0</v>
      </c>
      <c r="D61" s="55" t="s">
        <v>450</v>
      </c>
      <c r="E61" s="56" t="s">
        <v>173</v>
      </c>
      <c r="F61" s="54" t="s">
        <v>451</v>
      </c>
      <c r="G61" s="57" t="str">
        <f t="shared" si="1"/>
        <v>25-Jun-2025</v>
      </c>
      <c r="H61" s="54" t="s">
        <v>109</v>
      </c>
      <c r="I61" s="54" t="s">
        <v>452</v>
      </c>
      <c r="J61" s="27" t="str">
        <f t="shared" si="4"/>
        <v>26-Sep-2025</v>
      </c>
      <c r="K61" s="54" t="s">
        <v>453</v>
      </c>
      <c r="L61" s="27" t="str">
        <f t="shared" si="5"/>
        <v>27-Jun-2025</v>
      </c>
      <c r="M61" s="23" t="s">
        <v>249</v>
      </c>
      <c r="N61" s="23" t="s">
        <v>177</v>
      </c>
      <c r="O61" s="24"/>
      <c r="P61" s="54">
        <v>2.0</v>
      </c>
      <c r="Q61" s="58" t="s">
        <v>454</v>
      </c>
      <c r="R61" s="27" t="str">
        <f>IFERROR(__xludf.DUMMYFUNCTION("IF(REGEXMATCH(N61, ""PRIORITY: Low""), ""Low"", IF(REGEXMATCH(N61, ""PRIORITY: Medium""), ""Medium"", IF(REGEXMATCH(N61, ""PRIORITY: High""), ""High"", """")))
"),"")</f>
        <v/>
      </c>
      <c r="S61" s="27" t="str">
        <f>IFERROR(__xludf.DUMMYFUNCTION("IF(REGEXMATCH(N61, ""SKILL: Low""), ""Low"", IF(REGEXMATCH(N61, ""SKILL: Medium""), ""Medium"", IF(REGEXMATCH(N61, ""SKILL: High""), ""High"", """")))"),"")</f>
        <v/>
      </c>
      <c r="T61" s="27" t="str">
        <f>IFERROR(__xludf.DUMMYFUNCTION("IF(REGEXMATCH(N61, ""STATUS: Dev Complete - Awaiting QA""), ""Dev Complete - Awaiting QA"", IF(REGEXMATCH(N61, ""STATUS: Follow-Up Required""), ""Follow-Up Required"", IF(REGEXMATCH(N61, ""STATUS: In Progress""), ""In Progress"", IF(REGEXMATCH(N61, ""STAT"&amp;"US: In QA""), ""In QA"", IF(REGEXMATCH(N61, ""STATUS: Needs Customer Feedback""), ""Needs Customer Feedback"", IF(REGEXMATCH(N61, ""STATUS: QA Passed - Awaiting Release""), ""QA Passed - Awaiting Release"", IF(REGEXMATCH(N61, ""STATUS: Release to Prod""),"&amp;" ""Release to Prod"", """")))))))"),"")</f>
        <v/>
      </c>
    </row>
    <row r="62" hidden="1">
      <c r="A62" s="23" t="s">
        <v>82</v>
      </c>
      <c r="B62" s="12" t="s">
        <v>267</v>
      </c>
      <c r="C62" s="54">
        <v>370.0</v>
      </c>
      <c r="D62" s="55" t="s">
        <v>455</v>
      </c>
      <c r="E62" s="56" t="s">
        <v>173</v>
      </c>
      <c r="F62" s="54" t="s">
        <v>456</v>
      </c>
      <c r="G62" s="57" t="str">
        <f t="shared" si="1"/>
        <v>25-Jun-2025</v>
      </c>
      <c r="H62" s="54" t="s">
        <v>109</v>
      </c>
      <c r="I62" s="54" t="s">
        <v>452</v>
      </c>
      <c r="J62" s="27" t="str">
        <f t="shared" si="4"/>
        <v>26-Sep-2025</v>
      </c>
      <c r="K62" s="54" t="s">
        <v>457</v>
      </c>
      <c r="L62" s="27" t="str">
        <f t="shared" si="5"/>
        <v>15-Jul-2025</v>
      </c>
      <c r="M62" s="23" t="s">
        <v>249</v>
      </c>
      <c r="N62" s="23" t="s">
        <v>458</v>
      </c>
      <c r="O62" s="24"/>
      <c r="P62" s="54">
        <v>2.0</v>
      </c>
      <c r="Q62" s="58" t="s">
        <v>459</v>
      </c>
      <c r="R62" s="27" t="str">
        <f>IFERROR(__xludf.DUMMYFUNCTION("IF(REGEXMATCH(N62, ""PRIORITY: Low""), ""Low"", IF(REGEXMATCH(N62, ""PRIORITY: Medium""), ""Medium"", IF(REGEXMATCH(N62, ""PRIORITY: High""), ""High"", """")))
"),"Medium")</f>
        <v>Medium</v>
      </c>
      <c r="S62" s="27" t="str">
        <f>IFERROR(__xludf.DUMMYFUNCTION("IF(REGEXMATCH(N62, ""SKILL: Low""), ""Low"", IF(REGEXMATCH(N62, ""SKILL: Medium""), ""Medium"", IF(REGEXMATCH(N62, ""SKILL: High""), ""High"", """")))"),"")</f>
        <v/>
      </c>
      <c r="T62" s="27" t="str">
        <f>IFERROR(__xludf.DUMMYFUNCTION("IF(REGEXMATCH(N62, ""STATUS: Dev Complete - Awaiting QA""), ""Dev Complete - Awaiting QA"", IF(REGEXMATCH(N62, ""STATUS: Follow-Up Required""), ""Follow-Up Required"", IF(REGEXMATCH(N62, ""STATUS: In Progress""), ""In Progress"", IF(REGEXMATCH(N62, ""STAT"&amp;"US: In QA""), ""In QA"", IF(REGEXMATCH(N62, ""STATUS: Needs Customer Feedback""), ""Needs Customer Feedback"", IF(REGEXMATCH(N62, ""STATUS: QA Passed - Awaiting Release""), ""QA Passed - Awaiting Release"", IF(REGEXMATCH(N62, ""STATUS: Release to Prod""),"&amp;" ""Release to Prod"", """")))))))"),"Dev Complete - Awaiting QA")</f>
        <v>Dev Complete - Awaiting QA</v>
      </c>
    </row>
    <row r="63" hidden="1">
      <c r="A63" s="23" t="s">
        <v>82</v>
      </c>
      <c r="B63" s="12" t="s">
        <v>267</v>
      </c>
      <c r="C63" s="54">
        <v>369.0</v>
      </c>
      <c r="D63" s="55" t="s">
        <v>460</v>
      </c>
      <c r="E63" s="56" t="s">
        <v>173</v>
      </c>
      <c r="F63" s="54" t="s">
        <v>461</v>
      </c>
      <c r="G63" s="57" t="str">
        <f t="shared" si="1"/>
        <v>25-Jun-2025</v>
      </c>
      <c r="H63" s="54" t="s">
        <v>109</v>
      </c>
      <c r="I63" s="54" t="s">
        <v>462</v>
      </c>
      <c r="J63" s="27" t="str">
        <f t="shared" si="4"/>
        <v>05-Sep-2025</v>
      </c>
      <c r="K63" s="54" t="s">
        <v>462</v>
      </c>
      <c r="L63" s="27" t="str">
        <f t="shared" si="5"/>
        <v>05-Sep-2025</v>
      </c>
      <c r="M63" s="23" t="s">
        <v>249</v>
      </c>
      <c r="N63" s="23" t="s">
        <v>292</v>
      </c>
      <c r="O63" s="23" t="s">
        <v>51</v>
      </c>
      <c r="P63" s="54">
        <v>5.0</v>
      </c>
      <c r="Q63" s="58" t="s">
        <v>463</v>
      </c>
      <c r="R63" s="27" t="str">
        <f>IFERROR(__xludf.DUMMYFUNCTION("IF(REGEXMATCH(N63, ""PRIORITY: Low""), ""Low"", IF(REGEXMATCH(N63, ""PRIORITY: Medium""), ""Medium"", IF(REGEXMATCH(N63, ""PRIORITY: High""), ""High"", """")))
"),"Low")</f>
        <v>Low</v>
      </c>
      <c r="S63" s="27" t="str">
        <f>IFERROR(__xludf.DUMMYFUNCTION("IF(REGEXMATCH(N63, ""SKILL: Low""), ""Low"", IF(REGEXMATCH(N63, ""SKILL: Medium""), ""Medium"", IF(REGEXMATCH(N63, ""SKILL: High""), ""High"", """")))"),"Low")</f>
        <v>Low</v>
      </c>
      <c r="T63" s="27" t="str">
        <f>IFERROR(__xludf.DUMMYFUNCTION("IF(REGEXMATCH(N63, ""STATUS: Dev Complete - Awaiting QA""), ""Dev Complete - Awaiting QA"", IF(REGEXMATCH(N63, ""STATUS: Follow-Up Required""), ""Follow-Up Required"", IF(REGEXMATCH(N63, ""STATUS: In Progress""), ""In Progress"", IF(REGEXMATCH(N63, ""STAT"&amp;"US: In QA""), ""In QA"", IF(REGEXMATCH(N63, ""STATUS: Needs Customer Feedback""), ""Needs Customer Feedback"", IF(REGEXMATCH(N63, ""STATUS: QA Passed - Awaiting Release""), ""QA Passed - Awaiting Release"", IF(REGEXMATCH(N63, ""STATUS: Release to Prod""),"&amp;" ""Release to Prod"", """")))))))"),"")</f>
        <v/>
      </c>
    </row>
    <row r="64" hidden="1">
      <c r="A64" s="23" t="s">
        <v>82</v>
      </c>
      <c r="B64" s="12" t="s">
        <v>267</v>
      </c>
      <c r="C64" s="54">
        <v>368.0</v>
      </c>
      <c r="D64" s="55" t="s">
        <v>464</v>
      </c>
      <c r="E64" s="56" t="s">
        <v>173</v>
      </c>
      <c r="F64" s="54" t="s">
        <v>465</v>
      </c>
      <c r="G64" s="57" t="str">
        <f t="shared" si="1"/>
        <v>25-Jun-2025</v>
      </c>
      <c r="H64" s="54" t="s">
        <v>109</v>
      </c>
      <c r="I64" s="54" t="s">
        <v>452</v>
      </c>
      <c r="J64" s="27" t="str">
        <f t="shared" si="4"/>
        <v>26-Sep-2025</v>
      </c>
      <c r="K64" s="54" t="s">
        <v>466</v>
      </c>
      <c r="L64" s="27" t="str">
        <f t="shared" si="5"/>
        <v>25-Jun-2025</v>
      </c>
      <c r="M64" s="23" t="s">
        <v>249</v>
      </c>
      <c r="N64" s="23" t="s">
        <v>177</v>
      </c>
      <c r="O64" s="24"/>
      <c r="P64" s="54">
        <v>0.0</v>
      </c>
      <c r="Q64" s="58" t="s">
        <v>467</v>
      </c>
      <c r="R64" s="27" t="str">
        <f>IFERROR(__xludf.DUMMYFUNCTION("IF(REGEXMATCH(N64, ""PRIORITY: Low""), ""Low"", IF(REGEXMATCH(N64, ""PRIORITY: Medium""), ""Medium"", IF(REGEXMATCH(N64, ""PRIORITY: High""), ""High"", """")))
"),"")</f>
        <v/>
      </c>
      <c r="S64" s="27" t="str">
        <f>IFERROR(__xludf.DUMMYFUNCTION("IF(REGEXMATCH(N64, ""SKILL: Low""), ""Low"", IF(REGEXMATCH(N64, ""SKILL: Medium""), ""Medium"", IF(REGEXMATCH(N64, ""SKILL: High""), ""High"", """")))"),"")</f>
        <v/>
      </c>
      <c r="T64" s="27" t="str">
        <f>IFERROR(__xludf.DUMMYFUNCTION("IF(REGEXMATCH(N64, ""STATUS: Dev Complete - Awaiting QA""), ""Dev Complete - Awaiting QA"", IF(REGEXMATCH(N64, ""STATUS: Follow-Up Required""), ""Follow-Up Required"", IF(REGEXMATCH(N64, ""STATUS: In Progress""), ""In Progress"", IF(REGEXMATCH(N64, ""STAT"&amp;"US: In QA""), ""In QA"", IF(REGEXMATCH(N64, ""STATUS: Needs Customer Feedback""), ""Needs Customer Feedback"", IF(REGEXMATCH(N64, ""STATUS: QA Passed - Awaiting Release""), ""QA Passed - Awaiting Release"", IF(REGEXMATCH(N64, ""STATUS: Release to Prod""),"&amp;" ""Release to Prod"", """")))))))"),"")</f>
        <v/>
      </c>
    </row>
    <row r="65" hidden="1">
      <c r="A65" s="23" t="s">
        <v>82</v>
      </c>
      <c r="B65" s="12" t="s">
        <v>267</v>
      </c>
      <c r="C65" s="54">
        <v>367.0</v>
      </c>
      <c r="D65" s="55" t="s">
        <v>468</v>
      </c>
      <c r="E65" s="56" t="s">
        <v>173</v>
      </c>
      <c r="F65" s="54" t="s">
        <v>469</v>
      </c>
      <c r="G65" s="57" t="str">
        <f t="shared" si="1"/>
        <v>25-Jun-2025</v>
      </c>
      <c r="H65" s="54" t="s">
        <v>109</v>
      </c>
      <c r="I65" s="54" t="s">
        <v>470</v>
      </c>
      <c r="J65" s="27" t="str">
        <f t="shared" si="4"/>
        <v>26-Sep-2025</v>
      </c>
      <c r="K65" s="54" t="s">
        <v>471</v>
      </c>
      <c r="L65" s="27" t="str">
        <f t="shared" si="5"/>
        <v>15-Jul-2025</v>
      </c>
      <c r="M65" s="23" t="s">
        <v>249</v>
      </c>
      <c r="N65" s="23" t="s">
        <v>444</v>
      </c>
      <c r="O65" s="24"/>
      <c r="P65" s="54">
        <v>2.0</v>
      </c>
      <c r="Q65" s="58" t="s">
        <v>472</v>
      </c>
      <c r="R65" s="27" t="str">
        <f>IFERROR(__xludf.DUMMYFUNCTION("IF(REGEXMATCH(N65, ""PRIORITY: Low""), ""Low"", IF(REGEXMATCH(N65, ""PRIORITY: Medium""), ""Medium"", IF(REGEXMATCH(N65, ""PRIORITY: High""), ""High"", """")))
"),"Low")</f>
        <v>Low</v>
      </c>
      <c r="S65" s="27" t="str">
        <f>IFERROR(__xludf.DUMMYFUNCTION("IF(REGEXMATCH(N65, ""SKILL: Low""), ""Low"", IF(REGEXMATCH(N65, ""SKILL: Medium""), ""Medium"", IF(REGEXMATCH(N65, ""SKILL: High""), ""High"", """")))"),"")</f>
        <v/>
      </c>
      <c r="T65" s="27" t="str">
        <f>IFERROR(__xludf.DUMMYFUNCTION("IF(REGEXMATCH(N65, ""STATUS: Dev Complete - Awaiting QA""), ""Dev Complete - Awaiting QA"", IF(REGEXMATCH(N65, ""STATUS: Follow-Up Required""), ""Follow-Up Required"", IF(REGEXMATCH(N65, ""STATUS: In Progress""), ""In Progress"", IF(REGEXMATCH(N65, ""STAT"&amp;"US: In QA""), ""In QA"", IF(REGEXMATCH(N65, ""STATUS: Needs Customer Feedback""), ""Needs Customer Feedback"", IF(REGEXMATCH(N65, ""STATUS: QA Passed - Awaiting Release""), ""QA Passed - Awaiting Release"", IF(REGEXMATCH(N65, ""STATUS: Release to Prod""),"&amp;" ""Release to Prod"", """")))))))"),"Dev Complete - Awaiting QA")</f>
        <v>Dev Complete - Awaiting QA</v>
      </c>
    </row>
    <row r="66" hidden="1">
      <c r="A66" s="23" t="s">
        <v>82</v>
      </c>
      <c r="B66" s="12" t="s">
        <v>267</v>
      </c>
      <c r="C66" s="54">
        <v>366.0</v>
      </c>
      <c r="D66" s="55" t="s">
        <v>473</v>
      </c>
      <c r="E66" s="56" t="s">
        <v>173</v>
      </c>
      <c r="F66" s="54" t="s">
        <v>474</v>
      </c>
      <c r="G66" s="57" t="str">
        <f t="shared" si="1"/>
        <v>25-Jun-2025</v>
      </c>
      <c r="H66" s="54" t="s">
        <v>109</v>
      </c>
      <c r="I66" s="54" t="s">
        <v>475</v>
      </c>
      <c r="J66" s="27" t="str">
        <f t="shared" si="4"/>
        <v>28-Aug-2025</v>
      </c>
      <c r="K66" s="54" t="s">
        <v>475</v>
      </c>
      <c r="L66" s="27" t="str">
        <f t="shared" si="5"/>
        <v>28-Aug-2025</v>
      </c>
      <c r="M66" s="23" t="s">
        <v>249</v>
      </c>
      <c r="N66" s="23" t="s">
        <v>286</v>
      </c>
      <c r="O66" s="23" t="s">
        <v>51</v>
      </c>
      <c r="P66" s="54">
        <v>3.0</v>
      </c>
      <c r="Q66" s="58" t="s">
        <v>476</v>
      </c>
      <c r="R66" s="27" t="str">
        <f>IFERROR(__xludf.DUMMYFUNCTION("IF(REGEXMATCH(N66, ""PRIORITY: Low""), ""Low"", IF(REGEXMATCH(N66, ""PRIORITY: Medium""), ""Medium"", IF(REGEXMATCH(N66, ""PRIORITY: High""), ""High"", """")))
"),"Low")</f>
        <v>Low</v>
      </c>
      <c r="S66" s="27" t="str">
        <f>IFERROR(__xludf.DUMMYFUNCTION("IF(REGEXMATCH(N66, ""SKILL: Low""), ""Low"", IF(REGEXMATCH(N66, ""SKILL: Medium""), ""Medium"", IF(REGEXMATCH(N66, ""SKILL: High""), ""High"", """")))"),"Low")</f>
        <v>Low</v>
      </c>
      <c r="T66" s="27" t="str">
        <f>IFERROR(__xludf.DUMMYFUNCTION("IF(REGEXMATCH(N66, ""STATUS: Dev Complete - Awaiting QA""), ""Dev Complete - Awaiting QA"", IF(REGEXMATCH(N66, ""STATUS: Follow-Up Required""), ""Follow-Up Required"", IF(REGEXMATCH(N66, ""STATUS: In Progress""), ""In Progress"", IF(REGEXMATCH(N66, ""STAT"&amp;"US: In QA""), ""In QA"", IF(REGEXMATCH(N66, ""STATUS: Needs Customer Feedback""), ""Needs Customer Feedback"", IF(REGEXMATCH(N66, ""STATUS: QA Passed - Awaiting Release""), ""QA Passed - Awaiting Release"", IF(REGEXMATCH(N66, ""STATUS: Release to Prod""),"&amp;" ""Release to Prod"", """")))))))"),"QA Passed - Awaiting Release")</f>
        <v>QA Passed - Awaiting Release</v>
      </c>
    </row>
    <row r="67" hidden="1">
      <c r="A67" s="23" t="s">
        <v>82</v>
      </c>
      <c r="B67" s="12" t="s">
        <v>267</v>
      </c>
      <c r="C67" s="54">
        <v>365.0</v>
      </c>
      <c r="D67" s="55" t="s">
        <v>477</v>
      </c>
      <c r="E67" s="56" t="s">
        <v>173</v>
      </c>
      <c r="F67" s="54" t="s">
        <v>478</v>
      </c>
      <c r="G67" s="57" t="str">
        <f t="shared" si="1"/>
        <v>25-Jun-2025</v>
      </c>
      <c r="H67" s="54" t="s">
        <v>109</v>
      </c>
      <c r="I67" s="54" t="s">
        <v>470</v>
      </c>
      <c r="J67" s="27" t="str">
        <f t="shared" si="4"/>
        <v>26-Sep-2025</v>
      </c>
      <c r="K67" s="54" t="s">
        <v>479</v>
      </c>
      <c r="L67" s="27" t="str">
        <f t="shared" si="5"/>
        <v>27-Jun-2025</v>
      </c>
      <c r="M67" s="23" t="s">
        <v>285</v>
      </c>
      <c r="N67" s="23" t="s">
        <v>177</v>
      </c>
      <c r="O67" s="24"/>
      <c r="P67" s="54">
        <v>3.0</v>
      </c>
      <c r="Q67" s="58" t="s">
        <v>480</v>
      </c>
      <c r="R67" s="27" t="str">
        <f>IFERROR(__xludf.DUMMYFUNCTION("IF(REGEXMATCH(N67, ""PRIORITY: Low""), ""Low"", IF(REGEXMATCH(N67, ""PRIORITY: Medium""), ""Medium"", IF(REGEXMATCH(N67, ""PRIORITY: High""), ""High"", """")))
"),"")</f>
        <v/>
      </c>
      <c r="S67" s="27" t="str">
        <f>IFERROR(__xludf.DUMMYFUNCTION("IF(REGEXMATCH(N67, ""SKILL: Low""), ""Low"", IF(REGEXMATCH(N67, ""SKILL: Medium""), ""Medium"", IF(REGEXMATCH(N67, ""SKILL: High""), ""High"", """")))"),"")</f>
        <v/>
      </c>
      <c r="T67" s="27" t="str">
        <f>IFERROR(__xludf.DUMMYFUNCTION("IF(REGEXMATCH(N67, ""STATUS: Dev Complete - Awaiting QA""), ""Dev Complete - Awaiting QA"", IF(REGEXMATCH(N67, ""STATUS: Follow-Up Required""), ""Follow-Up Required"", IF(REGEXMATCH(N67, ""STATUS: In Progress""), ""In Progress"", IF(REGEXMATCH(N67, ""STAT"&amp;"US: In QA""), ""In QA"", IF(REGEXMATCH(N67, ""STATUS: Needs Customer Feedback""), ""Needs Customer Feedback"", IF(REGEXMATCH(N67, ""STATUS: QA Passed - Awaiting Release""), ""QA Passed - Awaiting Release"", IF(REGEXMATCH(N67, ""STATUS: Release to Prod""),"&amp;" ""Release to Prod"", """")))))))"),"")</f>
        <v/>
      </c>
    </row>
    <row r="68" hidden="1">
      <c r="A68" s="23" t="s">
        <v>82</v>
      </c>
      <c r="B68" s="12" t="s">
        <v>267</v>
      </c>
      <c r="C68" s="54">
        <v>364.0</v>
      </c>
      <c r="D68" s="55" t="s">
        <v>481</v>
      </c>
      <c r="E68" s="56" t="s">
        <v>173</v>
      </c>
      <c r="F68" s="54" t="s">
        <v>482</v>
      </c>
      <c r="G68" s="57" t="str">
        <f t="shared" si="1"/>
        <v>25-Jun-2025</v>
      </c>
      <c r="H68" s="54" t="s">
        <v>109</v>
      </c>
      <c r="I68" s="54" t="s">
        <v>475</v>
      </c>
      <c r="J68" s="27" t="str">
        <f t="shared" si="4"/>
        <v>28-Aug-2025</v>
      </c>
      <c r="K68" s="54" t="s">
        <v>475</v>
      </c>
      <c r="L68" s="27" t="str">
        <f t="shared" si="5"/>
        <v>28-Aug-2025</v>
      </c>
      <c r="M68" s="23" t="s">
        <v>249</v>
      </c>
      <c r="N68" s="23" t="s">
        <v>483</v>
      </c>
      <c r="O68" s="23" t="s">
        <v>51</v>
      </c>
      <c r="P68" s="54">
        <v>3.0</v>
      </c>
      <c r="Q68" s="58" t="s">
        <v>484</v>
      </c>
      <c r="R68" s="27" t="str">
        <f>IFERROR(__xludf.DUMMYFUNCTION("IF(REGEXMATCH(N68, ""PRIORITY: Low""), ""Low"", IF(REGEXMATCH(N68, ""PRIORITY: Medium""), ""Medium"", IF(REGEXMATCH(N68, ""PRIORITY: High""), ""High"", """")))
"),"Medium")</f>
        <v>Medium</v>
      </c>
      <c r="S68" s="27" t="str">
        <f>IFERROR(__xludf.DUMMYFUNCTION("IF(REGEXMATCH(N68, ""SKILL: Low""), ""Low"", IF(REGEXMATCH(N68, ""SKILL: Medium""), ""Medium"", IF(REGEXMATCH(N68, ""SKILL: High""), ""High"", """")))"),"Low")</f>
        <v>Low</v>
      </c>
      <c r="T68" s="27" t="str">
        <f>IFERROR(__xludf.DUMMYFUNCTION("IF(REGEXMATCH(N68, ""STATUS: Dev Complete - Awaiting QA""), ""Dev Complete - Awaiting QA"", IF(REGEXMATCH(N68, ""STATUS: Follow-Up Required""), ""Follow-Up Required"", IF(REGEXMATCH(N68, ""STATUS: In Progress""), ""In Progress"", IF(REGEXMATCH(N68, ""STAT"&amp;"US: In QA""), ""In QA"", IF(REGEXMATCH(N68, ""STATUS: Needs Customer Feedback""), ""Needs Customer Feedback"", IF(REGEXMATCH(N68, ""STATUS: QA Passed - Awaiting Release""), ""QA Passed - Awaiting Release"", IF(REGEXMATCH(N68, ""STATUS: Release to Prod""),"&amp;" ""Release to Prod"", """")))))))"),"QA Passed - Awaiting Release")</f>
        <v>QA Passed - Awaiting Release</v>
      </c>
    </row>
    <row r="69" hidden="1">
      <c r="A69" s="23" t="s">
        <v>82</v>
      </c>
      <c r="B69" s="12" t="s">
        <v>267</v>
      </c>
      <c r="C69" s="54">
        <v>363.0</v>
      </c>
      <c r="D69" s="55" t="s">
        <v>485</v>
      </c>
      <c r="E69" s="56" t="s">
        <v>173</v>
      </c>
      <c r="F69" s="54" t="s">
        <v>486</v>
      </c>
      <c r="G69" s="57" t="str">
        <f t="shared" si="1"/>
        <v>25-Jun-2025</v>
      </c>
      <c r="H69" s="54" t="s">
        <v>109</v>
      </c>
      <c r="I69" s="54" t="s">
        <v>487</v>
      </c>
      <c r="J69" s="27" t="str">
        <f t="shared" si="4"/>
        <v>28-Aug-2025</v>
      </c>
      <c r="K69" s="54" t="s">
        <v>487</v>
      </c>
      <c r="L69" s="27" t="str">
        <f t="shared" si="5"/>
        <v>28-Aug-2025</v>
      </c>
      <c r="M69" s="23" t="s">
        <v>249</v>
      </c>
      <c r="N69" s="23" t="s">
        <v>286</v>
      </c>
      <c r="O69" s="23" t="s">
        <v>51</v>
      </c>
      <c r="P69" s="54">
        <v>1.0</v>
      </c>
      <c r="Q69" s="58" t="s">
        <v>488</v>
      </c>
      <c r="R69" s="27" t="str">
        <f>IFERROR(__xludf.DUMMYFUNCTION("IF(REGEXMATCH(N69, ""PRIORITY: Low""), ""Low"", IF(REGEXMATCH(N69, ""PRIORITY: Medium""), ""Medium"", IF(REGEXMATCH(N69, ""PRIORITY: High""), ""High"", """")))
"),"Low")</f>
        <v>Low</v>
      </c>
      <c r="S69" s="27" t="str">
        <f>IFERROR(__xludf.DUMMYFUNCTION("IF(REGEXMATCH(N69, ""SKILL: Low""), ""Low"", IF(REGEXMATCH(N69, ""SKILL: Medium""), ""Medium"", IF(REGEXMATCH(N69, ""SKILL: High""), ""High"", """")))"),"Low")</f>
        <v>Low</v>
      </c>
      <c r="T69" s="27" t="str">
        <f>IFERROR(__xludf.DUMMYFUNCTION("IF(REGEXMATCH(N69, ""STATUS: Dev Complete - Awaiting QA""), ""Dev Complete - Awaiting QA"", IF(REGEXMATCH(N69, ""STATUS: Follow-Up Required""), ""Follow-Up Required"", IF(REGEXMATCH(N69, ""STATUS: In Progress""), ""In Progress"", IF(REGEXMATCH(N69, ""STAT"&amp;"US: In QA""), ""In QA"", IF(REGEXMATCH(N69, ""STATUS: Needs Customer Feedback""), ""Needs Customer Feedback"", IF(REGEXMATCH(N69, ""STATUS: QA Passed - Awaiting Release""), ""QA Passed - Awaiting Release"", IF(REGEXMATCH(N69, ""STATUS: Release to Prod""),"&amp;" ""Release to Prod"", """")))))))"),"QA Passed - Awaiting Release")</f>
        <v>QA Passed - Awaiting Release</v>
      </c>
    </row>
    <row r="70" hidden="1">
      <c r="A70" s="23" t="s">
        <v>82</v>
      </c>
      <c r="B70" s="12" t="s">
        <v>267</v>
      </c>
      <c r="C70" s="54">
        <v>362.0</v>
      </c>
      <c r="D70" s="55" t="s">
        <v>489</v>
      </c>
      <c r="E70" s="56" t="s">
        <v>173</v>
      </c>
      <c r="F70" s="54" t="s">
        <v>490</v>
      </c>
      <c r="G70" s="57" t="str">
        <f t="shared" si="1"/>
        <v>25-Jun-2025</v>
      </c>
      <c r="H70" s="54" t="s">
        <v>109</v>
      </c>
      <c r="I70" s="54" t="s">
        <v>491</v>
      </c>
      <c r="J70" s="27" t="str">
        <f t="shared" si="4"/>
        <v>06-Aug-2025</v>
      </c>
      <c r="K70" s="54" t="s">
        <v>491</v>
      </c>
      <c r="L70" s="27" t="str">
        <f t="shared" si="5"/>
        <v>06-Aug-2025</v>
      </c>
      <c r="M70" s="23" t="s">
        <v>249</v>
      </c>
      <c r="N70" s="23" t="s">
        <v>292</v>
      </c>
      <c r="O70" s="23" t="s">
        <v>51</v>
      </c>
      <c r="P70" s="54">
        <v>2.0</v>
      </c>
      <c r="Q70" s="58" t="s">
        <v>492</v>
      </c>
      <c r="R70" s="27" t="str">
        <f>IFERROR(__xludf.DUMMYFUNCTION("IF(REGEXMATCH(N70, ""PRIORITY: Low""), ""Low"", IF(REGEXMATCH(N70, ""PRIORITY: Medium""), ""Medium"", IF(REGEXMATCH(N70, ""PRIORITY: High""), ""High"", """")))
"),"Low")</f>
        <v>Low</v>
      </c>
      <c r="S70" s="27" t="str">
        <f>IFERROR(__xludf.DUMMYFUNCTION("IF(REGEXMATCH(N70, ""SKILL: Low""), ""Low"", IF(REGEXMATCH(N70, ""SKILL: Medium""), ""Medium"", IF(REGEXMATCH(N70, ""SKILL: High""), ""High"", """")))"),"Low")</f>
        <v>Low</v>
      </c>
      <c r="T70" s="27" t="str">
        <f>IFERROR(__xludf.DUMMYFUNCTION("IF(REGEXMATCH(N70, ""STATUS: Dev Complete - Awaiting QA""), ""Dev Complete - Awaiting QA"", IF(REGEXMATCH(N70, ""STATUS: Follow-Up Required""), ""Follow-Up Required"", IF(REGEXMATCH(N70, ""STATUS: In Progress""), ""In Progress"", IF(REGEXMATCH(N70, ""STAT"&amp;"US: In QA""), ""In QA"", IF(REGEXMATCH(N70, ""STATUS: Needs Customer Feedback""), ""Needs Customer Feedback"", IF(REGEXMATCH(N70, ""STATUS: QA Passed - Awaiting Release""), ""QA Passed - Awaiting Release"", IF(REGEXMATCH(N70, ""STATUS: Release to Prod""),"&amp;" ""Release to Prod"", """")))))))"),"")</f>
        <v/>
      </c>
    </row>
    <row r="71" hidden="1">
      <c r="A71" s="23" t="s">
        <v>82</v>
      </c>
      <c r="B71" s="12" t="s">
        <v>267</v>
      </c>
      <c r="C71" s="54">
        <v>361.0</v>
      </c>
      <c r="D71" s="55" t="s">
        <v>493</v>
      </c>
      <c r="E71" s="56" t="s">
        <v>173</v>
      </c>
      <c r="F71" s="54" t="s">
        <v>494</v>
      </c>
      <c r="G71" s="57" t="str">
        <f t="shared" si="1"/>
        <v>25-Jun-2025</v>
      </c>
      <c r="H71" s="54" t="s">
        <v>109</v>
      </c>
      <c r="I71" s="54" t="s">
        <v>495</v>
      </c>
      <c r="J71" s="27" t="str">
        <f t="shared" si="4"/>
        <v>05-Sep-2025</v>
      </c>
      <c r="K71" s="54" t="s">
        <v>495</v>
      </c>
      <c r="L71" s="27" t="str">
        <f t="shared" si="5"/>
        <v>05-Sep-2025</v>
      </c>
      <c r="M71" s="23" t="s">
        <v>249</v>
      </c>
      <c r="N71" s="23" t="s">
        <v>292</v>
      </c>
      <c r="O71" s="23" t="s">
        <v>51</v>
      </c>
      <c r="P71" s="54">
        <v>3.0</v>
      </c>
      <c r="Q71" s="58" t="s">
        <v>496</v>
      </c>
      <c r="R71" s="27" t="str">
        <f>IFERROR(__xludf.DUMMYFUNCTION("IF(REGEXMATCH(N71, ""PRIORITY: Low""), ""Low"", IF(REGEXMATCH(N71, ""PRIORITY: Medium""), ""Medium"", IF(REGEXMATCH(N71, ""PRIORITY: High""), ""High"", """")))
"),"Low")</f>
        <v>Low</v>
      </c>
      <c r="S71" s="27" t="str">
        <f>IFERROR(__xludf.DUMMYFUNCTION("IF(REGEXMATCH(N71, ""SKILL: Low""), ""Low"", IF(REGEXMATCH(N71, ""SKILL: Medium""), ""Medium"", IF(REGEXMATCH(N71, ""SKILL: High""), ""High"", """")))"),"Low")</f>
        <v>Low</v>
      </c>
      <c r="T71" s="27" t="str">
        <f>IFERROR(__xludf.DUMMYFUNCTION("IF(REGEXMATCH(N71, ""STATUS: Dev Complete - Awaiting QA""), ""Dev Complete - Awaiting QA"", IF(REGEXMATCH(N71, ""STATUS: Follow-Up Required""), ""Follow-Up Required"", IF(REGEXMATCH(N71, ""STATUS: In Progress""), ""In Progress"", IF(REGEXMATCH(N71, ""STAT"&amp;"US: In QA""), ""In QA"", IF(REGEXMATCH(N71, ""STATUS: Needs Customer Feedback""), ""Needs Customer Feedback"", IF(REGEXMATCH(N71, ""STATUS: QA Passed - Awaiting Release""), ""QA Passed - Awaiting Release"", IF(REGEXMATCH(N71, ""STATUS: Release to Prod""),"&amp;" ""Release to Prod"", """")))))))"),"")</f>
        <v/>
      </c>
    </row>
    <row r="72" hidden="1">
      <c r="A72" s="23" t="s">
        <v>82</v>
      </c>
      <c r="B72" s="12" t="s">
        <v>267</v>
      </c>
      <c r="C72" s="54">
        <v>360.0</v>
      </c>
      <c r="D72" s="55" t="s">
        <v>497</v>
      </c>
      <c r="E72" s="56" t="s">
        <v>173</v>
      </c>
      <c r="F72" s="54" t="s">
        <v>498</v>
      </c>
      <c r="G72" s="57" t="str">
        <f t="shared" si="1"/>
        <v>25-Jun-2025</v>
      </c>
      <c r="H72" s="54" t="s">
        <v>57</v>
      </c>
      <c r="I72" s="54" t="s">
        <v>499</v>
      </c>
      <c r="J72" s="27" t="str">
        <f t="shared" si="4"/>
        <v>04-Aug-2025</v>
      </c>
      <c r="K72" s="54" t="s">
        <v>499</v>
      </c>
      <c r="L72" s="27" t="str">
        <f t="shared" si="5"/>
        <v>04-Aug-2025</v>
      </c>
      <c r="M72" s="23" t="s">
        <v>249</v>
      </c>
      <c r="N72" s="23" t="s">
        <v>250</v>
      </c>
      <c r="O72" s="23" t="s">
        <v>47</v>
      </c>
      <c r="P72" s="54">
        <v>1.0</v>
      </c>
      <c r="Q72" s="58" t="s">
        <v>500</v>
      </c>
      <c r="R72" s="27" t="str">
        <f>IFERROR(__xludf.DUMMYFUNCTION("IF(REGEXMATCH(N72, ""PRIORITY: Low""), ""Low"", IF(REGEXMATCH(N72, ""PRIORITY: Medium""), ""Medium"", IF(REGEXMATCH(N72, ""PRIORITY: High""), ""High"", """")))
"),"Low")</f>
        <v>Low</v>
      </c>
      <c r="S72" s="27" t="str">
        <f>IFERROR(__xludf.DUMMYFUNCTION("IF(REGEXMATCH(N72, ""SKILL: Low""), ""Low"", IF(REGEXMATCH(N72, ""SKILL: Medium""), ""Medium"", IF(REGEXMATCH(N72, ""SKILL: High""), ""High"", """")))"),"Low")</f>
        <v>Low</v>
      </c>
      <c r="T72" s="27" t="str">
        <f>IFERROR(__xludf.DUMMYFUNCTION("IF(REGEXMATCH(N72, ""STATUS: Dev Complete - Awaiting QA""), ""Dev Complete - Awaiting QA"", IF(REGEXMATCH(N72, ""STATUS: Follow-Up Required""), ""Follow-Up Required"", IF(REGEXMATCH(N72, ""STATUS: In Progress""), ""In Progress"", IF(REGEXMATCH(N72, ""STAT"&amp;"US: In QA""), ""In QA"", IF(REGEXMATCH(N72, ""STATUS: Needs Customer Feedback""), ""Needs Customer Feedback"", IF(REGEXMATCH(N72, ""STATUS: QA Passed - Awaiting Release""), ""QA Passed - Awaiting Release"", IF(REGEXMATCH(N72, ""STATUS: Release to Prod""),"&amp;" ""Release to Prod"", """")))))))"),"In Progress")</f>
        <v>In Progress</v>
      </c>
    </row>
    <row r="73" hidden="1">
      <c r="A73" s="23" t="s">
        <v>82</v>
      </c>
      <c r="B73" s="12" t="s">
        <v>267</v>
      </c>
      <c r="C73" s="54">
        <v>359.0</v>
      </c>
      <c r="D73" s="55" t="s">
        <v>501</v>
      </c>
      <c r="E73" s="56" t="s">
        <v>173</v>
      </c>
      <c r="F73" s="54" t="s">
        <v>502</v>
      </c>
      <c r="G73" s="57" t="str">
        <f t="shared" si="1"/>
        <v>25-Jun-2025</v>
      </c>
      <c r="H73" s="54" t="s">
        <v>57</v>
      </c>
      <c r="I73" s="54" t="s">
        <v>503</v>
      </c>
      <c r="J73" s="27" t="str">
        <f t="shared" si="4"/>
        <v>06-Aug-2025</v>
      </c>
      <c r="K73" s="54" t="s">
        <v>503</v>
      </c>
      <c r="L73" s="27" t="str">
        <f t="shared" si="5"/>
        <v>06-Aug-2025</v>
      </c>
      <c r="M73" s="23" t="s">
        <v>249</v>
      </c>
      <c r="N73" s="23" t="s">
        <v>250</v>
      </c>
      <c r="O73" s="23" t="s">
        <v>47</v>
      </c>
      <c r="P73" s="54">
        <v>1.0</v>
      </c>
      <c r="Q73" s="58" t="s">
        <v>504</v>
      </c>
      <c r="R73" s="27" t="str">
        <f>IFERROR(__xludf.DUMMYFUNCTION("IF(REGEXMATCH(N73, ""PRIORITY: Low""), ""Low"", IF(REGEXMATCH(N73, ""PRIORITY: Medium""), ""Medium"", IF(REGEXMATCH(N73, ""PRIORITY: High""), ""High"", """")))
"),"Low")</f>
        <v>Low</v>
      </c>
      <c r="S73" s="27" t="str">
        <f>IFERROR(__xludf.DUMMYFUNCTION("IF(REGEXMATCH(N73, ""SKILL: Low""), ""Low"", IF(REGEXMATCH(N73, ""SKILL: Medium""), ""Medium"", IF(REGEXMATCH(N73, ""SKILL: High""), ""High"", """")))"),"Low")</f>
        <v>Low</v>
      </c>
      <c r="T73" s="27" t="str">
        <f>IFERROR(__xludf.DUMMYFUNCTION("IF(REGEXMATCH(N73, ""STATUS: Dev Complete - Awaiting QA""), ""Dev Complete - Awaiting QA"", IF(REGEXMATCH(N73, ""STATUS: Follow-Up Required""), ""Follow-Up Required"", IF(REGEXMATCH(N73, ""STATUS: In Progress""), ""In Progress"", IF(REGEXMATCH(N73, ""STAT"&amp;"US: In QA""), ""In QA"", IF(REGEXMATCH(N73, ""STATUS: Needs Customer Feedback""), ""Needs Customer Feedback"", IF(REGEXMATCH(N73, ""STATUS: QA Passed - Awaiting Release""), ""QA Passed - Awaiting Release"", IF(REGEXMATCH(N73, ""STATUS: Release to Prod""),"&amp;" ""Release to Prod"", """")))))))"),"In Progress")</f>
        <v>In Progress</v>
      </c>
    </row>
    <row r="74" hidden="1">
      <c r="A74" s="23" t="s">
        <v>82</v>
      </c>
      <c r="B74" s="12" t="s">
        <v>267</v>
      </c>
      <c r="C74" s="54">
        <v>358.0</v>
      </c>
      <c r="D74" s="55" t="s">
        <v>505</v>
      </c>
      <c r="E74" s="56" t="s">
        <v>173</v>
      </c>
      <c r="F74" s="54" t="s">
        <v>506</v>
      </c>
      <c r="G74" s="57" t="str">
        <f t="shared" si="1"/>
        <v>25-Jun-2025</v>
      </c>
      <c r="H74" s="54" t="s">
        <v>57</v>
      </c>
      <c r="I74" s="54" t="s">
        <v>507</v>
      </c>
      <c r="J74" s="27" t="str">
        <f t="shared" si="4"/>
        <v>31-Jul-2025</v>
      </c>
      <c r="K74" s="54" t="s">
        <v>508</v>
      </c>
      <c r="L74" s="27" t="str">
        <f t="shared" si="5"/>
        <v>11-Jul-2025</v>
      </c>
      <c r="M74" s="23" t="s">
        <v>249</v>
      </c>
      <c r="N74" s="23" t="s">
        <v>177</v>
      </c>
      <c r="O74" s="23" t="s">
        <v>57</v>
      </c>
      <c r="P74" s="54">
        <v>3.0</v>
      </c>
      <c r="Q74" s="58" t="s">
        <v>509</v>
      </c>
      <c r="R74" s="27" t="str">
        <f>IFERROR(__xludf.DUMMYFUNCTION("IF(REGEXMATCH(N74, ""PRIORITY: Low""), ""Low"", IF(REGEXMATCH(N74, ""PRIORITY: Medium""), ""Medium"", IF(REGEXMATCH(N74, ""PRIORITY: High""), ""High"", """")))
"),"")</f>
        <v/>
      </c>
      <c r="S74" s="27" t="str">
        <f>IFERROR(__xludf.DUMMYFUNCTION("IF(REGEXMATCH(N74, ""SKILL: Low""), ""Low"", IF(REGEXMATCH(N74, ""SKILL: Medium""), ""Medium"", IF(REGEXMATCH(N74, ""SKILL: High""), ""High"", """")))"),"")</f>
        <v/>
      </c>
      <c r="T74" s="27" t="str">
        <f>IFERROR(__xludf.DUMMYFUNCTION("IF(REGEXMATCH(N74, ""STATUS: Dev Complete - Awaiting QA""), ""Dev Complete - Awaiting QA"", IF(REGEXMATCH(N74, ""STATUS: Follow-Up Required""), ""Follow-Up Required"", IF(REGEXMATCH(N74, ""STATUS: In Progress""), ""In Progress"", IF(REGEXMATCH(N74, ""STAT"&amp;"US: In QA""), ""In QA"", IF(REGEXMATCH(N74, ""STATUS: Needs Customer Feedback""), ""Needs Customer Feedback"", IF(REGEXMATCH(N74, ""STATUS: QA Passed - Awaiting Release""), ""QA Passed - Awaiting Release"", IF(REGEXMATCH(N74, ""STATUS: Release to Prod""),"&amp;" ""Release to Prod"", """")))))))"),"")</f>
        <v/>
      </c>
    </row>
    <row r="75" hidden="1">
      <c r="A75" s="23" t="s">
        <v>82</v>
      </c>
      <c r="B75" s="12" t="s">
        <v>267</v>
      </c>
      <c r="C75" s="54">
        <v>357.0</v>
      </c>
      <c r="D75" s="55" t="s">
        <v>510</v>
      </c>
      <c r="E75" s="56" t="s">
        <v>173</v>
      </c>
      <c r="F75" s="54" t="s">
        <v>511</v>
      </c>
      <c r="G75" s="57" t="str">
        <f t="shared" si="1"/>
        <v>25-Jun-2025</v>
      </c>
      <c r="H75" s="54" t="s">
        <v>57</v>
      </c>
      <c r="I75" s="54" t="s">
        <v>512</v>
      </c>
      <c r="J75" s="27" t="str">
        <f t="shared" si="4"/>
        <v>05-Sep-2025</v>
      </c>
      <c r="K75" s="54" t="s">
        <v>512</v>
      </c>
      <c r="L75" s="27" t="str">
        <f t="shared" si="5"/>
        <v>05-Sep-2025</v>
      </c>
      <c r="M75" s="23" t="s">
        <v>249</v>
      </c>
      <c r="N75" s="23" t="s">
        <v>292</v>
      </c>
      <c r="O75" s="23" t="s">
        <v>51</v>
      </c>
      <c r="P75" s="54">
        <v>3.0</v>
      </c>
      <c r="Q75" s="58" t="s">
        <v>513</v>
      </c>
      <c r="R75" s="27" t="str">
        <f>IFERROR(__xludf.DUMMYFUNCTION("IF(REGEXMATCH(N75, ""PRIORITY: Low""), ""Low"", IF(REGEXMATCH(N75, ""PRIORITY: Medium""), ""Medium"", IF(REGEXMATCH(N75, ""PRIORITY: High""), ""High"", """")))
"),"Low")</f>
        <v>Low</v>
      </c>
      <c r="S75" s="27" t="str">
        <f>IFERROR(__xludf.DUMMYFUNCTION("IF(REGEXMATCH(N75, ""SKILL: Low""), ""Low"", IF(REGEXMATCH(N75, ""SKILL: Medium""), ""Medium"", IF(REGEXMATCH(N75, ""SKILL: High""), ""High"", """")))"),"Low")</f>
        <v>Low</v>
      </c>
      <c r="T75" s="27" t="str">
        <f>IFERROR(__xludf.DUMMYFUNCTION("IF(REGEXMATCH(N75, ""STATUS: Dev Complete - Awaiting QA""), ""Dev Complete - Awaiting QA"", IF(REGEXMATCH(N75, ""STATUS: Follow-Up Required""), ""Follow-Up Required"", IF(REGEXMATCH(N75, ""STATUS: In Progress""), ""In Progress"", IF(REGEXMATCH(N75, ""STAT"&amp;"US: In QA""), ""In QA"", IF(REGEXMATCH(N75, ""STATUS: Needs Customer Feedback""), ""Needs Customer Feedback"", IF(REGEXMATCH(N75, ""STATUS: QA Passed - Awaiting Release""), ""QA Passed - Awaiting Release"", IF(REGEXMATCH(N75, ""STATUS: Release to Prod""),"&amp;" ""Release to Prod"", """")))))))"),"")</f>
        <v/>
      </c>
    </row>
    <row r="76" hidden="1">
      <c r="A76" s="23" t="s">
        <v>82</v>
      </c>
      <c r="B76" s="12" t="s">
        <v>267</v>
      </c>
      <c r="C76" s="54">
        <v>356.0</v>
      </c>
      <c r="D76" s="55" t="s">
        <v>514</v>
      </c>
      <c r="E76" s="56" t="s">
        <v>173</v>
      </c>
      <c r="F76" s="54" t="s">
        <v>515</v>
      </c>
      <c r="G76" s="57" t="str">
        <f t="shared" si="1"/>
        <v>25-Jun-2025</v>
      </c>
      <c r="H76" s="54" t="s">
        <v>57</v>
      </c>
      <c r="I76" s="54" t="s">
        <v>516</v>
      </c>
      <c r="J76" s="27" t="str">
        <f t="shared" si="4"/>
        <v>26-Sep-2025</v>
      </c>
      <c r="K76" s="54" t="s">
        <v>517</v>
      </c>
      <c r="L76" s="27" t="str">
        <f t="shared" si="5"/>
        <v>30-Jun-2025</v>
      </c>
      <c r="M76" s="23" t="s">
        <v>285</v>
      </c>
      <c r="N76" s="23" t="s">
        <v>177</v>
      </c>
      <c r="O76" s="24"/>
      <c r="P76" s="54">
        <v>2.0</v>
      </c>
      <c r="Q76" s="58" t="s">
        <v>518</v>
      </c>
      <c r="R76" s="27" t="str">
        <f>IFERROR(__xludf.DUMMYFUNCTION("IF(REGEXMATCH(N76, ""PRIORITY: Low""), ""Low"", IF(REGEXMATCH(N76, ""PRIORITY: Medium""), ""Medium"", IF(REGEXMATCH(N76, ""PRIORITY: High""), ""High"", """")))
"),"")</f>
        <v/>
      </c>
      <c r="S76" s="27" t="str">
        <f>IFERROR(__xludf.DUMMYFUNCTION("IF(REGEXMATCH(N76, ""SKILL: Low""), ""Low"", IF(REGEXMATCH(N76, ""SKILL: Medium""), ""Medium"", IF(REGEXMATCH(N76, ""SKILL: High""), ""High"", """")))"),"")</f>
        <v/>
      </c>
      <c r="T76" s="27" t="str">
        <f>IFERROR(__xludf.DUMMYFUNCTION("IF(REGEXMATCH(N76, ""STATUS: Dev Complete - Awaiting QA""), ""Dev Complete - Awaiting QA"", IF(REGEXMATCH(N76, ""STATUS: Follow-Up Required""), ""Follow-Up Required"", IF(REGEXMATCH(N76, ""STATUS: In Progress""), ""In Progress"", IF(REGEXMATCH(N76, ""STAT"&amp;"US: In QA""), ""In QA"", IF(REGEXMATCH(N76, ""STATUS: Needs Customer Feedback""), ""Needs Customer Feedback"", IF(REGEXMATCH(N76, ""STATUS: QA Passed - Awaiting Release""), ""QA Passed - Awaiting Release"", IF(REGEXMATCH(N76, ""STATUS: Release to Prod""),"&amp;" ""Release to Prod"", """")))))))"),"")</f>
        <v/>
      </c>
    </row>
    <row r="77" hidden="1">
      <c r="A77" s="23" t="s">
        <v>82</v>
      </c>
      <c r="B77" s="12" t="s">
        <v>267</v>
      </c>
      <c r="C77" s="54">
        <v>355.0</v>
      </c>
      <c r="D77" s="55" t="s">
        <v>519</v>
      </c>
      <c r="E77" s="56" t="s">
        <v>173</v>
      </c>
      <c r="F77" s="54" t="s">
        <v>520</v>
      </c>
      <c r="G77" s="57" t="str">
        <f t="shared" si="1"/>
        <v>25-Jun-2025</v>
      </c>
      <c r="H77" s="54" t="s">
        <v>57</v>
      </c>
      <c r="I77" s="54" t="s">
        <v>521</v>
      </c>
      <c r="J77" s="27" t="str">
        <f t="shared" si="4"/>
        <v>05-Sep-2025</v>
      </c>
      <c r="K77" s="54" t="s">
        <v>521</v>
      </c>
      <c r="L77" s="27" t="str">
        <f t="shared" si="5"/>
        <v>05-Sep-2025</v>
      </c>
      <c r="M77" s="23" t="s">
        <v>285</v>
      </c>
      <c r="N77" s="23" t="s">
        <v>522</v>
      </c>
      <c r="O77" s="23" t="s">
        <v>44</v>
      </c>
      <c r="P77" s="54">
        <v>1.0</v>
      </c>
      <c r="Q77" s="58" t="s">
        <v>523</v>
      </c>
      <c r="R77" s="27" t="str">
        <f>IFERROR(__xludf.DUMMYFUNCTION("IF(REGEXMATCH(N77, ""PRIORITY: Low""), ""Low"", IF(REGEXMATCH(N77, ""PRIORITY: Medium""), ""Medium"", IF(REGEXMATCH(N77, ""PRIORITY: High""), ""High"", """")))
"),"Low")</f>
        <v>Low</v>
      </c>
      <c r="S77" s="27" t="str">
        <f>IFERROR(__xludf.DUMMYFUNCTION("IF(REGEXMATCH(N77, ""SKILL: Low""), ""Low"", IF(REGEXMATCH(N77, ""SKILL: Medium""), ""Medium"", IF(REGEXMATCH(N77, ""SKILL: High""), ""High"", """")))"),"Medium")</f>
        <v>Medium</v>
      </c>
      <c r="T77" s="27" t="str">
        <f>IFERROR(__xludf.DUMMYFUNCTION("IF(REGEXMATCH(N77, ""STATUS: Dev Complete - Awaiting QA""), ""Dev Complete - Awaiting QA"", IF(REGEXMATCH(N77, ""STATUS: Follow-Up Required""), ""Follow-Up Required"", IF(REGEXMATCH(N77, ""STATUS: In Progress""), ""In Progress"", IF(REGEXMATCH(N77, ""STAT"&amp;"US: In QA""), ""In QA"", IF(REGEXMATCH(N77, ""STATUS: Needs Customer Feedback""), ""Needs Customer Feedback"", IF(REGEXMATCH(N77, ""STATUS: QA Passed - Awaiting Release""), ""QA Passed - Awaiting Release"", IF(REGEXMATCH(N77, ""STATUS: Release to Prod""),"&amp;" ""Release to Prod"", """")))))))"),"")</f>
        <v/>
      </c>
    </row>
    <row r="78" hidden="1">
      <c r="A78" s="23" t="s">
        <v>82</v>
      </c>
      <c r="B78" s="12" t="s">
        <v>267</v>
      </c>
      <c r="C78" s="54">
        <v>354.0</v>
      </c>
      <c r="D78" s="55" t="s">
        <v>524</v>
      </c>
      <c r="E78" s="56" t="s">
        <v>173</v>
      </c>
      <c r="F78" s="54" t="s">
        <v>525</v>
      </c>
      <c r="G78" s="57" t="str">
        <f t="shared" si="1"/>
        <v>24-Jun-2025</v>
      </c>
      <c r="H78" s="54" t="s">
        <v>57</v>
      </c>
      <c r="I78" s="54" t="s">
        <v>516</v>
      </c>
      <c r="J78" s="27" t="str">
        <f t="shared" si="4"/>
        <v>26-Sep-2025</v>
      </c>
      <c r="K78" s="54" t="s">
        <v>526</v>
      </c>
      <c r="L78" s="27" t="str">
        <f t="shared" si="5"/>
        <v>27-Jun-2025</v>
      </c>
      <c r="M78" s="23" t="s">
        <v>249</v>
      </c>
      <c r="N78" s="23" t="s">
        <v>177</v>
      </c>
      <c r="O78" s="24"/>
      <c r="P78" s="54">
        <v>1.0</v>
      </c>
      <c r="Q78" s="58" t="s">
        <v>527</v>
      </c>
      <c r="R78" s="27" t="str">
        <f>IFERROR(__xludf.DUMMYFUNCTION("IF(REGEXMATCH(N78, ""PRIORITY: Low""), ""Low"", IF(REGEXMATCH(N78, ""PRIORITY: Medium""), ""Medium"", IF(REGEXMATCH(N78, ""PRIORITY: High""), ""High"", """")))
"),"")</f>
        <v/>
      </c>
      <c r="S78" s="27" t="str">
        <f>IFERROR(__xludf.DUMMYFUNCTION("IF(REGEXMATCH(N78, ""SKILL: Low""), ""Low"", IF(REGEXMATCH(N78, ""SKILL: Medium""), ""Medium"", IF(REGEXMATCH(N78, ""SKILL: High""), ""High"", """")))"),"")</f>
        <v/>
      </c>
      <c r="T78" s="27" t="str">
        <f>IFERROR(__xludf.DUMMYFUNCTION("IF(REGEXMATCH(N78, ""STATUS: Dev Complete - Awaiting QA""), ""Dev Complete - Awaiting QA"", IF(REGEXMATCH(N78, ""STATUS: Follow-Up Required""), ""Follow-Up Required"", IF(REGEXMATCH(N78, ""STATUS: In Progress""), ""In Progress"", IF(REGEXMATCH(N78, ""STAT"&amp;"US: In QA""), ""In QA"", IF(REGEXMATCH(N78, ""STATUS: Needs Customer Feedback""), ""Needs Customer Feedback"", IF(REGEXMATCH(N78, ""STATUS: QA Passed - Awaiting Release""), ""QA Passed - Awaiting Release"", IF(REGEXMATCH(N78, ""STATUS: Release to Prod""),"&amp;" ""Release to Prod"", """")))))))"),"")</f>
        <v/>
      </c>
    </row>
    <row r="79" hidden="1">
      <c r="A79" s="23" t="s">
        <v>82</v>
      </c>
      <c r="B79" s="12" t="s">
        <v>267</v>
      </c>
      <c r="C79" s="54">
        <v>353.0</v>
      </c>
      <c r="D79" s="55" t="s">
        <v>528</v>
      </c>
      <c r="E79" s="56" t="s">
        <v>173</v>
      </c>
      <c r="F79" s="54" t="s">
        <v>529</v>
      </c>
      <c r="G79" s="57" t="str">
        <f t="shared" si="1"/>
        <v>24-Jun-2025</v>
      </c>
      <c r="H79" s="54" t="s">
        <v>57</v>
      </c>
      <c r="I79" s="54" t="s">
        <v>530</v>
      </c>
      <c r="J79" s="27" t="str">
        <f t="shared" si="4"/>
        <v>31-Jul-2025</v>
      </c>
      <c r="K79" s="54" t="s">
        <v>530</v>
      </c>
      <c r="L79" s="27" t="str">
        <f t="shared" si="5"/>
        <v>31-Jul-2025</v>
      </c>
      <c r="M79" s="23" t="s">
        <v>249</v>
      </c>
      <c r="N79" s="23" t="s">
        <v>361</v>
      </c>
      <c r="O79" s="23" t="s">
        <v>44</v>
      </c>
      <c r="P79" s="54">
        <v>1.0</v>
      </c>
      <c r="Q79" s="58" t="s">
        <v>531</v>
      </c>
      <c r="R79" s="27" t="str">
        <f>IFERROR(__xludf.DUMMYFUNCTION("IF(REGEXMATCH(N79, ""PRIORITY: Low""), ""Low"", IF(REGEXMATCH(N79, ""PRIORITY: Medium""), ""Medium"", IF(REGEXMATCH(N79, ""PRIORITY: High""), ""High"", """")))
"),"Medium")</f>
        <v>Medium</v>
      </c>
      <c r="S79" s="27" t="str">
        <f>IFERROR(__xludf.DUMMYFUNCTION("IF(REGEXMATCH(N79, ""SKILL: Low""), ""Low"", IF(REGEXMATCH(N79, ""SKILL: Medium""), ""Medium"", IF(REGEXMATCH(N79, ""SKILL: High""), ""High"", """")))"),"Low")</f>
        <v>Low</v>
      </c>
      <c r="T79" s="27" t="str">
        <f>IFERROR(__xludf.DUMMYFUNCTION("IF(REGEXMATCH(N79, ""STATUS: Dev Complete - Awaiting QA""), ""Dev Complete - Awaiting QA"", IF(REGEXMATCH(N79, ""STATUS: Follow-Up Required""), ""Follow-Up Required"", IF(REGEXMATCH(N79, ""STATUS: In Progress""), ""In Progress"", IF(REGEXMATCH(N79, ""STAT"&amp;"US: In QA""), ""In QA"", IF(REGEXMATCH(N79, ""STATUS: Needs Customer Feedback""), ""Needs Customer Feedback"", IF(REGEXMATCH(N79, ""STATUS: QA Passed - Awaiting Release""), ""QA Passed - Awaiting Release"", IF(REGEXMATCH(N79, ""STATUS: Release to Prod""),"&amp;" ""Release to Prod"", """")))))))"),"")</f>
        <v/>
      </c>
    </row>
    <row r="80" hidden="1">
      <c r="A80" s="23" t="s">
        <v>82</v>
      </c>
      <c r="B80" s="12" t="s">
        <v>267</v>
      </c>
      <c r="C80" s="54">
        <v>352.0</v>
      </c>
      <c r="D80" s="55" t="s">
        <v>532</v>
      </c>
      <c r="E80" s="56" t="s">
        <v>173</v>
      </c>
      <c r="F80" s="54" t="s">
        <v>533</v>
      </c>
      <c r="G80" s="57" t="str">
        <f t="shared" si="1"/>
        <v>18-Jun-2025</v>
      </c>
      <c r="H80" s="54" t="s">
        <v>57</v>
      </c>
      <c r="I80" s="54" t="s">
        <v>534</v>
      </c>
      <c r="J80" s="27" t="str">
        <f t="shared" si="4"/>
        <v>26-Sep-2025</v>
      </c>
      <c r="K80" s="54" t="s">
        <v>535</v>
      </c>
      <c r="L80" s="27" t="str">
        <f t="shared" si="5"/>
        <v>30-Jun-2025</v>
      </c>
      <c r="M80" s="23" t="s">
        <v>291</v>
      </c>
      <c r="N80" s="23" t="s">
        <v>177</v>
      </c>
      <c r="O80" s="24"/>
      <c r="P80" s="54">
        <v>3.0</v>
      </c>
      <c r="Q80" s="58" t="s">
        <v>536</v>
      </c>
      <c r="R80" s="27" t="str">
        <f>IFERROR(__xludf.DUMMYFUNCTION("IF(REGEXMATCH(N80, ""PRIORITY: Low""), ""Low"", IF(REGEXMATCH(N80, ""PRIORITY: Medium""), ""Medium"", IF(REGEXMATCH(N80, ""PRIORITY: High""), ""High"", """")))
"),"")</f>
        <v/>
      </c>
      <c r="S80" s="27" t="str">
        <f>IFERROR(__xludf.DUMMYFUNCTION("IF(REGEXMATCH(N80, ""SKILL: Low""), ""Low"", IF(REGEXMATCH(N80, ""SKILL: Medium""), ""Medium"", IF(REGEXMATCH(N80, ""SKILL: High""), ""High"", """")))"),"")</f>
        <v/>
      </c>
      <c r="T80" s="27" t="str">
        <f>IFERROR(__xludf.DUMMYFUNCTION("IF(REGEXMATCH(N80, ""STATUS: Dev Complete - Awaiting QA""), ""Dev Complete - Awaiting QA"", IF(REGEXMATCH(N80, ""STATUS: Follow-Up Required""), ""Follow-Up Required"", IF(REGEXMATCH(N80, ""STATUS: In Progress""), ""In Progress"", IF(REGEXMATCH(N80, ""STAT"&amp;"US: In QA""), ""In QA"", IF(REGEXMATCH(N80, ""STATUS: Needs Customer Feedback""), ""Needs Customer Feedback"", IF(REGEXMATCH(N80, ""STATUS: QA Passed - Awaiting Release""), ""QA Passed - Awaiting Release"", IF(REGEXMATCH(N80, ""STATUS: Release to Prod""),"&amp;" ""Release to Prod"", """")))))))"),"")</f>
        <v/>
      </c>
    </row>
    <row r="81" hidden="1">
      <c r="A81" s="23" t="s">
        <v>82</v>
      </c>
      <c r="B81" s="12" t="s">
        <v>267</v>
      </c>
      <c r="C81" s="54">
        <v>351.0</v>
      </c>
      <c r="D81" s="55" t="s">
        <v>537</v>
      </c>
      <c r="E81" s="56" t="s">
        <v>173</v>
      </c>
      <c r="F81" s="54" t="s">
        <v>538</v>
      </c>
      <c r="G81" s="57" t="str">
        <f t="shared" si="1"/>
        <v>18-Jun-2025</v>
      </c>
      <c r="H81" s="54" t="s">
        <v>57</v>
      </c>
      <c r="I81" s="54" t="s">
        <v>534</v>
      </c>
      <c r="J81" s="27" t="str">
        <f t="shared" si="4"/>
        <v>26-Sep-2025</v>
      </c>
      <c r="K81" s="54" t="s">
        <v>539</v>
      </c>
      <c r="L81" s="27" t="str">
        <f t="shared" si="5"/>
        <v>27-Jun-2025</v>
      </c>
      <c r="M81" s="23" t="s">
        <v>291</v>
      </c>
      <c r="N81" s="23" t="s">
        <v>177</v>
      </c>
      <c r="O81" s="24"/>
      <c r="P81" s="54">
        <v>5.0</v>
      </c>
      <c r="Q81" s="58" t="s">
        <v>540</v>
      </c>
      <c r="R81" s="27" t="str">
        <f>IFERROR(__xludf.DUMMYFUNCTION("IF(REGEXMATCH(N81, ""PRIORITY: Low""), ""Low"", IF(REGEXMATCH(N81, ""PRIORITY: Medium""), ""Medium"", IF(REGEXMATCH(N81, ""PRIORITY: High""), ""High"", """")))
"),"")</f>
        <v/>
      </c>
      <c r="S81" s="27" t="str">
        <f>IFERROR(__xludf.DUMMYFUNCTION("IF(REGEXMATCH(N81, ""SKILL: Low""), ""Low"", IF(REGEXMATCH(N81, ""SKILL: Medium""), ""Medium"", IF(REGEXMATCH(N81, ""SKILL: High""), ""High"", """")))"),"")</f>
        <v/>
      </c>
      <c r="T81" s="27" t="str">
        <f>IFERROR(__xludf.DUMMYFUNCTION("IF(REGEXMATCH(N81, ""STATUS: Dev Complete - Awaiting QA""), ""Dev Complete - Awaiting QA"", IF(REGEXMATCH(N81, ""STATUS: Follow-Up Required""), ""Follow-Up Required"", IF(REGEXMATCH(N81, ""STATUS: In Progress""), ""In Progress"", IF(REGEXMATCH(N81, ""STAT"&amp;"US: In QA""), ""In QA"", IF(REGEXMATCH(N81, ""STATUS: Needs Customer Feedback""), ""Needs Customer Feedback"", IF(REGEXMATCH(N81, ""STATUS: QA Passed - Awaiting Release""), ""QA Passed - Awaiting Release"", IF(REGEXMATCH(N81, ""STATUS: Release to Prod""),"&amp;" ""Release to Prod"", """")))))))"),"")</f>
        <v/>
      </c>
    </row>
    <row r="82" hidden="1">
      <c r="A82" s="23" t="s">
        <v>82</v>
      </c>
      <c r="B82" s="12" t="s">
        <v>267</v>
      </c>
      <c r="C82" s="54">
        <v>350.0</v>
      </c>
      <c r="D82" s="55" t="s">
        <v>541</v>
      </c>
      <c r="E82" s="56" t="s">
        <v>173</v>
      </c>
      <c r="F82" s="54" t="s">
        <v>542</v>
      </c>
      <c r="G82" s="57" t="str">
        <f t="shared" si="1"/>
        <v>18-Jun-2025</v>
      </c>
      <c r="H82" s="54" t="s">
        <v>57</v>
      </c>
      <c r="I82" s="54" t="s">
        <v>507</v>
      </c>
      <c r="J82" s="27" t="str">
        <f t="shared" si="4"/>
        <v>31-Jul-2025</v>
      </c>
      <c r="K82" s="54" t="s">
        <v>543</v>
      </c>
      <c r="L82" s="27" t="str">
        <f t="shared" si="5"/>
        <v>11-Jul-2025</v>
      </c>
      <c r="M82" s="23" t="s">
        <v>285</v>
      </c>
      <c r="N82" s="23" t="s">
        <v>177</v>
      </c>
      <c r="O82" s="23" t="s">
        <v>57</v>
      </c>
      <c r="P82" s="54">
        <v>4.0</v>
      </c>
      <c r="Q82" s="58" t="s">
        <v>544</v>
      </c>
      <c r="R82" s="27" t="str">
        <f>IFERROR(__xludf.DUMMYFUNCTION("IF(REGEXMATCH(N82, ""PRIORITY: Low""), ""Low"", IF(REGEXMATCH(N82, ""PRIORITY: Medium""), ""Medium"", IF(REGEXMATCH(N82, ""PRIORITY: High""), ""High"", """")))
"),"")</f>
        <v/>
      </c>
      <c r="S82" s="27" t="str">
        <f>IFERROR(__xludf.DUMMYFUNCTION("IF(REGEXMATCH(N82, ""SKILL: Low""), ""Low"", IF(REGEXMATCH(N82, ""SKILL: Medium""), ""Medium"", IF(REGEXMATCH(N82, ""SKILL: High""), ""High"", """")))"),"")</f>
        <v/>
      </c>
      <c r="T82" s="27" t="str">
        <f>IFERROR(__xludf.DUMMYFUNCTION("IF(REGEXMATCH(N82, ""STATUS: Dev Complete - Awaiting QA""), ""Dev Complete - Awaiting QA"", IF(REGEXMATCH(N82, ""STATUS: Follow-Up Required""), ""Follow-Up Required"", IF(REGEXMATCH(N82, ""STATUS: In Progress""), ""In Progress"", IF(REGEXMATCH(N82, ""STAT"&amp;"US: In QA""), ""In QA"", IF(REGEXMATCH(N82, ""STATUS: Needs Customer Feedback""), ""Needs Customer Feedback"", IF(REGEXMATCH(N82, ""STATUS: QA Passed - Awaiting Release""), ""QA Passed - Awaiting Release"", IF(REGEXMATCH(N82, ""STATUS: Release to Prod""),"&amp;" ""Release to Prod"", """")))))))"),"")</f>
        <v/>
      </c>
    </row>
    <row r="83" hidden="1">
      <c r="A83" s="23" t="s">
        <v>82</v>
      </c>
      <c r="B83" s="12" t="s">
        <v>267</v>
      </c>
      <c r="C83" s="54">
        <v>349.0</v>
      </c>
      <c r="D83" s="55" t="s">
        <v>545</v>
      </c>
      <c r="E83" s="56" t="s">
        <v>173</v>
      </c>
      <c r="F83" s="54" t="s">
        <v>546</v>
      </c>
      <c r="G83" s="57" t="str">
        <f t="shared" si="1"/>
        <v>18-Jun-2025</v>
      </c>
      <c r="H83" s="54" t="s">
        <v>57</v>
      </c>
      <c r="I83" s="54" t="s">
        <v>507</v>
      </c>
      <c r="J83" s="27" t="str">
        <f t="shared" si="4"/>
        <v>31-Jul-2025</v>
      </c>
      <c r="K83" s="54" t="s">
        <v>547</v>
      </c>
      <c r="L83" s="27" t="str">
        <f t="shared" si="5"/>
        <v>11-Jul-2025</v>
      </c>
      <c r="M83" s="23" t="s">
        <v>285</v>
      </c>
      <c r="N83" s="23" t="s">
        <v>177</v>
      </c>
      <c r="O83" s="23" t="s">
        <v>57</v>
      </c>
      <c r="P83" s="54">
        <v>3.0</v>
      </c>
      <c r="Q83" s="58" t="s">
        <v>548</v>
      </c>
      <c r="R83" s="27" t="str">
        <f>IFERROR(__xludf.DUMMYFUNCTION("IF(REGEXMATCH(N83, ""PRIORITY: Low""), ""Low"", IF(REGEXMATCH(N83, ""PRIORITY: Medium""), ""Medium"", IF(REGEXMATCH(N83, ""PRIORITY: High""), ""High"", """")))
"),"")</f>
        <v/>
      </c>
      <c r="S83" s="27" t="str">
        <f>IFERROR(__xludf.DUMMYFUNCTION("IF(REGEXMATCH(N83, ""SKILL: Low""), ""Low"", IF(REGEXMATCH(N83, ""SKILL: Medium""), ""Medium"", IF(REGEXMATCH(N83, ""SKILL: High""), ""High"", """")))"),"")</f>
        <v/>
      </c>
      <c r="T83" s="27" t="str">
        <f>IFERROR(__xludf.DUMMYFUNCTION("IF(REGEXMATCH(N83, ""STATUS: Dev Complete - Awaiting QA""), ""Dev Complete - Awaiting QA"", IF(REGEXMATCH(N83, ""STATUS: Follow-Up Required""), ""Follow-Up Required"", IF(REGEXMATCH(N83, ""STATUS: In Progress""), ""In Progress"", IF(REGEXMATCH(N83, ""STAT"&amp;"US: In QA""), ""In QA"", IF(REGEXMATCH(N83, ""STATUS: Needs Customer Feedback""), ""Needs Customer Feedback"", IF(REGEXMATCH(N83, ""STATUS: QA Passed - Awaiting Release""), ""QA Passed - Awaiting Release"", IF(REGEXMATCH(N83, ""STATUS: Release to Prod""),"&amp;" ""Release to Prod"", """")))))))"),"")</f>
        <v/>
      </c>
    </row>
    <row r="84" hidden="1">
      <c r="A84" s="23" t="s">
        <v>82</v>
      </c>
      <c r="B84" s="12" t="s">
        <v>267</v>
      </c>
      <c r="C84" s="54">
        <v>348.0</v>
      </c>
      <c r="D84" s="55" t="s">
        <v>549</v>
      </c>
      <c r="E84" s="56" t="s">
        <v>173</v>
      </c>
      <c r="F84" s="54" t="s">
        <v>550</v>
      </c>
      <c r="G84" s="57" t="str">
        <f t="shared" si="1"/>
        <v>18-Jun-2025</v>
      </c>
      <c r="H84" s="54" t="s">
        <v>95</v>
      </c>
      <c r="I84" s="54" t="s">
        <v>551</v>
      </c>
      <c r="J84" s="27" t="str">
        <f t="shared" si="4"/>
        <v>31-Jul-2025</v>
      </c>
      <c r="K84" s="54" t="s">
        <v>552</v>
      </c>
      <c r="L84" s="27" t="str">
        <f t="shared" si="5"/>
        <v>24-Jun-2025</v>
      </c>
      <c r="M84" s="23" t="s">
        <v>249</v>
      </c>
      <c r="N84" s="23" t="s">
        <v>177</v>
      </c>
      <c r="O84" s="23" t="s">
        <v>553</v>
      </c>
      <c r="P84" s="54">
        <v>3.0</v>
      </c>
      <c r="Q84" s="58" t="s">
        <v>554</v>
      </c>
      <c r="R84" s="27" t="str">
        <f>IFERROR(__xludf.DUMMYFUNCTION("IF(REGEXMATCH(N84, ""PRIORITY: Low""), ""Low"", IF(REGEXMATCH(N84, ""PRIORITY: Medium""), ""Medium"", IF(REGEXMATCH(N84, ""PRIORITY: High""), ""High"", """")))
"),"")</f>
        <v/>
      </c>
      <c r="S84" s="27" t="str">
        <f>IFERROR(__xludf.DUMMYFUNCTION("IF(REGEXMATCH(N84, ""SKILL: Low""), ""Low"", IF(REGEXMATCH(N84, ""SKILL: Medium""), ""Medium"", IF(REGEXMATCH(N84, ""SKILL: High""), ""High"", """")))"),"")</f>
        <v/>
      </c>
      <c r="T84" s="27" t="str">
        <f>IFERROR(__xludf.DUMMYFUNCTION("IF(REGEXMATCH(N84, ""STATUS: Dev Complete - Awaiting QA""), ""Dev Complete - Awaiting QA"", IF(REGEXMATCH(N84, ""STATUS: Follow-Up Required""), ""Follow-Up Required"", IF(REGEXMATCH(N84, ""STATUS: In Progress""), ""In Progress"", IF(REGEXMATCH(N84, ""STAT"&amp;"US: In QA""), ""In QA"", IF(REGEXMATCH(N84, ""STATUS: Needs Customer Feedback""), ""Needs Customer Feedback"", IF(REGEXMATCH(N84, ""STATUS: QA Passed - Awaiting Release""), ""QA Passed - Awaiting Release"", IF(REGEXMATCH(N84, ""STATUS: Release to Prod""),"&amp;" ""Release to Prod"", """")))))))"),"")</f>
        <v/>
      </c>
    </row>
    <row r="85" hidden="1">
      <c r="A85" s="23" t="s">
        <v>82</v>
      </c>
      <c r="B85" s="12" t="s">
        <v>267</v>
      </c>
      <c r="C85" s="54">
        <v>346.0</v>
      </c>
      <c r="D85" s="55" t="s">
        <v>555</v>
      </c>
      <c r="E85" s="56" t="s">
        <v>173</v>
      </c>
      <c r="F85" s="54" t="s">
        <v>556</v>
      </c>
      <c r="G85" s="57" t="str">
        <f t="shared" si="1"/>
        <v>13-Jun-2025</v>
      </c>
      <c r="H85" s="54" t="s">
        <v>57</v>
      </c>
      <c r="I85" s="54" t="s">
        <v>551</v>
      </c>
      <c r="J85" s="27" t="str">
        <f t="shared" si="4"/>
        <v>31-Jul-2025</v>
      </c>
      <c r="K85" s="54" t="s">
        <v>557</v>
      </c>
      <c r="L85" s="27" t="str">
        <f t="shared" si="5"/>
        <v>24-Jun-2025</v>
      </c>
      <c r="M85" s="23" t="s">
        <v>285</v>
      </c>
      <c r="N85" s="23" t="s">
        <v>177</v>
      </c>
      <c r="O85" s="23" t="s">
        <v>57</v>
      </c>
      <c r="P85" s="54">
        <v>4.0</v>
      </c>
      <c r="Q85" s="58" t="s">
        <v>558</v>
      </c>
      <c r="R85" s="27" t="str">
        <f>IFERROR(__xludf.DUMMYFUNCTION("IF(REGEXMATCH(N85, ""PRIORITY: Low""), ""Low"", IF(REGEXMATCH(N85, ""PRIORITY: Medium""), ""Medium"", IF(REGEXMATCH(N85, ""PRIORITY: High""), ""High"", """")))
"),"")</f>
        <v/>
      </c>
      <c r="S85" s="27" t="str">
        <f>IFERROR(__xludf.DUMMYFUNCTION("IF(REGEXMATCH(N85, ""SKILL: Low""), ""Low"", IF(REGEXMATCH(N85, ""SKILL: Medium""), ""Medium"", IF(REGEXMATCH(N85, ""SKILL: High""), ""High"", """")))"),"")</f>
        <v/>
      </c>
      <c r="T85" s="27" t="str">
        <f>IFERROR(__xludf.DUMMYFUNCTION("IF(REGEXMATCH(N85, ""STATUS: Dev Complete - Awaiting QA""), ""Dev Complete - Awaiting QA"", IF(REGEXMATCH(N85, ""STATUS: Follow-Up Required""), ""Follow-Up Required"", IF(REGEXMATCH(N85, ""STATUS: In Progress""), ""In Progress"", IF(REGEXMATCH(N85, ""STAT"&amp;"US: In QA""), ""In QA"", IF(REGEXMATCH(N85, ""STATUS: Needs Customer Feedback""), ""Needs Customer Feedback"", IF(REGEXMATCH(N85, ""STATUS: QA Passed - Awaiting Release""), ""QA Passed - Awaiting Release"", IF(REGEXMATCH(N85, ""STATUS: Release to Prod""),"&amp;" ""Release to Prod"", """")))))))"),"")</f>
        <v/>
      </c>
    </row>
    <row r="86" hidden="1">
      <c r="A86" s="23" t="s">
        <v>82</v>
      </c>
      <c r="B86" s="12" t="s">
        <v>267</v>
      </c>
      <c r="C86" s="54">
        <v>345.0</v>
      </c>
      <c r="D86" s="55" t="s">
        <v>559</v>
      </c>
      <c r="E86" s="56" t="s">
        <v>173</v>
      </c>
      <c r="F86" s="54" t="s">
        <v>560</v>
      </c>
      <c r="G86" s="57" t="str">
        <f t="shared" si="1"/>
        <v>13-Jun-2025</v>
      </c>
      <c r="H86" s="54" t="s">
        <v>57</v>
      </c>
      <c r="I86" s="54" t="s">
        <v>551</v>
      </c>
      <c r="J86" s="27" t="str">
        <f t="shared" si="4"/>
        <v>31-Jul-2025</v>
      </c>
      <c r="K86" s="54" t="s">
        <v>561</v>
      </c>
      <c r="L86" s="27" t="str">
        <f t="shared" si="5"/>
        <v>11-Jul-2025</v>
      </c>
      <c r="M86" s="23" t="s">
        <v>285</v>
      </c>
      <c r="N86" s="23" t="s">
        <v>177</v>
      </c>
      <c r="O86" s="24"/>
      <c r="P86" s="54">
        <v>6.0</v>
      </c>
      <c r="Q86" s="58" t="s">
        <v>562</v>
      </c>
      <c r="R86" s="27" t="str">
        <f>IFERROR(__xludf.DUMMYFUNCTION("IF(REGEXMATCH(N86, ""PRIORITY: Low""), ""Low"", IF(REGEXMATCH(N86, ""PRIORITY: Medium""), ""Medium"", IF(REGEXMATCH(N86, ""PRIORITY: High""), ""High"", """")))
"),"")</f>
        <v/>
      </c>
      <c r="S86" s="27" t="str">
        <f>IFERROR(__xludf.DUMMYFUNCTION("IF(REGEXMATCH(N86, ""SKILL: Low""), ""Low"", IF(REGEXMATCH(N86, ""SKILL: Medium""), ""Medium"", IF(REGEXMATCH(N86, ""SKILL: High""), ""High"", """")))"),"")</f>
        <v/>
      </c>
      <c r="T86" s="27" t="str">
        <f>IFERROR(__xludf.DUMMYFUNCTION("IF(REGEXMATCH(N86, ""STATUS: Dev Complete - Awaiting QA""), ""Dev Complete - Awaiting QA"", IF(REGEXMATCH(N86, ""STATUS: Follow-Up Required""), ""Follow-Up Required"", IF(REGEXMATCH(N86, ""STATUS: In Progress""), ""In Progress"", IF(REGEXMATCH(N86, ""STAT"&amp;"US: In QA""), ""In QA"", IF(REGEXMATCH(N86, ""STATUS: Needs Customer Feedback""), ""Needs Customer Feedback"", IF(REGEXMATCH(N86, ""STATUS: QA Passed - Awaiting Release""), ""QA Passed - Awaiting Release"", IF(REGEXMATCH(N86, ""STATUS: Release to Prod""),"&amp;" ""Release to Prod"", """")))))))"),"")</f>
        <v/>
      </c>
    </row>
    <row r="87" hidden="1">
      <c r="A87" s="23" t="s">
        <v>82</v>
      </c>
      <c r="B87" s="12" t="s">
        <v>267</v>
      </c>
      <c r="C87" s="54">
        <v>344.0</v>
      </c>
      <c r="D87" s="55" t="s">
        <v>563</v>
      </c>
      <c r="E87" s="56" t="s">
        <v>173</v>
      </c>
      <c r="F87" s="54" t="s">
        <v>564</v>
      </c>
      <c r="G87" s="57" t="str">
        <f t="shared" si="1"/>
        <v>13-Jun-2025</v>
      </c>
      <c r="H87" s="54" t="s">
        <v>57</v>
      </c>
      <c r="I87" s="54" t="s">
        <v>565</v>
      </c>
      <c r="J87" s="27" t="str">
        <f t="shared" si="4"/>
        <v>26-Sep-2025</v>
      </c>
      <c r="K87" s="54" t="s">
        <v>566</v>
      </c>
      <c r="L87" s="27" t="str">
        <f t="shared" si="5"/>
        <v>18-Jun-2025</v>
      </c>
      <c r="M87" s="23" t="s">
        <v>249</v>
      </c>
      <c r="N87" s="23" t="s">
        <v>177</v>
      </c>
      <c r="O87" s="24"/>
      <c r="P87" s="54">
        <v>1.0</v>
      </c>
      <c r="Q87" s="58" t="s">
        <v>567</v>
      </c>
      <c r="R87" s="27" t="str">
        <f>IFERROR(__xludf.DUMMYFUNCTION("IF(REGEXMATCH(N87, ""PRIORITY: Low""), ""Low"", IF(REGEXMATCH(N87, ""PRIORITY: Medium""), ""Medium"", IF(REGEXMATCH(N87, ""PRIORITY: High""), ""High"", """")))
"),"")</f>
        <v/>
      </c>
      <c r="S87" s="27" t="str">
        <f>IFERROR(__xludf.DUMMYFUNCTION("IF(REGEXMATCH(N87, ""SKILL: Low""), ""Low"", IF(REGEXMATCH(N87, ""SKILL: Medium""), ""Medium"", IF(REGEXMATCH(N87, ""SKILL: High""), ""High"", """")))"),"")</f>
        <v/>
      </c>
      <c r="T87" s="27" t="str">
        <f>IFERROR(__xludf.DUMMYFUNCTION("IF(REGEXMATCH(N87, ""STATUS: Dev Complete - Awaiting QA""), ""Dev Complete - Awaiting QA"", IF(REGEXMATCH(N87, ""STATUS: Follow-Up Required""), ""Follow-Up Required"", IF(REGEXMATCH(N87, ""STATUS: In Progress""), ""In Progress"", IF(REGEXMATCH(N87, ""STAT"&amp;"US: In QA""), ""In QA"", IF(REGEXMATCH(N87, ""STATUS: Needs Customer Feedback""), ""Needs Customer Feedback"", IF(REGEXMATCH(N87, ""STATUS: QA Passed - Awaiting Release""), ""QA Passed - Awaiting Release"", IF(REGEXMATCH(N87, ""STATUS: Release to Prod""),"&amp;" ""Release to Prod"", """")))))))"),"")</f>
        <v/>
      </c>
    </row>
    <row r="88" hidden="1">
      <c r="A88" s="23" t="s">
        <v>82</v>
      </c>
      <c r="B88" s="12" t="s">
        <v>267</v>
      </c>
      <c r="C88" s="54">
        <v>342.0</v>
      </c>
      <c r="D88" s="55" t="s">
        <v>568</v>
      </c>
      <c r="E88" s="56" t="s">
        <v>173</v>
      </c>
      <c r="F88" s="54" t="s">
        <v>569</v>
      </c>
      <c r="G88" s="57" t="str">
        <f t="shared" si="1"/>
        <v>12-Jun-2025</v>
      </c>
      <c r="H88" s="54" t="s">
        <v>57</v>
      </c>
      <c r="I88" s="54" t="s">
        <v>570</v>
      </c>
      <c r="J88" s="27" t="str">
        <f t="shared" si="4"/>
        <v>26-Sep-2025</v>
      </c>
      <c r="K88" s="54" t="s">
        <v>571</v>
      </c>
      <c r="L88" s="27" t="str">
        <f t="shared" si="5"/>
        <v>30-Jun-2025</v>
      </c>
      <c r="M88" s="23" t="s">
        <v>285</v>
      </c>
      <c r="N88" s="23" t="s">
        <v>177</v>
      </c>
      <c r="O88" s="24"/>
      <c r="P88" s="54">
        <v>5.0</v>
      </c>
      <c r="Q88" s="58" t="s">
        <v>572</v>
      </c>
      <c r="R88" s="27" t="str">
        <f>IFERROR(__xludf.DUMMYFUNCTION("IF(REGEXMATCH(N88, ""PRIORITY: Low""), ""Low"", IF(REGEXMATCH(N88, ""PRIORITY: Medium""), ""Medium"", IF(REGEXMATCH(N88, ""PRIORITY: High""), ""High"", """")))
"),"")</f>
        <v/>
      </c>
      <c r="S88" s="27" t="str">
        <f>IFERROR(__xludf.DUMMYFUNCTION("IF(REGEXMATCH(N88, ""SKILL: Low""), ""Low"", IF(REGEXMATCH(N88, ""SKILL: Medium""), ""Medium"", IF(REGEXMATCH(N88, ""SKILL: High""), ""High"", """")))"),"")</f>
        <v/>
      </c>
      <c r="T88" s="27" t="str">
        <f>IFERROR(__xludf.DUMMYFUNCTION("IF(REGEXMATCH(N88, ""STATUS: Dev Complete - Awaiting QA""), ""Dev Complete - Awaiting QA"", IF(REGEXMATCH(N88, ""STATUS: Follow-Up Required""), ""Follow-Up Required"", IF(REGEXMATCH(N88, ""STATUS: In Progress""), ""In Progress"", IF(REGEXMATCH(N88, ""STAT"&amp;"US: In QA""), ""In QA"", IF(REGEXMATCH(N88, ""STATUS: Needs Customer Feedback""), ""Needs Customer Feedback"", IF(REGEXMATCH(N88, ""STATUS: QA Passed - Awaiting Release""), ""QA Passed - Awaiting Release"", IF(REGEXMATCH(N88, ""STATUS: Release to Prod""),"&amp;" ""Release to Prod"", """")))))))"),"")</f>
        <v/>
      </c>
    </row>
    <row r="89" hidden="1">
      <c r="A89" s="23" t="s">
        <v>82</v>
      </c>
      <c r="B89" s="12" t="s">
        <v>267</v>
      </c>
      <c r="C89" s="54">
        <v>341.0</v>
      </c>
      <c r="D89" s="55" t="s">
        <v>573</v>
      </c>
      <c r="E89" s="56" t="s">
        <v>173</v>
      </c>
      <c r="F89" s="54" t="s">
        <v>574</v>
      </c>
      <c r="G89" s="57" t="str">
        <f t="shared" si="1"/>
        <v>11-Jun-2025</v>
      </c>
      <c r="H89" s="54" t="s">
        <v>57</v>
      </c>
      <c r="I89" s="54" t="s">
        <v>570</v>
      </c>
      <c r="J89" s="27" t="str">
        <f t="shared" si="4"/>
        <v>26-Sep-2025</v>
      </c>
      <c r="K89" s="54" t="s">
        <v>575</v>
      </c>
      <c r="L89" s="27" t="str">
        <f t="shared" si="5"/>
        <v>11-Jun-2025</v>
      </c>
      <c r="M89" s="23" t="s">
        <v>249</v>
      </c>
      <c r="N89" s="23" t="s">
        <v>177</v>
      </c>
      <c r="O89" s="24"/>
      <c r="P89" s="54">
        <v>1.0</v>
      </c>
      <c r="Q89" s="58" t="s">
        <v>576</v>
      </c>
      <c r="R89" s="27" t="str">
        <f>IFERROR(__xludf.DUMMYFUNCTION("IF(REGEXMATCH(N89, ""PRIORITY: Low""), ""Low"", IF(REGEXMATCH(N89, ""PRIORITY: Medium""), ""Medium"", IF(REGEXMATCH(N89, ""PRIORITY: High""), ""High"", """")))
"),"")</f>
        <v/>
      </c>
      <c r="S89" s="27" t="str">
        <f>IFERROR(__xludf.DUMMYFUNCTION("IF(REGEXMATCH(N89, ""SKILL: Low""), ""Low"", IF(REGEXMATCH(N89, ""SKILL: Medium""), ""Medium"", IF(REGEXMATCH(N89, ""SKILL: High""), ""High"", """")))"),"")</f>
        <v/>
      </c>
      <c r="T89" s="27" t="str">
        <f>IFERROR(__xludf.DUMMYFUNCTION("IF(REGEXMATCH(N89, ""STATUS: Dev Complete - Awaiting QA""), ""Dev Complete - Awaiting QA"", IF(REGEXMATCH(N89, ""STATUS: Follow-Up Required""), ""Follow-Up Required"", IF(REGEXMATCH(N89, ""STATUS: In Progress""), ""In Progress"", IF(REGEXMATCH(N89, ""STAT"&amp;"US: In QA""), ""In QA"", IF(REGEXMATCH(N89, ""STATUS: Needs Customer Feedback""), ""Needs Customer Feedback"", IF(REGEXMATCH(N89, ""STATUS: QA Passed - Awaiting Release""), ""QA Passed - Awaiting Release"", IF(REGEXMATCH(N89, ""STATUS: Release to Prod""),"&amp;" ""Release to Prod"", """")))))))"),"")</f>
        <v/>
      </c>
    </row>
    <row r="90" hidden="1">
      <c r="A90" s="23" t="s">
        <v>82</v>
      </c>
      <c r="B90" s="12" t="s">
        <v>267</v>
      </c>
      <c r="C90" s="54">
        <v>340.0</v>
      </c>
      <c r="D90" s="55" t="s">
        <v>577</v>
      </c>
      <c r="E90" s="56" t="s">
        <v>173</v>
      </c>
      <c r="F90" s="54" t="s">
        <v>578</v>
      </c>
      <c r="G90" s="57" t="str">
        <f t="shared" si="1"/>
        <v>10-Jun-2025</v>
      </c>
      <c r="H90" s="54" t="s">
        <v>47</v>
      </c>
      <c r="I90" s="54" t="s">
        <v>570</v>
      </c>
      <c r="J90" s="27" t="str">
        <f t="shared" si="4"/>
        <v>26-Sep-2025</v>
      </c>
      <c r="K90" s="54" t="s">
        <v>579</v>
      </c>
      <c r="L90" s="27" t="str">
        <f t="shared" si="5"/>
        <v>30-Jun-2025</v>
      </c>
      <c r="M90" s="23" t="s">
        <v>285</v>
      </c>
      <c r="N90" s="23" t="s">
        <v>177</v>
      </c>
      <c r="O90" s="24"/>
      <c r="P90" s="54">
        <v>4.0</v>
      </c>
      <c r="Q90" s="58" t="s">
        <v>580</v>
      </c>
      <c r="R90" s="27" t="str">
        <f>IFERROR(__xludf.DUMMYFUNCTION("IF(REGEXMATCH(N90, ""PRIORITY: Low""), ""Low"", IF(REGEXMATCH(N90, ""PRIORITY: Medium""), ""Medium"", IF(REGEXMATCH(N90, ""PRIORITY: High""), ""High"", """")))
"),"")</f>
        <v/>
      </c>
      <c r="S90" s="27" t="str">
        <f>IFERROR(__xludf.DUMMYFUNCTION("IF(REGEXMATCH(N90, ""SKILL: Low""), ""Low"", IF(REGEXMATCH(N90, ""SKILL: Medium""), ""Medium"", IF(REGEXMATCH(N90, ""SKILL: High""), ""High"", """")))"),"")</f>
        <v/>
      </c>
      <c r="T90" s="27" t="str">
        <f>IFERROR(__xludf.DUMMYFUNCTION("IF(REGEXMATCH(N90, ""STATUS: Dev Complete - Awaiting QA""), ""Dev Complete - Awaiting QA"", IF(REGEXMATCH(N90, ""STATUS: Follow-Up Required""), ""Follow-Up Required"", IF(REGEXMATCH(N90, ""STATUS: In Progress""), ""In Progress"", IF(REGEXMATCH(N90, ""STAT"&amp;"US: In QA""), ""In QA"", IF(REGEXMATCH(N90, ""STATUS: Needs Customer Feedback""), ""Needs Customer Feedback"", IF(REGEXMATCH(N90, ""STATUS: QA Passed - Awaiting Release""), ""QA Passed - Awaiting Release"", IF(REGEXMATCH(N90, ""STATUS: Release to Prod""),"&amp;" ""Release to Prod"", """")))))))"),"")</f>
        <v/>
      </c>
    </row>
    <row r="91" hidden="1">
      <c r="A91" s="23" t="s">
        <v>82</v>
      </c>
      <c r="B91" s="12" t="s">
        <v>267</v>
      </c>
      <c r="C91" s="54">
        <v>339.0</v>
      </c>
      <c r="D91" s="55" t="s">
        <v>581</v>
      </c>
      <c r="E91" s="56" t="s">
        <v>173</v>
      </c>
      <c r="F91" s="54" t="s">
        <v>582</v>
      </c>
      <c r="G91" s="57" t="str">
        <f t="shared" si="1"/>
        <v>10-Jun-2025</v>
      </c>
      <c r="H91" s="54" t="s">
        <v>57</v>
      </c>
      <c r="I91" s="54" t="s">
        <v>583</v>
      </c>
      <c r="J91" s="27" t="str">
        <f t="shared" si="4"/>
        <v>26-Sep-2025</v>
      </c>
      <c r="K91" s="54" t="s">
        <v>584</v>
      </c>
      <c r="L91" s="27" t="str">
        <f t="shared" si="5"/>
        <v>30-Jun-2025</v>
      </c>
      <c r="M91" s="23" t="s">
        <v>285</v>
      </c>
      <c r="N91" s="23" t="s">
        <v>177</v>
      </c>
      <c r="O91" s="24"/>
      <c r="P91" s="54">
        <v>6.0</v>
      </c>
      <c r="Q91" s="58" t="s">
        <v>585</v>
      </c>
      <c r="R91" s="27" t="str">
        <f>IFERROR(__xludf.DUMMYFUNCTION("IF(REGEXMATCH(N91, ""PRIORITY: Low""), ""Low"", IF(REGEXMATCH(N91, ""PRIORITY: Medium""), ""Medium"", IF(REGEXMATCH(N91, ""PRIORITY: High""), ""High"", """")))
"),"")</f>
        <v/>
      </c>
      <c r="S91" s="27" t="str">
        <f>IFERROR(__xludf.DUMMYFUNCTION("IF(REGEXMATCH(N91, ""SKILL: Low""), ""Low"", IF(REGEXMATCH(N91, ""SKILL: Medium""), ""Medium"", IF(REGEXMATCH(N91, ""SKILL: High""), ""High"", """")))"),"")</f>
        <v/>
      </c>
      <c r="T91" s="27" t="str">
        <f>IFERROR(__xludf.DUMMYFUNCTION("IF(REGEXMATCH(N91, ""STATUS: Dev Complete - Awaiting QA""), ""Dev Complete - Awaiting QA"", IF(REGEXMATCH(N91, ""STATUS: Follow-Up Required""), ""Follow-Up Required"", IF(REGEXMATCH(N91, ""STATUS: In Progress""), ""In Progress"", IF(REGEXMATCH(N91, ""STAT"&amp;"US: In QA""), ""In QA"", IF(REGEXMATCH(N91, ""STATUS: Needs Customer Feedback""), ""Needs Customer Feedback"", IF(REGEXMATCH(N91, ""STATUS: QA Passed - Awaiting Release""), ""QA Passed - Awaiting Release"", IF(REGEXMATCH(N91, ""STATUS: Release to Prod""),"&amp;" ""Release to Prod"", """")))))))"),"")</f>
        <v/>
      </c>
    </row>
    <row r="92" hidden="1">
      <c r="A92" s="23" t="s">
        <v>82</v>
      </c>
      <c r="B92" s="12" t="s">
        <v>267</v>
      </c>
      <c r="C92" s="54">
        <v>338.0</v>
      </c>
      <c r="D92" s="55" t="s">
        <v>586</v>
      </c>
      <c r="E92" s="56" t="s">
        <v>173</v>
      </c>
      <c r="F92" s="54" t="s">
        <v>587</v>
      </c>
      <c r="G92" s="57" t="str">
        <f t="shared" si="1"/>
        <v>10-Jun-2025</v>
      </c>
      <c r="H92" s="54" t="s">
        <v>57</v>
      </c>
      <c r="I92" s="54" t="s">
        <v>588</v>
      </c>
      <c r="J92" s="27" t="str">
        <f t="shared" si="4"/>
        <v>31-Jul-2025</v>
      </c>
      <c r="K92" s="54" t="s">
        <v>589</v>
      </c>
      <c r="L92" s="27" t="str">
        <f t="shared" si="5"/>
        <v>24-Jun-2025</v>
      </c>
      <c r="M92" s="23" t="s">
        <v>285</v>
      </c>
      <c r="N92" s="23" t="s">
        <v>177</v>
      </c>
      <c r="O92" s="23" t="s">
        <v>590</v>
      </c>
      <c r="P92" s="54">
        <v>2.0</v>
      </c>
      <c r="Q92" s="58" t="s">
        <v>591</v>
      </c>
      <c r="R92" s="27" t="str">
        <f>IFERROR(__xludf.DUMMYFUNCTION("IF(REGEXMATCH(N92, ""PRIORITY: Low""), ""Low"", IF(REGEXMATCH(N92, ""PRIORITY: Medium""), ""Medium"", IF(REGEXMATCH(N92, ""PRIORITY: High""), ""High"", """")))
"),"")</f>
        <v/>
      </c>
      <c r="S92" s="27" t="str">
        <f>IFERROR(__xludf.DUMMYFUNCTION("IF(REGEXMATCH(N92, ""SKILL: Low""), ""Low"", IF(REGEXMATCH(N92, ""SKILL: Medium""), ""Medium"", IF(REGEXMATCH(N92, ""SKILL: High""), ""High"", """")))"),"")</f>
        <v/>
      </c>
      <c r="T92" s="27" t="str">
        <f>IFERROR(__xludf.DUMMYFUNCTION("IF(REGEXMATCH(N92, ""STATUS: Dev Complete - Awaiting QA""), ""Dev Complete - Awaiting QA"", IF(REGEXMATCH(N92, ""STATUS: Follow-Up Required""), ""Follow-Up Required"", IF(REGEXMATCH(N92, ""STATUS: In Progress""), ""In Progress"", IF(REGEXMATCH(N92, ""STAT"&amp;"US: In QA""), ""In QA"", IF(REGEXMATCH(N92, ""STATUS: Needs Customer Feedback""), ""Needs Customer Feedback"", IF(REGEXMATCH(N92, ""STATUS: QA Passed - Awaiting Release""), ""QA Passed - Awaiting Release"", IF(REGEXMATCH(N92, ""STATUS: Release to Prod""),"&amp;" ""Release to Prod"", """")))))))"),"")</f>
        <v/>
      </c>
    </row>
    <row r="93" hidden="1">
      <c r="A93" s="23" t="s">
        <v>82</v>
      </c>
      <c r="B93" s="12" t="s">
        <v>267</v>
      </c>
      <c r="C93" s="54">
        <v>337.0</v>
      </c>
      <c r="D93" s="55" t="s">
        <v>592</v>
      </c>
      <c r="E93" s="56" t="s">
        <v>173</v>
      </c>
      <c r="F93" s="54" t="s">
        <v>593</v>
      </c>
      <c r="G93" s="57" t="str">
        <f t="shared" si="1"/>
        <v>10-Jun-2025</v>
      </c>
      <c r="H93" s="54" t="s">
        <v>57</v>
      </c>
      <c r="I93" s="54" t="s">
        <v>594</v>
      </c>
      <c r="J93" s="27" t="str">
        <f t="shared" si="4"/>
        <v>26-Sep-2025</v>
      </c>
      <c r="K93" s="54" t="s">
        <v>595</v>
      </c>
      <c r="L93" s="27" t="str">
        <f t="shared" si="5"/>
        <v>27-Jun-2025</v>
      </c>
      <c r="M93" s="23" t="s">
        <v>285</v>
      </c>
      <c r="N93" s="23" t="s">
        <v>177</v>
      </c>
      <c r="O93" s="24"/>
      <c r="P93" s="54">
        <v>4.0</v>
      </c>
      <c r="Q93" s="58" t="s">
        <v>596</v>
      </c>
      <c r="R93" s="27" t="str">
        <f>IFERROR(__xludf.DUMMYFUNCTION("IF(REGEXMATCH(N93, ""PRIORITY: Low""), ""Low"", IF(REGEXMATCH(N93, ""PRIORITY: Medium""), ""Medium"", IF(REGEXMATCH(N93, ""PRIORITY: High""), ""High"", """")))
"),"")</f>
        <v/>
      </c>
      <c r="S93" s="27" t="str">
        <f>IFERROR(__xludf.DUMMYFUNCTION("IF(REGEXMATCH(N93, ""SKILL: Low""), ""Low"", IF(REGEXMATCH(N93, ""SKILL: Medium""), ""Medium"", IF(REGEXMATCH(N93, ""SKILL: High""), ""High"", """")))"),"")</f>
        <v/>
      </c>
      <c r="T93" s="27" t="str">
        <f>IFERROR(__xludf.DUMMYFUNCTION("IF(REGEXMATCH(N93, ""STATUS: Dev Complete - Awaiting QA""), ""Dev Complete - Awaiting QA"", IF(REGEXMATCH(N93, ""STATUS: Follow-Up Required""), ""Follow-Up Required"", IF(REGEXMATCH(N93, ""STATUS: In Progress""), ""In Progress"", IF(REGEXMATCH(N93, ""STAT"&amp;"US: In QA""), ""In QA"", IF(REGEXMATCH(N93, ""STATUS: Needs Customer Feedback""), ""Needs Customer Feedback"", IF(REGEXMATCH(N93, ""STATUS: QA Passed - Awaiting Release""), ""QA Passed - Awaiting Release"", IF(REGEXMATCH(N93, ""STATUS: Release to Prod""),"&amp;" ""Release to Prod"", """")))))))"),"")</f>
        <v/>
      </c>
    </row>
    <row r="94" hidden="1">
      <c r="A94" s="23" t="s">
        <v>82</v>
      </c>
      <c r="B94" s="12" t="s">
        <v>267</v>
      </c>
      <c r="C94" s="54">
        <v>336.0</v>
      </c>
      <c r="D94" s="55" t="s">
        <v>597</v>
      </c>
      <c r="E94" s="56" t="s">
        <v>173</v>
      </c>
      <c r="F94" s="54" t="s">
        <v>598</v>
      </c>
      <c r="G94" s="57" t="str">
        <f t="shared" si="1"/>
        <v>10-Jun-2025</v>
      </c>
      <c r="H94" s="54" t="s">
        <v>57</v>
      </c>
      <c r="I94" s="54" t="s">
        <v>594</v>
      </c>
      <c r="J94" s="27" t="str">
        <f t="shared" si="4"/>
        <v>26-Sep-2025</v>
      </c>
      <c r="K94" s="54" t="s">
        <v>599</v>
      </c>
      <c r="L94" s="27" t="str">
        <f t="shared" si="5"/>
        <v>27-Jun-2025</v>
      </c>
      <c r="M94" s="23" t="s">
        <v>249</v>
      </c>
      <c r="N94" s="23" t="s">
        <v>177</v>
      </c>
      <c r="O94" s="24"/>
      <c r="P94" s="54">
        <v>5.0</v>
      </c>
      <c r="Q94" s="58" t="s">
        <v>600</v>
      </c>
      <c r="R94" s="27" t="str">
        <f>IFERROR(__xludf.DUMMYFUNCTION("IF(REGEXMATCH(N94, ""PRIORITY: Low""), ""Low"", IF(REGEXMATCH(N94, ""PRIORITY: Medium""), ""Medium"", IF(REGEXMATCH(N94, ""PRIORITY: High""), ""High"", """")))
"),"")</f>
        <v/>
      </c>
      <c r="S94" s="27" t="str">
        <f>IFERROR(__xludf.DUMMYFUNCTION("IF(REGEXMATCH(N94, ""SKILL: Low""), ""Low"", IF(REGEXMATCH(N94, ""SKILL: Medium""), ""Medium"", IF(REGEXMATCH(N94, ""SKILL: High""), ""High"", """")))"),"")</f>
        <v/>
      </c>
      <c r="T94" s="27" t="str">
        <f>IFERROR(__xludf.DUMMYFUNCTION("IF(REGEXMATCH(N94, ""STATUS: Dev Complete - Awaiting QA""), ""Dev Complete - Awaiting QA"", IF(REGEXMATCH(N94, ""STATUS: Follow-Up Required""), ""Follow-Up Required"", IF(REGEXMATCH(N94, ""STATUS: In Progress""), ""In Progress"", IF(REGEXMATCH(N94, ""STAT"&amp;"US: In QA""), ""In QA"", IF(REGEXMATCH(N94, ""STATUS: Needs Customer Feedback""), ""Needs Customer Feedback"", IF(REGEXMATCH(N94, ""STATUS: QA Passed - Awaiting Release""), ""QA Passed - Awaiting Release"", IF(REGEXMATCH(N94, ""STATUS: Release to Prod""),"&amp;" ""Release to Prod"", """")))))))"),"")</f>
        <v/>
      </c>
    </row>
    <row r="95" hidden="1">
      <c r="A95" s="23" t="s">
        <v>82</v>
      </c>
      <c r="B95" s="12" t="s">
        <v>267</v>
      </c>
      <c r="C95" s="54">
        <v>334.0</v>
      </c>
      <c r="D95" s="55" t="s">
        <v>601</v>
      </c>
      <c r="E95" s="56" t="s">
        <v>173</v>
      </c>
      <c r="F95" s="54" t="s">
        <v>602</v>
      </c>
      <c r="G95" s="57" t="str">
        <f t="shared" si="1"/>
        <v>07-Jun-2025</v>
      </c>
      <c r="H95" s="54" t="s">
        <v>57</v>
      </c>
      <c r="I95" s="54" t="s">
        <v>603</v>
      </c>
      <c r="J95" s="27" t="str">
        <f t="shared" si="4"/>
        <v>06-Aug-2025</v>
      </c>
      <c r="K95" s="54" t="s">
        <v>603</v>
      </c>
      <c r="L95" s="27" t="str">
        <f t="shared" si="5"/>
        <v>06-Aug-2025</v>
      </c>
      <c r="M95" s="23" t="s">
        <v>285</v>
      </c>
      <c r="N95" s="23" t="s">
        <v>604</v>
      </c>
      <c r="O95" s="23" t="s">
        <v>57</v>
      </c>
      <c r="P95" s="54">
        <v>6.0</v>
      </c>
      <c r="Q95" s="58" t="s">
        <v>605</v>
      </c>
      <c r="R95" s="27" t="str">
        <f>IFERROR(__xludf.DUMMYFUNCTION("IF(REGEXMATCH(N95, ""PRIORITY: Low""), ""Low"", IF(REGEXMATCH(N95, ""PRIORITY: Medium""), ""Medium"", IF(REGEXMATCH(N95, ""PRIORITY: High""), ""High"", """")))
"),"Low")</f>
        <v>Low</v>
      </c>
      <c r="S95" s="27" t="str">
        <f>IFERROR(__xludf.DUMMYFUNCTION("IF(REGEXMATCH(N95, ""SKILL: Low""), ""Low"", IF(REGEXMATCH(N95, ""SKILL: Medium""), ""Medium"", IF(REGEXMATCH(N95, ""SKILL: High""), ""High"", """")))"),"Low")</f>
        <v>Low</v>
      </c>
      <c r="T95" s="27" t="str">
        <f>IFERROR(__xludf.DUMMYFUNCTION("IF(REGEXMATCH(N95, ""STATUS: Dev Complete - Awaiting QA""), ""Dev Complete - Awaiting QA"", IF(REGEXMATCH(N95, ""STATUS: Follow-Up Required""), ""Follow-Up Required"", IF(REGEXMATCH(N95, ""STATUS: In Progress""), ""In Progress"", IF(REGEXMATCH(N95, ""STAT"&amp;"US: In QA""), ""In QA"", IF(REGEXMATCH(N95, ""STATUS: Needs Customer Feedback""), ""Needs Customer Feedback"", IF(REGEXMATCH(N95, ""STATUS: QA Passed - Awaiting Release""), ""QA Passed - Awaiting Release"", IF(REGEXMATCH(N95, ""STATUS: Release to Prod""),"&amp;" ""Release to Prod"", """")))))))"),"Follow-Up Required")</f>
        <v>Follow-Up Required</v>
      </c>
    </row>
    <row r="96" hidden="1">
      <c r="A96" s="23" t="s">
        <v>82</v>
      </c>
      <c r="B96" s="12" t="s">
        <v>267</v>
      </c>
      <c r="C96" s="54">
        <v>333.0</v>
      </c>
      <c r="D96" s="55" t="s">
        <v>606</v>
      </c>
      <c r="E96" s="56" t="s">
        <v>173</v>
      </c>
      <c r="F96" s="54" t="s">
        <v>607</v>
      </c>
      <c r="G96" s="57" t="str">
        <f t="shared" si="1"/>
        <v>07-Jun-2025</v>
      </c>
      <c r="H96" s="54" t="s">
        <v>57</v>
      </c>
      <c r="I96" s="54" t="s">
        <v>594</v>
      </c>
      <c r="J96" s="27" t="str">
        <f t="shared" si="4"/>
        <v>26-Sep-2025</v>
      </c>
      <c r="K96" s="54" t="s">
        <v>608</v>
      </c>
      <c r="L96" s="27" t="str">
        <f t="shared" si="5"/>
        <v>27-Jun-2025</v>
      </c>
      <c r="M96" s="23" t="s">
        <v>285</v>
      </c>
      <c r="N96" s="23" t="s">
        <v>177</v>
      </c>
      <c r="O96" s="24"/>
      <c r="P96" s="54">
        <v>4.0</v>
      </c>
      <c r="Q96" s="58" t="s">
        <v>609</v>
      </c>
      <c r="R96" s="27" t="str">
        <f>IFERROR(__xludf.DUMMYFUNCTION("IF(REGEXMATCH(N96, ""PRIORITY: Low""), ""Low"", IF(REGEXMATCH(N96, ""PRIORITY: Medium""), ""Medium"", IF(REGEXMATCH(N96, ""PRIORITY: High""), ""High"", """")))
"),"")</f>
        <v/>
      </c>
      <c r="S96" s="27" t="str">
        <f>IFERROR(__xludf.DUMMYFUNCTION("IF(REGEXMATCH(N96, ""SKILL: Low""), ""Low"", IF(REGEXMATCH(N96, ""SKILL: Medium""), ""Medium"", IF(REGEXMATCH(N96, ""SKILL: High""), ""High"", """")))"),"")</f>
        <v/>
      </c>
      <c r="T96" s="27" t="str">
        <f>IFERROR(__xludf.DUMMYFUNCTION("IF(REGEXMATCH(N96, ""STATUS: Dev Complete - Awaiting QA""), ""Dev Complete - Awaiting QA"", IF(REGEXMATCH(N96, ""STATUS: Follow-Up Required""), ""Follow-Up Required"", IF(REGEXMATCH(N96, ""STATUS: In Progress""), ""In Progress"", IF(REGEXMATCH(N96, ""STAT"&amp;"US: In QA""), ""In QA"", IF(REGEXMATCH(N96, ""STATUS: Needs Customer Feedback""), ""Needs Customer Feedback"", IF(REGEXMATCH(N96, ""STATUS: QA Passed - Awaiting Release""), ""QA Passed - Awaiting Release"", IF(REGEXMATCH(N96, ""STATUS: Release to Prod""),"&amp;" ""Release to Prod"", """")))))))"),"")</f>
        <v/>
      </c>
    </row>
    <row r="97" hidden="1">
      <c r="A97" s="23" t="s">
        <v>82</v>
      </c>
      <c r="B97" s="12" t="s">
        <v>267</v>
      </c>
      <c r="C97" s="54">
        <v>332.0</v>
      </c>
      <c r="D97" s="55" t="s">
        <v>610</v>
      </c>
      <c r="E97" s="56" t="s">
        <v>173</v>
      </c>
      <c r="F97" s="54" t="s">
        <v>611</v>
      </c>
      <c r="G97" s="57" t="str">
        <f t="shared" si="1"/>
        <v>07-Jun-2025</v>
      </c>
      <c r="H97" s="54" t="s">
        <v>57</v>
      </c>
      <c r="I97" s="54" t="s">
        <v>612</v>
      </c>
      <c r="J97" s="27" t="str">
        <f t="shared" si="4"/>
        <v>26-Sep-2025</v>
      </c>
      <c r="K97" s="54" t="s">
        <v>613</v>
      </c>
      <c r="L97" s="27" t="str">
        <f t="shared" si="5"/>
        <v>24-Jun-2025</v>
      </c>
      <c r="M97" s="23" t="s">
        <v>285</v>
      </c>
      <c r="N97" s="23" t="s">
        <v>177</v>
      </c>
      <c r="O97" s="23" t="s">
        <v>590</v>
      </c>
      <c r="P97" s="54">
        <v>5.0</v>
      </c>
      <c r="Q97" s="58" t="s">
        <v>614</v>
      </c>
      <c r="R97" s="27" t="str">
        <f>IFERROR(__xludf.DUMMYFUNCTION("IF(REGEXMATCH(N97, ""PRIORITY: Low""), ""Low"", IF(REGEXMATCH(N97, ""PRIORITY: Medium""), ""Medium"", IF(REGEXMATCH(N97, ""PRIORITY: High""), ""High"", """")))
"),"")</f>
        <v/>
      </c>
      <c r="S97" s="27" t="str">
        <f>IFERROR(__xludf.DUMMYFUNCTION("IF(REGEXMATCH(N97, ""SKILL: Low""), ""Low"", IF(REGEXMATCH(N97, ""SKILL: Medium""), ""Medium"", IF(REGEXMATCH(N97, ""SKILL: High""), ""High"", """")))"),"")</f>
        <v/>
      </c>
      <c r="T97" s="27" t="str">
        <f>IFERROR(__xludf.DUMMYFUNCTION("IF(REGEXMATCH(N97, ""STATUS: Dev Complete - Awaiting QA""), ""Dev Complete - Awaiting QA"", IF(REGEXMATCH(N97, ""STATUS: Follow-Up Required""), ""Follow-Up Required"", IF(REGEXMATCH(N97, ""STATUS: In Progress""), ""In Progress"", IF(REGEXMATCH(N97, ""STAT"&amp;"US: In QA""), ""In QA"", IF(REGEXMATCH(N97, ""STATUS: Needs Customer Feedback""), ""Needs Customer Feedback"", IF(REGEXMATCH(N97, ""STATUS: QA Passed - Awaiting Release""), ""QA Passed - Awaiting Release"", IF(REGEXMATCH(N97, ""STATUS: Release to Prod""),"&amp;" ""Release to Prod"", """")))))))"),"")</f>
        <v/>
      </c>
    </row>
    <row r="98" hidden="1">
      <c r="A98" s="23" t="s">
        <v>82</v>
      </c>
      <c r="B98" s="12" t="s">
        <v>267</v>
      </c>
      <c r="C98" s="54">
        <v>330.0</v>
      </c>
      <c r="D98" s="55" t="s">
        <v>615</v>
      </c>
      <c r="E98" s="56" t="s">
        <v>173</v>
      </c>
      <c r="F98" s="54" t="s">
        <v>616</v>
      </c>
      <c r="G98" s="57" t="str">
        <f t="shared" si="1"/>
        <v>05-Jun-2025</v>
      </c>
      <c r="H98" s="54" t="s">
        <v>44</v>
      </c>
      <c r="I98" s="54" t="s">
        <v>617</v>
      </c>
      <c r="J98" s="27" t="str">
        <f t="shared" si="4"/>
        <v>31-Jul-2025</v>
      </c>
      <c r="K98" s="54" t="s">
        <v>618</v>
      </c>
      <c r="L98" s="27" t="str">
        <f t="shared" si="5"/>
        <v>11-Jul-2025</v>
      </c>
      <c r="M98" s="23" t="s">
        <v>285</v>
      </c>
      <c r="N98" s="23" t="s">
        <v>177</v>
      </c>
      <c r="O98" s="24"/>
      <c r="P98" s="54">
        <v>8.0</v>
      </c>
      <c r="Q98" s="58" t="s">
        <v>619</v>
      </c>
      <c r="R98" s="27" t="str">
        <f>IFERROR(__xludf.DUMMYFUNCTION("IF(REGEXMATCH(N98, ""PRIORITY: Low""), ""Low"", IF(REGEXMATCH(N98, ""PRIORITY: Medium""), ""Medium"", IF(REGEXMATCH(N98, ""PRIORITY: High""), ""High"", """")))
"),"")</f>
        <v/>
      </c>
      <c r="S98" s="27" t="str">
        <f>IFERROR(__xludf.DUMMYFUNCTION("IF(REGEXMATCH(N98, ""SKILL: Low""), ""Low"", IF(REGEXMATCH(N98, ""SKILL: Medium""), ""Medium"", IF(REGEXMATCH(N98, ""SKILL: High""), ""High"", """")))"),"")</f>
        <v/>
      </c>
      <c r="T98" s="27" t="str">
        <f>IFERROR(__xludf.DUMMYFUNCTION("IF(REGEXMATCH(N98, ""STATUS: Dev Complete - Awaiting QA""), ""Dev Complete - Awaiting QA"", IF(REGEXMATCH(N98, ""STATUS: Follow-Up Required""), ""Follow-Up Required"", IF(REGEXMATCH(N98, ""STATUS: In Progress""), ""In Progress"", IF(REGEXMATCH(N98, ""STAT"&amp;"US: In QA""), ""In QA"", IF(REGEXMATCH(N98, ""STATUS: Needs Customer Feedback""), ""Needs Customer Feedback"", IF(REGEXMATCH(N98, ""STATUS: QA Passed - Awaiting Release""), ""QA Passed - Awaiting Release"", IF(REGEXMATCH(N98, ""STATUS: Release to Prod""),"&amp;" ""Release to Prod"", """")))))))"),"")</f>
        <v/>
      </c>
    </row>
    <row r="99" hidden="1">
      <c r="A99" s="23" t="s">
        <v>82</v>
      </c>
      <c r="B99" s="12" t="s">
        <v>267</v>
      </c>
      <c r="C99" s="54">
        <v>328.0</v>
      </c>
      <c r="D99" s="55" t="s">
        <v>620</v>
      </c>
      <c r="E99" s="56" t="s">
        <v>173</v>
      </c>
      <c r="F99" s="54" t="s">
        <v>621</v>
      </c>
      <c r="G99" s="57" t="str">
        <f t="shared" si="1"/>
        <v>04-Jun-2025</v>
      </c>
      <c r="H99" s="54" t="s">
        <v>57</v>
      </c>
      <c r="I99" s="54" t="s">
        <v>617</v>
      </c>
      <c r="J99" s="27" t="str">
        <f t="shared" si="4"/>
        <v>31-Jul-2025</v>
      </c>
      <c r="K99" s="54" t="s">
        <v>622</v>
      </c>
      <c r="L99" s="27" t="str">
        <f t="shared" si="5"/>
        <v>06-Jun-2025</v>
      </c>
      <c r="M99" s="23" t="s">
        <v>285</v>
      </c>
      <c r="N99" s="23" t="s">
        <v>177</v>
      </c>
      <c r="O99" s="23" t="s">
        <v>44</v>
      </c>
      <c r="P99" s="54">
        <v>2.0</v>
      </c>
      <c r="Q99" s="58" t="s">
        <v>623</v>
      </c>
      <c r="R99" s="27" t="str">
        <f>IFERROR(__xludf.DUMMYFUNCTION("IF(REGEXMATCH(N99, ""PRIORITY: Low""), ""Low"", IF(REGEXMATCH(N99, ""PRIORITY: Medium""), ""Medium"", IF(REGEXMATCH(N99, ""PRIORITY: High""), ""High"", """")))
"),"")</f>
        <v/>
      </c>
      <c r="S99" s="27" t="str">
        <f>IFERROR(__xludf.DUMMYFUNCTION("IF(REGEXMATCH(N99, ""SKILL: Low""), ""Low"", IF(REGEXMATCH(N99, ""SKILL: Medium""), ""Medium"", IF(REGEXMATCH(N99, ""SKILL: High""), ""High"", """")))"),"")</f>
        <v/>
      </c>
      <c r="T99" s="27" t="str">
        <f>IFERROR(__xludf.DUMMYFUNCTION("IF(REGEXMATCH(N99, ""STATUS: Dev Complete - Awaiting QA""), ""Dev Complete - Awaiting QA"", IF(REGEXMATCH(N99, ""STATUS: Follow-Up Required""), ""Follow-Up Required"", IF(REGEXMATCH(N99, ""STATUS: In Progress""), ""In Progress"", IF(REGEXMATCH(N99, ""STAT"&amp;"US: In QA""), ""In QA"", IF(REGEXMATCH(N99, ""STATUS: Needs Customer Feedback""), ""Needs Customer Feedback"", IF(REGEXMATCH(N99, ""STATUS: QA Passed - Awaiting Release""), ""QA Passed - Awaiting Release"", IF(REGEXMATCH(N99, ""STATUS: Release to Prod""),"&amp;" ""Release to Prod"", """")))))))"),"")</f>
        <v/>
      </c>
    </row>
    <row r="100" hidden="1">
      <c r="A100" s="23" t="s">
        <v>82</v>
      </c>
      <c r="B100" s="12" t="s">
        <v>267</v>
      </c>
      <c r="C100" s="54">
        <v>327.0</v>
      </c>
      <c r="D100" s="55" t="s">
        <v>624</v>
      </c>
      <c r="E100" s="56" t="s">
        <v>173</v>
      </c>
      <c r="F100" s="54" t="s">
        <v>625</v>
      </c>
      <c r="G100" s="57" t="str">
        <f t="shared" si="1"/>
        <v>04-Jun-2025</v>
      </c>
      <c r="H100" s="54" t="s">
        <v>57</v>
      </c>
      <c r="I100" s="54" t="s">
        <v>626</v>
      </c>
      <c r="J100" s="27" t="str">
        <f t="shared" si="4"/>
        <v>11-Jul-2025</v>
      </c>
      <c r="K100" s="54" t="s">
        <v>627</v>
      </c>
      <c r="L100" s="27" t="str">
        <f t="shared" si="5"/>
        <v>06-Jun-2025</v>
      </c>
      <c r="M100" s="23" t="s">
        <v>249</v>
      </c>
      <c r="N100" s="23" t="s">
        <v>177</v>
      </c>
      <c r="O100" s="23" t="s">
        <v>44</v>
      </c>
      <c r="P100" s="54">
        <v>1.0</v>
      </c>
      <c r="Q100" s="58" t="s">
        <v>628</v>
      </c>
      <c r="R100" s="27" t="str">
        <f>IFERROR(__xludf.DUMMYFUNCTION("IF(REGEXMATCH(N100, ""PRIORITY: Low""), ""Low"", IF(REGEXMATCH(N100, ""PRIORITY: Medium""), ""Medium"", IF(REGEXMATCH(N100, ""PRIORITY: High""), ""High"", """")))
"),"")</f>
        <v/>
      </c>
      <c r="S100" s="27" t="str">
        <f>IFERROR(__xludf.DUMMYFUNCTION("IF(REGEXMATCH(N100, ""SKILL: Low""), ""Low"", IF(REGEXMATCH(N100, ""SKILL: Medium""), ""Medium"", IF(REGEXMATCH(N100, ""SKILL: High""), ""High"", """")))"),"")</f>
        <v/>
      </c>
      <c r="T100" s="27" t="str">
        <f>IFERROR(__xludf.DUMMYFUNCTION("IF(REGEXMATCH(N100, ""STATUS: Dev Complete - Awaiting QA""), ""Dev Complete - Awaiting QA"", IF(REGEXMATCH(N100, ""STATUS: Follow-Up Required""), ""Follow-Up Required"", IF(REGEXMATCH(N100, ""STATUS: In Progress""), ""In Progress"", IF(REGEXMATCH(N100, """&amp;"STATUS: In QA""), ""In QA"", IF(REGEXMATCH(N100, ""STATUS: Needs Customer Feedback""), ""Needs Customer Feedback"", IF(REGEXMATCH(N100, ""STATUS: QA Passed - Awaiting Release""), ""QA Passed - Awaiting Release"", IF(REGEXMATCH(N100, ""STATUS: Release to P"&amp;"rod""), ""Release to Prod"", """")))))))"),"")</f>
        <v/>
      </c>
    </row>
    <row r="101" hidden="1">
      <c r="A101" s="23" t="s">
        <v>82</v>
      </c>
      <c r="B101" s="12" t="s">
        <v>267</v>
      </c>
      <c r="C101" s="54">
        <v>326.0</v>
      </c>
      <c r="D101" s="55" t="s">
        <v>629</v>
      </c>
      <c r="E101" s="56" t="s">
        <v>173</v>
      </c>
      <c r="F101" s="54" t="s">
        <v>630</v>
      </c>
      <c r="G101" s="57" t="str">
        <f t="shared" si="1"/>
        <v>04-Jun-2025</v>
      </c>
      <c r="H101" s="54" t="s">
        <v>57</v>
      </c>
      <c r="I101" s="54" t="s">
        <v>631</v>
      </c>
      <c r="J101" s="27" t="str">
        <f t="shared" si="4"/>
        <v>05-Sep-2025</v>
      </c>
      <c r="K101" s="54" t="s">
        <v>631</v>
      </c>
      <c r="L101" s="27" t="str">
        <f t="shared" si="5"/>
        <v>05-Sep-2025</v>
      </c>
      <c r="M101" s="23" t="s">
        <v>285</v>
      </c>
      <c r="N101" s="23" t="s">
        <v>632</v>
      </c>
      <c r="O101" s="23" t="s">
        <v>44</v>
      </c>
      <c r="P101" s="54">
        <v>9.0</v>
      </c>
      <c r="Q101" s="58" t="s">
        <v>633</v>
      </c>
      <c r="R101" s="27" t="str">
        <f>IFERROR(__xludf.DUMMYFUNCTION("IF(REGEXMATCH(N101, ""PRIORITY: Low""), ""Low"", IF(REGEXMATCH(N101, ""PRIORITY: Medium""), ""Medium"", IF(REGEXMATCH(N101, ""PRIORITY: High""), ""High"", """")))
"),"Medium")</f>
        <v>Medium</v>
      </c>
      <c r="S101" s="27" t="str">
        <f>IFERROR(__xludf.DUMMYFUNCTION("IF(REGEXMATCH(N101, ""SKILL: Low""), ""Low"", IF(REGEXMATCH(N101, ""SKILL: Medium""), ""Medium"", IF(REGEXMATCH(N101, ""SKILL: High""), ""High"", """")))"),"Low")</f>
        <v>Low</v>
      </c>
      <c r="T101" s="27" t="str">
        <f>IFERROR(__xludf.DUMMYFUNCTION("IF(REGEXMATCH(N101, ""STATUS: Dev Complete - Awaiting QA""), ""Dev Complete - Awaiting QA"", IF(REGEXMATCH(N101, ""STATUS: Follow-Up Required""), ""Follow-Up Required"", IF(REGEXMATCH(N101, ""STATUS: In Progress""), ""In Progress"", IF(REGEXMATCH(N101, """&amp;"STATUS: In QA""), ""In QA"", IF(REGEXMATCH(N101, ""STATUS: Needs Customer Feedback""), ""Needs Customer Feedback"", IF(REGEXMATCH(N101, ""STATUS: QA Passed - Awaiting Release""), ""QA Passed - Awaiting Release"", IF(REGEXMATCH(N101, ""STATUS: Release to P"&amp;"rod""), ""Release to Prod"", """")))))))"),"In Progress")</f>
        <v>In Progress</v>
      </c>
    </row>
    <row r="102" hidden="1">
      <c r="A102" s="23" t="s">
        <v>82</v>
      </c>
      <c r="B102" s="12" t="s">
        <v>267</v>
      </c>
      <c r="C102" s="54">
        <v>325.0</v>
      </c>
      <c r="D102" s="55" t="s">
        <v>634</v>
      </c>
      <c r="E102" s="56" t="s">
        <v>173</v>
      </c>
      <c r="F102" s="54" t="s">
        <v>635</v>
      </c>
      <c r="G102" s="57" t="str">
        <f t="shared" si="1"/>
        <v>04-Jun-2025</v>
      </c>
      <c r="H102" s="54" t="s">
        <v>57</v>
      </c>
      <c r="I102" s="54" t="s">
        <v>617</v>
      </c>
      <c r="J102" s="27" t="str">
        <f t="shared" si="4"/>
        <v>31-Jul-2025</v>
      </c>
      <c r="K102" s="54" t="s">
        <v>636</v>
      </c>
      <c r="L102" s="27" t="str">
        <f t="shared" si="5"/>
        <v>18-Jun-2025</v>
      </c>
      <c r="M102" s="23" t="s">
        <v>249</v>
      </c>
      <c r="N102" s="23" t="s">
        <v>177</v>
      </c>
      <c r="O102" s="23" t="s">
        <v>44</v>
      </c>
      <c r="P102" s="54">
        <v>3.0</v>
      </c>
      <c r="Q102" s="58" t="s">
        <v>637</v>
      </c>
      <c r="R102" s="27" t="str">
        <f>IFERROR(__xludf.DUMMYFUNCTION("IF(REGEXMATCH(N102, ""PRIORITY: Low""), ""Low"", IF(REGEXMATCH(N102, ""PRIORITY: Medium""), ""Medium"", IF(REGEXMATCH(N102, ""PRIORITY: High""), ""High"", """")))
"),"")</f>
        <v/>
      </c>
      <c r="S102" s="27" t="str">
        <f>IFERROR(__xludf.DUMMYFUNCTION("IF(REGEXMATCH(N102, ""SKILL: Low""), ""Low"", IF(REGEXMATCH(N102, ""SKILL: Medium""), ""Medium"", IF(REGEXMATCH(N102, ""SKILL: High""), ""High"", """")))"),"")</f>
        <v/>
      </c>
      <c r="T102" s="27" t="str">
        <f>IFERROR(__xludf.DUMMYFUNCTION("IF(REGEXMATCH(N102, ""STATUS: Dev Complete - Awaiting QA""), ""Dev Complete - Awaiting QA"", IF(REGEXMATCH(N102, ""STATUS: Follow-Up Required""), ""Follow-Up Required"", IF(REGEXMATCH(N102, ""STATUS: In Progress""), ""In Progress"", IF(REGEXMATCH(N102, """&amp;"STATUS: In QA""), ""In QA"", IF(REGEXMATCH(N102, ""STATUS: Needs Customer Feedback""), ""Needs Customer Feedback"", IF(REGEXMATCH(N102, ""STATUS: QA Passed - Awaiting Release""), ""QA Passed - Awaiting Release"", IF(REGEXMATCH(N102, ""STATUS: Release to P"&amp;"rod""), ""Release to Prod"", """")))))))"),"")</f>
        <v/>
      </c>
    </row>
    <row r="103" hidden="1">
      <c r="A103" s="23" t="s">
        <v>82</v>
      </c>
      <c r="B103" s="12" t="s">
        <v>267</v>
      </c>
      <c r="C103" s="54">
        <v>324.0</v>
      </c>
      <c r="D103" s="55" t="s">
        <v>638</v>
      </c>
      <c r="E103" s="56" t="s">
        <v>173</v>
      </c>
      <c r="F103" s="54" t="s">
        <v>639</v>
      </c>
      <c r="G103" s="57" t="str">
        <f t="shared" si="1"/>
        <v>04-Jun-2025</v>
      </c>
      <c r="H103" s="54" t="s">
        <v>57</v>
      </c>
      <c r="I103" s="54" t="s">
        <v>640</v>
      </c>
      <c r="J103" s="27" t="str">
        <f t="shared" si="4"/>
        <v>26-Sep-2025</v>
      </c>
      <c r="K103" s="54" t="s">
        <v>641</v>
      </c>
      <c r="L103" s="27" t="str">
        <f t="shared" si="5"/>
        <v>30-Jun-2025</v>
      </c>
      <c r="M103" s="23" t="s">
        <v>249</v>
      </c>
      <c r="N103" s="23" t="s">
        <v>177</v>
      </c>
      <c r="O103" s="24"/>
      <c r="P103" s="54">
        <v>3.0</v>
      </c>
      <c r="Q103" s="58" t="s">
        <v>642</v>
      </c>
      <c r="R103" s="27" t="str">
        <f>IFERROR(__xludf.DUMMYFUNCTION("IF(REGEXMATCH(N103, ""PRIORITY: Low""), ""Low"", IF(REGEXMATCH(N103, ""PRIORITY: Medium""), ""Medium"", IF(REGEXMATCH(N103, ""PRIORITY: High""), ""High"", """")))
"),"")</f>
        <v/>
      </c>
      <c r="S103" s="27" t="str">
        <f>IFERROR(__xludf.DUMMYFUNCTION("IF(REGEXMATCH(N103, ""SKILL: Low""), ""Low"", IF(REGEXMATCH(N103, ""SKILL: Medium""), ""Medium"", IF(REGEXMATCH(N103, ""SKILL: High""), ""High"", """")))"),"")</f>
        <v/>
      </c>
      <c r="T103" s="27" t="str">
        <f>IFERROR(__xludf.DUMMYFUNCTION("IF(REGEXMATCH(N103, ""STATUS: Dev Complete - Awaiting QA""), ""Dev Complete - Awaiting QA"", IF(REGEXMATCH(N103, ""STATUS: Follow-Up Required""), ""Follow-Up Required"", IF(REGEXMATCH(N103, ""STATUS: In Progress""), ""In Progress"", IF(REGEXMATCH(N103, """&amp;"STATUS: In QA""), ""In QA"", IF(REGEXMATCH(N103, ""STATUS: Needs Customer Feedback""), ""Needs Customer Feedback"", IF(REGEXMATCH(N103, ""STATUS: QA Passed - Awaiting Release""), ""QA Passed - Awaiting Release"", IF(REGEXMATCH(N103, ""STATUS: Release to P"&amp;"rod""), ""Release to Prod"", """")))))))"),"")</f>
        <v/>
      </c>
    </row>
    <row r="104" hidden="1">
      <c r="A104" s="23" t="s">
        <v>82</v>
      </c>
      <c r="B104" s="12" t="s">
        <v>267</v>
      </c>
      <c r="C104" s="54">
        <v>323.0</v>
      </c>
      <c r="D104" s="55" t="s">
        <v>643</v>
      </c>
      <c r="E104" s="56" t="s">
        <v>173</v>
      </c>
      <c r="F104" s="54" t="s">
        <v>644</v>
      </c>
      <c r="G104" s="57" t="str">
        <f t="shared" si="1"/>
        <v>04-Jun-2025</v>
      </c>
      <c r="H104" s="54" t="s">
        <v>57</v>
      </c>
      <c r="I104" s="54" t="s">
        <v>645</v>
      </c>
      <c r="J104" s="27" t="str">
        <f t="shared" si="4"/>
        <v>31-Jul-2025</v>
      </c>
      <c r="K104" s="54" t="s">
        <v>646</v>
      </c>
      <c r="L104" s="27" t="str">
        <f t="shared" si="5"/>
        <v>06-Jun-2025</v>
      </c>
      <c r="M104" s="23" t="s">
        <v>249</v>
      </c>
      <c r="N104" s="23" t="s">
        <v>177</v>
      </c>
      <c r="O104" s="23" t="s">
        <v>44</v>
      </c>
      <c r="P104" s="54">
        <v>2.0</v>
      </c>
      <c r="Q104" s="58" t="s">
        <v>647</v>
      </c>
      <c r="R104" s="27" t="str">
        <f>IFERROR(__xludf.DUMMYFUNCTION("IF(REGEXMATCH(N104, ""PRIORITY: Low""), ""Low"", IF(REGEXMATCH(N104, ""PRIORITY: Medium""), ""Medium"", IF(REGEXMATCH(N104, ""PRIORITY: High""), ""High"", """")))
"),"")</f>
        <v/>
      </c>
      <c r="S104" s="27" t="str">
        <f>IFERROR(__xludf.DUMMYFUNCTION("IF(REGEXMATCH(N104, ""SKILL: Low""), ""Low"", IF(REGEXMATCH(N104, ""SKILL: Medium""), ""Medium"", IF(REGEXMATCH(N104, ""SKILL: High""), ""High"", """")))"),"")</f>
        <v/>
      </c>
      <c r="T104" s="27" t="str">
        <f>IFERROR(__xludf.DUMMYFUNCTION("IF(REGEXMATCH(N104, ""STATUS: Dev Complete - Awaiting QA""), ""Dev Complete - Awaiting QA"", IF(REGEXMATCH(N104, ""STATUS: Follow-Up Required""), ""Follow-Up Required"", IF(REGEXMATCH(N104, ""STATUS: In Progress""), ""In Progress"", IF(REGEXMATCH(N104, """&amp;"STATUS: In QA""), ""In QA"", IF(REGEXMATCH(N104, ""STATUS: Needs Customer Feedback""), ""Needs Customer Feedback"", IF(REGEXMATCH(N104, ""STATUS: QA Passed - Awaiting Release""), ""QA Passed - Awaiting Release"", IF(REGEXMATCH(N104, ""STATUS: Release to P"&amp;"rod""), ""Release to Prod"", """")))))))"),"")</f>
        <v/>
      </c>
    </row>
    <row r="105" hidden="1">
      <c r="A105" s="23" t="s">
        <v>82</v>
      </c>
      <c r="B105" s="12" t="s">
        <v>267</v>
      </c>
      <c r="C105" s="54">
        <v>322.0</v>
      </c>
      <c r="D105" s="55" t="s">
        <v>648</v>
      </c>
      <c r="E105" s="56" t="s">
        <v>173</v>
      </c>
      <c r="F105" s="54" t="s">
        <v>649</v>
      </c>
      <c r="G105" s="57" t="str">
        <f t="shared" si="1"/>
        <v>04-Jun-2025</v>
      </c>
      <c r="H105" s="54" t="s">
        <v>57</v>
      </c>
      <c r="I105" s="54" t="s">
        <v>645</v>
      </c>
      <c r="J105" s="27" t="str">
        <f t="shared" si="4"/>
        <v>31-Jul-2025</v>
      </c>
      <c r="K105" s="54" t="s">
        <v>650</v>
      </c>
      <c r="L105" s="27" t="str">
        <f t="shared" si="5"/>
        <v>06-Jun-2025</v>
      </c>
      <c r="M105" s="23" t="s">
        <v>285</v>
      </c>
      <c r="N105" s="23" t="s">
        <v>177</v>
      </c>
      <c r="O105" s="23" t="s">
        <v>44</v>
      </c>
      <c r="P105" s="54">
        <v>2.0</v>
      </c>
      <c r="Q105" s="58" t="s">
        <v>651</v>
      </c>
      <c r="R105" s="27" t="str">
        <f>IFERROR(__xludf.DUMMYFUNCTION("IF(REGEXMATCH(N105, ""PRIORITY: Low""), ""Low"", IF(REGEXMATCH(N105, ""PRIORITY: Medium""), ""Medium"", IF(REGEXMATCH(N105, ""PRIORITY: High""), ""High"", """")))
"),"")</f>
        <v/>
      </c>
      <c r="S105" s="27" t="str">
        <f>IFERROR(__xludf.DUMMYFUNCTION("IF(REGEXMATCH(N105, ""SKILL: Low""), ""Low"", IF(REGEXMATCH(N105, ""SKILL: Medium""), ""Medium"", IF(REGEXMATCH(N105, ""SKILL: High""), ""High"", """")))"),"")</f>
        <v/>
      </c>
      <c r="T105" s="27" t="str">
        <f>IFERROR(__xludf.DUMMYFUNCTION("IF(REGEXMATCH(N105, ""STATUS: Dev Complete - Awaiting QA""), ""Dev Complete - Awaiting QA"", IF(REGEXMATCH(N105, ""STATUS: Follow-Up Required""), ""Follow-Up Required"", IF(REGEXMATCH(N105, ""STATUS: In Progress""), ""In Progress"", IF(REGEXMATCH(N105, """&amp;"STATUS: In QA""), ""In QA"", IF(REGEXMATCH(N105, ""STATUS: Needs Customer Feedback""), ""Needs Customer Feedback"", IF(REGEXMATCH(N105, ""STATUS: QA Passed - Awaiting Release""), ""QA Passed - Awaiting Release"", IF(REGEXMATCH(N105, ""STATUS: Release to P"&amp;"rod""), ""Release to Prod"", """")))))))"),"")</f>
        <v/>
      </c>
    </row>
    <row r="106" hidden="1">
      <c r="A106" s="23" t="s">
        <v>82</v>
      </c>
      <c r="B106" s="12" t="s">
        <v>267</v>
      </c>
      <c r="C106" s="54">
        <v>321.0</v>
      </c>
      <c r="D106" s="55" t="s">
        <v>652</v>
      </c>
      <c r="E106" s="56" t="s">
        <v>173</v>
      </c>
      <c r="F106" s="54" t="s">
        <v>653</v>
      </c>
      <c r="G106" s="57" t="str">
        <f t="shared" si="1"/>
        <v>04-Jun-2025</v>
      </c>
      <c r="H106" s="54" t="s">
        <v>57</v>
      </c>
      <c r="I106" s="54" t="s">
        <v>645</v>
      </c>
      <c r="J106" s="27" t="str">
        <f t="shared" si="4"/>
        <v>31-Jul-2025</v>
      </c>
      <c r="K106" s="54" t="s">
        <v>654</v>
      </c>
      <c r="L106" s="27" t="str">
        <f t="shared" si="5"/>
        <v>06-Jun-2025</v>
      </c>
      <c r="M106" s="23" t="s">
        <v>285</v>
      </c>
      <c r="N106" s="23" t="s">
        <v>177</v>
      </c>
      <c r="O106" s="23" t="s">
        <v>44</v>
      </c>
      <c r="P106" s="54">
        <v>2.0</v>
      </c>
      <c r="Q106" s="58" t="s">
        <v>655</v>
      </c>
      <c r="R106" s="27" t="str">
        <f>IFERROR(__xludf.DUMMYFUNCTION("IF(REGEXMATCH(N106, ""PRIORITY: Low""), ""Low"", IF(REGEXMATCH(N106, ""PRIORITY: Medium""), ""Medium"", IF(REGEXMATCH(N106, ""PRIORITY: High""), ""High"", """")))
"),"")</f>
        <v/>
      </c>
      <c r="S106" s="27" t="str">
        <f>IFERROR(__xludf.DUMMYFUNCTION("IF(REGEXMATCH(N106, ""SKILL: Low""), ""Low"", IF(REGEXMATCH(N106, ""SKILL: Medium""), ""Medium"", IF(REGEXMATCH(N106, ""SKILL: High""), ""High"", """")))"),"")</f>
        <v/>
      </c>
      <c r="T106" s="27" t="str">
        <f>IFERROR(__xludf.DUMMYFUNCTION("IF(REGEXMATCH(N106, ""STATUS: Dev Complete - Awaiting QA""), ""Dev Complete - Awaiting QA"", IF(REGEXMATCH(N106, ""STATUS: Follow-Up Required""), ""Follow-Up Required"", IF(REGEXMATCH(N106, ""STATUS: In Progress""), ""In Progress"", IF(REGEXMATCH(N106, """&amp;"STATUS: In QA""), ""In QA"", IF(REGEXMATCH(N106, ""STATUS: Needs Customer Feedback""), ""Needs Customer Feedback"", IF(REGEXMATCH(N106, ""STATUS: QA Passed - Awaiting Release""), ""QA Passed - Awaiting Release"", IF(REGEXMATCH(N106, ""STATUS: Release to P"&amp;"rod""), ""Release to Prod"", """")))))))"),"")</f>
        <v/>
      </c>
    </row>
    <row r="107" hidden="1">
      <c r="A107" s="23" t="s">
        <v>82</v>
      </c>
      <c r="B107" s="12" t="s">
        <v>267</v>
      </c>
      <c r="C107" s="54">
        <v>320.0</v>
      </c>
      <c r="D107" s="55" t="s">
        <v>656</v>
      </c>
      <c r="E107" s="56" t="s">
        <v>173</v>
      </c>
      <c r="F107" s="54" t="s">
        <v>657</v>
      </c>
      <c r="G107" s="57" t="str">
        <f t="shared" si="1"/>
        <v>04-Jun-2025</v>
      </c>
      <c r="H107" s="54" t="s">
        <v>57</v>
      </c>
      <c r="I107" s="54" t="s">
        <v>658</v>
      </c>
      <c r="J107" s="27" t="str">
        <f t="shared" si="4"/>
        <v>31-Jul-2025</v>
      </c>
      <c r="K107" s="54" t="s">
        <v>659</v>
      </c>
      <c r="L107" s="27" t="str">
        <f t="shared" si="5"/>
        <v>06-Jun-2025</v>
      </c>
      <c r="M107" s="23" t="s">
        <v>249</v>
      </c>
      <c r="N107" s="23" t="s">
        <v>177</v>
      </c>
      <c r="O107" s="23" t="s">
        <v>44</v>
      </c>
      <c r="P107" s="54">
        <v>2.0</v>
      </c>
      <c r="Q107" s="58" t="s">
        <v>660</v>
      </c>
      <c r="R107" s="27" t="str">
        <f>IFERROR(__xludf.DUMMYFUNCTION("IF(REGEXMATCH(N107, ""PRIORITY: Low""), ""Low"", IF(REGEXMATCH(N107, ""PRIORITY: Medium""), ""Medium"", IF(REGEXMATCH(N107, ""PRIORITY: High""), ""High"", """")))
"),"")</f>
        <v/>
      </c>
      <c r="S107" s="27" t="str">
        <f>IFERROR(__xludf.DUMMYFUNCTION("IF(REGEXMATCH(N107, ""SKILL: Low""), ""Low"", IF(REGEXMATCH(N107, ""SKILL: Medium""), ""Medium"", IF(REGEXMATCH(N107, ""SKILL: High""), ""High"", """")))"),"")</f>
        <v/>
      </c>
      <c r="T107" s="27" t="str">
        <f>IFERROR(__xludf.DUMMYFUNCTION("IF(REGEXMATCH(N107, ""STATUS: Dev Complete - Awaiting QA""), ""Dev Complete - Awaiting QA"", IF(REGEXMATCH(N107, ""STATUS: Follow-Up Required""), ""Follow-Up Required"", IF(REGEXMATCH(N107, ""STATUS: In Progress""), ""In Progress"", IF(REGEXMATCH(N107, """&amp;"STATUS: In QA""), ""In QA"", IF(REGEXMATCH(N107, ""STATUS: Needs Customer Feedback""), ""Needs Customer Feedback"", IF(REGEXMATCH(N107, ""STATUS: QA Passed - Awaiting Release""), ""QA Passed - Awaiting Release"", IF(REGEXMATCH(N107, ""STATUS: Release to P"&amp;"rod""), ""Release to Prod"", """")))))))"),"")</f>
        <v/>
      </c>
    </row>
    <row r="108" hidden="1">
      <c r="A108" s="23" t="s">
        <v>82</v>
      </c>
      <c r="B108" s="12" t="s">
        <v>267</v>
      </c>
      <c r="C108" s="54">
        <v>319.0</v>
      </c>
      <c r="D108" s="55" t="s">
        <v>661</v>
      </c>
      <c r="E108" s="56" t="s">
        <v>173</v>
      </c>
      <c r="F108" s="54" t="s">
        <v>662</v>
      </c>
      <c r="G108" s="57" t="str">
        <f t="shared" si="1"/>
        <v>04-Jun-2025</v>
      </c>
      <c r="H108" s="54" t="s">
        <v>57</v>
      </c>
      <c r="I108" s="54" t="s">
        <v>658</v>
      </c>
      <c r="J108" s="27" t="str">
        <f t="shared" si="4"/>
        <v>31-Jul-2025</v>
      </c>
      <c r="K108" s="54" t="s">
        <v>663</v>
      </c>
      <c r="L108" s="27" t="str">
        <f t="shared" si="5"/>
        <v>06-Jun-2025</v>
      </c>
      <c r="M108" s="23" t="s">
        <v>285</v>
      </c>
      <c r="N108" s="23" t="s">
        <v>177</v>
      </c>
      <c r="O108" s="23" t="s">
        <v>44</v>
      </c>
      <c r="P108" s="54">
        <v>2.0</v>
      </c>
      <c r="Q108" s="58" t="s">
        <v>664</v>
      </c>
      <c r="R108" s="27" t="str">
        <f>IFERROR(__xludf.DUMMYFUNCTION("IF(REGEXMATCH(N108, ""PRIORITY: Low""), ""Low"", IF(REGEXMATCH(N108, ""PRIORITY: Medium""), ""Medium"", IF(REGEXMATCH(N108, ""PRIORITY: High""), ""High"", """")))
"),"")</f>
        <v/>
      </c>
      <c r="S108" s="27" t="str">
        <f>IFERROR(__xludf.DUMMYFUNCTION("IF(REGEXMATCH(N108, ""SKILL: Low""), ""Low"", IF(REGEXMATCH(N108, ""SKILL: Medium""), ""Medium"", IF(REGEXMATCH(N108, ""SKILL: High""), ""High"", """")))"),"")</f>
        <v/>
      </c>
      <c r="T108" s="27" t="str">
        <f>IFERROR(__xludf.DUMMYFUNCTION("IF(REGEXMATCH(N108, ""STATUS: Dev Complete - Awaiting QA""), ""Dev Complete - Awaiting QA"", IF(REGEXMATCH(N108, ""STATUS: Follow-Up Required""), ""Follow-Up Required"", IF(REGEXMATCH(N108, ""STATUS: In Progress""), ""In Progress"", IF(REGEXMATCH(N108, """&amp;"STATUS: In QA""), ""In QA"", IF(REGEXMATCH(N108, ""STATUS: Needs Customer Feedback""), ""Needs Customer Feedback"", IF(REGEXMATCH(N108, ""STATUS: QA Passed - Awaiting Release""), ""QA Passed - Awaiting Release"", IF(REGEXMATCH(N108, ""STATUS: Release to P"&amp;"rod""), ""Release to Prod"", """")))))))"),"")</f>
        <v/>
      </c>
    </row>
    <row r="109" hidden="1">
      <c r="A109" s="23" t="s">
        <v>82</v>
      </c>
      <c r="B109" s="12" t="s">
        <v>267</v>
      </c>
      <c r="C109" s="54">
        <v>318.0</v>
      </c>
      <c r="D109" s="55" t="s">
        <v>665</v>
      </c>
      <c r="E109" s="56" t="s">
        <v>173</v>
      </c>
      <c r="F109" s="54" t="s">
        <v>666</v>
      </c>
      <c r="G109" s="57" t="str">
        <f t="shared" si="1"/>
        <v>04-Jun-2025</v>
      </c>
      <c r="H109" s="54" t="s">
        <v>57</v>
      </c>
      <c r="I109" s="54" t="s">
        <v>658</v>
      </c>
      <c r="J109" s="27" t="str">
        <f t="shared" si="4"/>
        <v>31-Jul-2025</v>
      </c>
      <c r="K109" s="54" t="s">
        <v>667</v>
      </c>
      <c r="L109" s="27" t="str">
        <f t="shared" si="5"/>
        <v>06-Jun-2025</v>
      </c>
      <c r="M109" s="23" t="s">
        <v>285</v>
      </c>
      <c r="N109" s="23" t="s">
        <v>177</v>
      </c>
      <c r="O109" s="23" t="s">
        <v>44</v>
      </c>
      <c r="P109" s="54">
        <v>3.0</v>
      </c>
      <c r="Q109" s="58" t="s">
        <v>668</v>
      </c>
      <c r="R109" s="27" t="str">
        <f>IFERROR(__xludf.DUMMYFUNCTION("IF(REGEXMATCH(N109, ""PRIORITY: Low""), ""Low"", IF(REGEXMATCH(N109, ""PRIORITY: Medium""), ""Medium"", IF(REGEXMATCH(N109, ""PRIORITY: High""), ""High"", """")))
"),"")</f>
        <v/>
      </c>
      <c r="S109" s="27" t="str">
        <f>IFERROR(__xludf.DUMMYFUNCTION("IF(REGEXMATCH(N109, ""SKILL: Low""), ""Low"", IF(REGEXMATCH(N109, ""SKILL: Medium""), ""Medium"", IF(REGEXMATCH(N109, ""SKILL: High""), ""High"", """")))"),"")</f>
        <v/>
      </c>
      <c r="T109" s="27" t="str">
        <f>IFERROR(__xludf.DUMMYFUNCTION("IF(REGEXMATCH(N109, ""STATUS: Dev Complete - Awaiting QA""), ""Dev Complete - Awaiting QA"", IF(REGEXMATCH(N109, ""STATUS: Follow-Up Required""), ""Follow-Up Required"", IF(REGEXMATCH(N109, ""STATUS: In Progress""), ""In Progress"", IF(REGEXMATCH(N109, """&amp;"STATUS: In QA""), ""In QA"", IF(REGEXMATCH(N109, ""STATUS: Needs Customer Feedback""), ""Needs Customer Feedback"", IF(REGEXMATCH(N109, ""STATUS: QA Passed - Awaiting Release""), ""QA Passed - Awaiting Release"", IF(REGEXMATCH(N109, ""STATUS: Release to P"&amp;"rod""), ""Release to Prod"", """")))))))"),"")</f>
        <v/>
      </c>
    </row>
    <row r="110" hidden="1">
      <c r="A110" s="23" t="s">
        <v>82</v>
      </c>
      <c r="B110" s="12" t="s">
        <v>267</v>
      </c>
      <c r="C110" s="54">
        <v>317.0</v>
      </c>
      <c r="D110" s="55" t="s">
        <v>669</v>
      </c>
      <c r="E110" s="56" t="s">
        <v>173</v>
      </c>
      <c r="F110" s="54" t="s">
        <v>670</v>
      </c>
      <c r="G110" s="57" t="str">
        <f t="shared" si="1"/>
        <v>04-Jun-2025</v>
      </c>
      <c r="H110" s="54" t="s">
        <v>57</v>
      </c>
      <c r="I110" s="54" t="s">
        <v>671</v>
      </c>
      <c r="J110" s="27" t="str">
        <f t="shared" si="4"/>
        <v>31-Jul-2025</v>
      </c>
      <c r="K110" s="54" t="s">
        <v>672</v>
      </c>
      <c r="L110" s="27" t="str">
        <f t="shared" si="5"/>
        <v>06-Jun-2025</v>
      </c>
      <c r="M110" s="23" t="s">
        <v>249</v>
      </c>
      <c r="N110" s="23" t="s">
        <v>177</v>
      </c>
      <c r="O110" s="23" t="s">
        <v>44</v>
      </c>
      <c r="P110" s="54">
        <v>2.0</v>
      </c>
      <c r="Q110" s="58" t="s">
        <v>673</v>
      </c>
      <c r="R110" s="27" t="str">
        <f>IFERROR(__xludf.DUMMYFUNCTION("IF(REGEXMATCH(N110, ""PRIORITY: Low""), ""Low"", IF(REGEXMATCH(N110, ""PRIORITY: Medium""), ""Medium"", IF(REGEXMATCH(N110, ""PRIORITY: High""), ""High"", """")))
"),"")</f>
        <v/>
      </c>
      <c r="S110" s="27" t="str">
        <f>IFERROR(__xludf.DUMMYFUNCTION("IF(REGEXMATCH(N110, ""SKILL: Low""), ""Low"", IF(REGEXMATCH(N110, ""SKILL: Medium""), ""Medium"", IF(REGEXMATCH(N110, ""SKILL: High""), ""High"", """")))"),"")</f>
        <v/>
      </c>
      <c r="T110" s="27" t="str">
        <f>IFERROR(__xludf.DUMMYFUNCTION("IF(REGEXMATCH(N110, ""STATUS: Dev Complete - Awaiting QA""), ""Dev Complete - Awaiting QA"", IF(REGEXMATCH(N110, ""STATUS: Follow-Up Required""), ""Follow-Up Required"", IF(REGEXMATCH(N110, ""STATUS: In Progress""), ""In Progress"", IF(REGEXMATCH(N110, """&amp;"STATUS: In QA""), ""In QA"", IF(REGEXMATCH(N110, ""STATUS: Needs Customer Feedback""), ""Needs Customer Feedback"", IF(REGEXMATCH(N110, ""STATUS: QA Passed - Awaiting Release""), ""QA Passed - Awaiting Release"", IF(REGEXMATCH(N110, ""STATUS: Release to P"&amp;"rod""), ""Release to Prod"", """")))))))"),"")</f>
        <v/>
      </c>
    </row>
    <row r="111" hidden="1">
      <c r="A111" s="23" t="s">
        <v>82</v>
      </c>
      <c r="B111" s="12" t="s">
        <v>267</v>
      </c>
      <c r="C111" s="54">
        <v>316.0</v>
      </c>
      <c r="D111" s="55" t="s">
        <v>674</v>
      </c>
      <c r="E111" s="56" t="s">
        <v>173</v>
      </c>
      <c r="F111" s="54" t="s">
        <v>675</v>
      </c>
      <c r="G111" s="57" t="str">
        <f t="shared" si="1"/>
        <v>04-Jun-2025</v>
      </c>
      <c r="H111" s="54" t="s">
        <v>57</v>
      </c>
      <c r="I111" s="54" t="s">
        <v>671</v>
      </c>
      <c r="J111" s="27" t="str">
        <f t="shared" si="4"/>
        <v>31-Jul-2025</v>
      </c>
      <c r="K111" s="54" t="s">
        <v>676</v>
      </c>
      <c r="L111" s="27" t="str">
        <f t="shared" si="5"/>
        <v>06-Jun-2025</v>
      </c>
      <c r="M111" s="23" t="s">
        <v>249</v>
      </c>
      <c r="N111" s="23" t="s">
        <v>177</v>
      </c>
      <c r="O111" s="23" t="s">
        <v>44</v>
      </c>
      <c r="P111" s="54">
        <v>2.0</v>
      </c>
      <c r="Q111" s="58" t="s">
        <v>677</v>
      </c>
      <c r="R111" s="27" t="str">
        <f>IFERROR(__xludf.DUMMYFUNCTION("IF(REGEXMATCH(N111, ""PRIORITY: Low""), ""Low"", IF(REGEXMATCH(N111, ""PRIORITY: Medium""), ""Medium"", IF(REGEXMATCH(N111, ""PRIORITY: High""), ""High"", """")))
"),"")</f>
        <v/>
      </c>
      <c r="S111" s="27" t="str">
        <f>IFERROR(__xludf.DUMMYFUNCTION("IF(REGEXMATCH(N111, ""SKILL: Low""), ""Low"", IF(REGEXMATCH(N111, ""SKILL: Medium""), ""Medium"", IF(REGEXMATCH(N111, ""SKILL: High""), ""High"", """")))"),"")</f>
        <v/>
      </c>
      <c r="T111" s="27" t="str">
        <f>IFERROR(__xludf.DUMMYFUNCTION("IF(REGEXMATCH(N111, ""STATUS: Dev Complete - Awaiting QA""), ""Dev Complete - Awaiting QA"", IF(REGEXMATCH(N111, ""STATUS: Follow-Up Required""), ""Follow-Up Required"", IF(REGEXMATCH(N111, ""STATUS: In Progress""), ""In Progress"", IF(REGEXMATCH(N111, """&amp;"STATUS: In QA""), ""In QA"", IF(REGEXMATCH(N111, ""STATUS: Needs Customer Feedback""), ""Needs Customer Feedback"", IF(REGEXMATCH(N111, ""STATUS: QA Passed - Awaiting Release""), ""QA Passed - Awaiting Release"", IF(REGEXMATCH(N111, ""STATUS: Release to P"&amp;"rod""), ""Release to Prod"", """")))))))"),"")</f>
        <v/>
      </c>
    </row>
    <row r="112" hidden="1">
      <c r="A112" s="23" t="s">
        <v>82</v>
      </c>
      <c r="B112" s="12" t="s">
        <v>267</v>
      </c>
      <c r="C112" s="54">
        <v>315.0</v>
      </c>
      <c r="D112" s="55" t="s">
        <v>678</v>
      </c>
      <c r="E112" s="56" t="s">
        <v>173</v>
      </c>
      <c r="F112" s="54" t="s">
        <v>679</v>
      </c>
      <c r="G112" s="57" t="str">
        <f t="shared" si="1"/>
        <v>04-Jun-2025</v>
      </c>
      <c r="H112" s="54" t="s">
        <v>57</v>
      </c>
      <c r="I112" s="54" t="s">
        <v>680</v>
      </c>
      <c r="J112" s="27" t="str">
        <f t="shared" si="4"/>
        <v>11-Jul-2025</v>
      </c>
      <c r="K112" s="54" t="s">
        <v>681</v>
      </c>
      <c r="L112" s="27" t="str">
        <f t="shared" si="5"/>
        <v>06-Jun-2025</v>
      </c>
      <c r="M112" s="23" t="s">
        <v>249</v>
      </c>
      <c r="N112" s="23" t="s">
        <v>177</v>
      </c>
      <c r="O112" s="23" t="s">
        <v>44</v>
      </c>
      <c r="P112" s="54">
        <v>2.0</v>
      </c>
      <c r="Q112" s="58" t="s">
        <v>682</v>
      </c>
      <c r="R112" s="27" t="str">
        <f>IFERROR(__xludf.DUMMYFUNCTION("IF(REGEXMATCH(N112, ""PRIORITY: Low""), ""Low"", IF(REGEXMATCH(N112, ""PRIORITY: Medium""), ""Medium"", IF(REGEXMATCH(N112, ""PRIORITY: High""), ""High"", """")))
"),"")</f>
        <v/>
      </c>
      <c r="S112" s="27" t="str">
        <f>IFERROR(__xludf.DUMMYFUNCTION("IF(REGEXMATCH(N112, ""SKILL: Low""), ""Low"", IF(REGEXMATCH(N112, ""SKILL: Medium""), ""Medium"", IF(REGEXMATCH(N112, ""SKILL: High""), ""High"", """")))"),"")</f>
        <v/>
      </c>
      <c r="T112" s="27" t="str">
        <f>IFERROR(__xludf.DUMMYFUNCTION("IF(REGEXMATCH(N112, ""STATUS: Dev Complete - Awaiting QA""), ""Dev Complete - Awaiting QA"", IF(REGEXMATCH(N112, ""STATUS: Follow-Up Required""), ""Follow-Up Required"", IF(REGEXMATCH(N112, ""STATUS: In Progress""), ""In Progress"", IF(REGEXMATCH(N112, """&amp;"STATUS: In QA""), ""In QA"", IF(REGEXMATCH(N112, ""STATUS: Needs Customer Feedback""), ""Needs Customer Feedback"", IF(REGEXMATCH(N112, ""STATUS: QA Passed - Awaiting Release""), ""QA Passed - Awaiting Release"", IF(REGEXMATCH(N112, ""STATUS: Release to P"&amp;"rod""), ""Release to Prod"", """")))))))"),"")</f>
        <v/>
      </c>
    </row>
    <row r="113" hidden="1">
      <c r="A113" s="23" t="s">
        <v>82</v>
      </c>
      <c r="B113" s="12" t="s">
        <v>267</v>
      </c>
      <c r="C113" s="54">
        <v>314.0</v>
      </c>
      <c r="D113" s="55" t="s">
        <v>683</v>
      </c>
      <c r="E113" s="56" t="s">
        <v>173</v>
      </c>
      <c r="F113" s="54" t="s">
        <v>684</v>
      </c>
      <c r="G113" s="57" t="str">
        <f t="shared" si="1"/>
        <v>03-Jun-2025</v>
      </c>
      <c r="H113" s="54" t="s">
        <v>57</v>
      </c>
      <c r="I113" s="54" t="s">
        <v>640</v>
      </c>
      <c r="J113" s="27" t="str">
        <f t="shared" si="4"/>
        <v>26-Sep-2025</v>
      </c>
      <c r="K113" s="54" t="s">
        <v>685</v>
      </c>
      <c r="L113" s="27" t="str">
        <f t="shared" si="5"/>
        <v>30-Jun-2025</v>
      </c>
      <c r="M113" s="23" t="s">
        <v>285</v>
      </c>
      <c r="N113" s="23" t="s">
        <v>177</v>
      </c>
      <c r="O113" s="24"/>
      <c r="P113" s="54">
        <v>3.0</v>
      </c>
      <c r="Q113" s="58" t="s">
        <v>686</v>
      </c>
      <c r="R113" s="27" t="str">
        <f>IFERROR(__xludf.DUMMYFUNCTION("IF(REGEXMATCH(N113, ""PRIORITY: Low""), ""Low"", IF(REGEXMATCH(N113, ""PRIORITY: Medium""), ""Medium"", IF(REGEXMATCH(N113, ""PRIORITY: High""), ""High"", """")))
"),"")</f>
        <v/>
      </c>
      <c r="S113" s="27" t="str">
        <f>IFERROR(__xludf.DUMMYFUNCTION("IF(REGEXMATCH(N113, ""SKILL: Low""), ""Low"", IF(REGEXMATCH(N113, ""SKILL: Medium""), ""Medium"", IF(REGEXMATCH(N113, ""SKILL: High""), ""High"", """")))"),"")</f>
        <v/>
      </c>
      <c r="T113" s="27" t="str">
        <f>IFERROR(__xludf.DUMMYFUNCTION("IF(REGEXMATCH(N113, ""STATUS: Dev Complete - Awaiting QA""), ""Dev Complete - Awaiting QA"", IF(REGEXMATCH(N113, ""STATUS: Follow-Up Required""), ""Follow-Up Required"", IF(REGEXMATCH(N113, ""STATUS: In Progress""), ""In Progress"", IF(REGEXMATCH(N113, """&amp;"STATUS: In QA""), ""In QA"", IF(REGEXMATCH(N113, ""STATUS: Needs Customer Feedback""), ""Needs Customer Feedback"", IF(REGEXMATCH(N113, ""STATUS: QA Passed - Awaiting Release""), ""QA Passed - Awaiting Release"", IF(REGEXMATCH(N113, ""STATUS: Release to P"&amp;"rod""), ""Release to Prod"", """")))))))"),"")</f>
        <v/>
      </c>
    </row>
    <row r="114" hidden="1">
      <c r="A114" s="23" t="s">
        <v>82</v>
      </c>
      <c r="B114" s="12" t="s">
        <v>267</v>
      </c>
      <c r="C114" s="54">
        <v>313.0</v>
      </c>
      <c r="D114" s="55" t="s">
        <v>687</v>
      </c>
      <c r="E114" s="56" t="s">
        <v>173</v>
      </c>
      <c r="F114" s="54" t="s">
        <v>688</v>
      </c>
      <c r="G114" s="57" t="str">
        <f t="shared" si="1"/>
        <v>03-Jun-2025</v>
      </c>
      <c r="H114" s="54" t="s">
        <v>57</v>
      </c>
      <c r="I114" s="54" t="s">
        <v>689</v>
      </c>
      <c r="J114" s="27" t="str">
        <f t="shared" si="4"/>
        <v>23-Jul-2025</v>
      </c>
      <c r="K114" s="54" t="s">
        <v>689</v>
      </c>
      <c r="L114" s="27" t="str">
        <f t="shared" si="5"/>
        <v>23-Jul-2025</v>
      </c>
      <c r="M114" s="23" t="s">
        <v>285</v>
      </c>
      <c r="N114" s="23" t="s">
        <v>690</v>
      </c>
      <c r="O114" s="23" t="s">
        <v>44</v>
      </c>
      <c r="P114" s="54">
        <v>1.0</v>
      </c>
      <c r="Q114" s="58" t="s">
        <v>691</v>
      </c>
      <c r="R114" s="27" t="str">
        <f>IFERROR(__xludf.DUMMYFUNCTION("IF(REGEXMATCH(N114, ""PRIORITY: Low""), ""Low"", IF(REGEXMATCH(N114, ""PRIORITY: Medium""), ""Medium"", IF(REGEXMATCH(N114, ""PRIORITY: High""), ""High"", """")))
"),"Low")</f>
        <v>Low</v>
      </c>
      <c r="S114" s="27" t="str">
        <f>IFERROR(__xludf.DUMMYFUNCTION("IF(REGEXMATCH(N114, ""SKILL: Low""), ""Low"", IF(REGEXMATCH(N114, ""SKILL: Medium""), ""Medium"", IF(REGEXMATCH(N114, ""SKILL: High""), ""High"", """")))"),"Medium")</f>
        <v>Medium</v>
      </c>
      <c r="T114" s="27" t="str">
        <f>IFERROR(__xludf.DUMMYFUNCTION("IF(REGEXMATCH(N114, ""STATUS: Dev Complete - Awaiting QA""), ""Dev Complete - Awaiting QA"", IF(REGEXMATCH(N114, ""STATUS: Follow-Up Required""), ""Follow-Up Required"", IF(REGEXMATCH(N114, ""STATUS: In Progress""), ""In Progress"", IF(REGEXMATCH(N114, """&amp;"STATUS: In QA""), ""In QA"", IF(REGEXMATCH(N114, ""STATUS: Needs Customer Feedback""), ""Needs Customer Feedback"", IF(REGEXMATCH(N114, ""STATUS: QA Passed - Awaiting Release""), ""QA Passed - Awaiting Release"", IF(REGEXMATCH(N114, ""STATUS: Release to P"&amp;"rod""), ""Release to Prod"", """")))))))"),"Follow-Up Required")</f>
        <v>Follow-Up Required</v>
      </c>
    </row>
    <row r="115" hidden="1">
      <c r="A115" s="23" t="s">
        <v>82</v>
      </c>
      <c r="B115" s="12" t="s">
        <v>267</v>
      </c>
      <c r="C115" s="54">
        <v>307.0</v>
      </c>
      <c r="D115" s="55" t="s">
        <v>692</v>
      </c>
      <c r="E115" s="56" t="s">
        <v>173</v>
      </c>
      <c r="F115" s="54" t="s">
        <v>693</v>
      </c>
      <c r="G115" s="57" t="str">
        <f t="shared" si="1"/>
        <v>22-May-2025</v>
      </c>
      <c r="H115" s="54" t="s">
        <v>57</v>
      </c>
      <c r="I115" s="54" t="s">
        <v>694</v>
      </c>
      <c r="J115" s="27" t="str">
        <f t="shared" si="4"/>
        <v>19-Sep-2025</v>
      </c>
      <c r="K115" s="54" t="s">
        <v>695</v>
      </c>
      <c r="L115" s="27" t="str">
        <f t="shared" si="5"/>
        <v>02-Jun-2025</v>
      </c>
      <c r="M115" s="23" t="s">
        <v>291</v>
      </c>
      <c r="N115" s="23" t="s">
        <v>177</v>
      </c>
      <c r="O115" s="23" t="s">
        <v>44</v>
      </c>
      <c r="P115" s="54">
        <v>1.0</v>
      </c>
      <c r="Q115" s="58" t="s">
        <v>696</v>
      </c>
      <c r="R115" s="27" t="str">
        <f>IFERROR(__xludf.DUMMYFUNCTION("IF(REGEXMATCH(N115, ""PRIORITY: Low""), ""Low"", IF(REGEXMATCH(N115, ""PRIORITY: Medium""), ""Medium"", IF(REGEXMATCH(N115, ""PRIORITY: High""), ""High"", """")))
"),"")</f>
        <v/>
      </c>
      <c r="S115" s="27" t="str">
        <f>IFERROR(__xludf.DUMMYFUNCTION("IF(REGEXMATCH(N115, ""SKILL: Low""), ""Low"", IF(REGEXMATCH(N115, ""SKILL: Medium""), ""Medium"", IF(REGEXMATCH(N115, ""SKILL: High""), ""High"", """")))"),"")</f>
        <v/>
      </c>
      <c r="T115" s="27" t="str">
        <f>IFERROR(__xludf.DUMMYFUNCTION("IF(REGEXMATCH(N115, ""STATUS: Dev Complete - Awaiting QA""), ""Dev Complete - Awaiting QA"", IF(REGEXMATCH(N115, ""STATUS: Follow-Up Required""), ""Follow-Up Required"", IF(REGEXMATCH(N115, ""STATUS: In Progress""), ""In Progress"", IF(REGEXMATCH(N115, """&amp;"STATUS: In QA""), ""In QA"", IF(REGEXMATCH(N115, ""STATUS: Needs Customer Feedback""), ""Needs Customer Feedback"", IF(REGEXMATCH(N115, ""STATUS: QA Passed - Awaiting Release""), ""QA Passed - Awaiting Release"", IF(REGEXMATCH(N115, ""STATUS: Release to P"&amp;"rod""), ""Release to Prod"", """")))))))"),"")</f>
        <v/>
      </c>
    </row>
    <row r="116" hidden="1">
      <c r="A116" s="23" t="s">
        <v>82</v>
      </c>
      <c r="B116" s="12" t="s">
        <v>267</v>
      </c>
      <c r="C116" s="54">
        <v>306.0</v>
      </c>
      <c r="D116" s="55" t="s">
        <v>697</v>
      </c>
      <c r="E116" s="56" t="s">
        <v>173</v>
      </c>
      <c r="F116" s="54" t="s">
        <v>698</v>
      </c>
      <c r="G116" s="57" t="str">
        <f t="shared" si="1"/>
        <v>21-May-2025</v>
      </c>
      <c r="H116" s="54" t="s">
        <v>57</v>
      </c>
      <c r="I116" s="54" t="s">
        <v>699</v>
      </c>
      <c r="J116" s="27" t="str">
        <f t="shared" si="4"/>
        <v>19-Sep-2025</v>
      </c>
      <c r="K116" s="54" t="s">
        <v>700</v>
      </c>
      <c r="L116" s="27" t="str">
        <f t="shared" si="5"/>
        <v>18-Jun-2025</v>
      </c>
      <c r="M116" s="23" t="s">
        <v>291</v>
      </c>
      <c r="N116" s="23" t="s">
        <v>177</v>
      </c>
      <c r="O116" s="23" t="s">
        <v>44</v>
      </c>
      <c r="P116" s="54">
        <v>2.0</v>
      </c>
      <c r="Q116" s="58" t="s">
        <v>701</v>
      </c>
      <c r="R116" s="27" t="str">
        <f>IFERROR(__xludf.DUMMYFUNCTION("IF(REGEXMATCH(N116, ""PRIORITY: Low""), ""Low"", IF(REGEXMATCH(N116, ""PRIORITY: Medium""), ""Medium"", IF(REGEXMATCH(N116, ""PRIORITY: High""), ""High"", """")))
"),"")</f>
        <v/>
      </c>
      <c r="S116" s="27" t="str">
        <f>IFERROR(__xludf.DUMMYFUNCTION("IF(REGEXMATCH(N116, ""SKILL: Low""), ""Low"", IF(REGEXMATCH(N116, ""SKILL: Medium""), ""Medium"", IF(REGEXMATCH(N116, ""SKILL: High""), ""High"", """")))"),"")</f>
        <v/>
      </c>
      <c r="T116" s="27" t="str">
        <f>IFERROR(__xludf.DUMMYFUNCTION("IF(REGEXMATCH(N116, ""STATUS: Dev Complete - Awaiting QA""), ""Dev Complete - Awaiting QA"", IF(REGEXMATCH(N116, ""STATUS: Follow-Up Required""), ""Follow-Up Required"", IF(REGEXMATCH(N116, ""STATUS: In Progress""), ""In Progress"", IF(REGEXMATCH(N116, """&amp;"STATUS: In QA""), ""In QA"", IF(REGEXMATCH(N116, ""STATUS: Needs Customer Feedback""), ""Needs Customer Feedback"", IF(REGEXMATCH(N116, ""STATUS: QA Passed - Awaiting Release""), ""QA Passed - Awaiting Release"", IF(REGEXMATCH(N116, ""STATUS: Release to P"&amp;"rod""), ""Release to Prod"", """")))))))"),"")</f>
        <v/>
      </c>
    </row>
    <row r="117" hidden="1">
      <c r="A117" s="23" t="s">
        <v>82</v>
      </c>
      <c r="B117" s="12" t="s">
        <v>267</v>
      </c>
      <c r="C117" s="54">
        <v>305.0</v>
      </c>
      <c r="D117" s="55" t="s">
        <v>702</v>
      </c>
      <c r="E117" s="56" t="s">
        <v>173</v>
      </c>
      <c r="F117" s="54" t="s">
        <v>703</v>
      </c>
      <c r="G117" s="57" t="str">
        <f t="shared" si="1"/>
        <v>16-May-2025</v>
      </c>
      <c r="H117" s="54" t="s">
        <v>57</v>
      </c>
      <c r="I117" s="54" t="s">
        <v>699</v>
      </c>
      <c r="J117" s="27" t="str">
        <f t="shared" si="4"/>
        <v>19-Sep-2025</v>
      </c>
      <c r="K117" s="54" t="s">
        <v>704</v>
      </c>
      <c r="L117" s="27" t="str">
        <f t="shared" si="5"/>
        <v>02-Jun-2025</v>
      </c>
      <c r="M117" s="23" t="s">
        <v>249</v>
      </c>
      <c r="N117" s="23" t="s">
        <v>177</v>
      </c>
      <c r="O117" s="23" t="s">
        <v>44</v>
      </c>
      <c r="P117" s="54">
        <v>1.0</v>
      </c>
      <c r="Q117" s="58" t="s">
        <v>705</v>
      </c>
      <c r="R117" s="27" t="str">
        <f>IFERROR(__xludf.DUMMYFUNCTION("IF(REGEXMATCH(N117, ""PRIORITY: Low""), ""Low"", IF(REGEXMATCH(N117, ""PRIORITY: Medium""), ""Medium"", IF(REGEXMATCH(N117, ""PRIORITY: High""), ""High"", """")))
"),"")</f>
        <v/>
      </c>
      <c r="S117" s="27" t="str">
        <f>IFERROR(__xludf.DUMMYFUNCTION("IF(REGEXMATCH(N117, ""SKILL: Low""), ""Low"", IF(REGEXMATCH(N117, ""SKILL: Medium""), ""Medium"", IF(REGEXMATCH(N117, ""SKILL: High""), ""High"", """")))"),"")</f>
        <v/>
      </c>
      <c r="T117" s="27" t="str">
        <f>IFERROR(__xludf.DUMMYFUNCTION("IF(REGEXMATCH(N117, ""STATUS: Dev Complete - Awaiting QA""), ""Dev Complete - Awaiting QA"", IF(REGEXMATCH(N117, ""STATUS: Follow-Up Required""), ""Follow-Up Required"", IF(REGEXMATCH(N117, ""STATUS: In Progress""), ""In Progress"", IF(REGEXMATCH(N117, """&amp;"STATUS: In QA""), ""In QA"", IF(REGEXMATCH(N117, ""STATUS: Needs Customer Feedback""), ""Needs Customer Feedback"", IF(REGEXMATCH(N117, ""STATUS: QA Passed - Awaiting Release""), ""QA Passed - Awaiting Release"", IF(REGEXMATCH(N117, ""STATUS: Release to P"&amp;"rod""), ""Release to Prod"", """")))))))"),"")</f>
        <v/>
      </c>
    </row>
    <row r="118" hidden="1">
      <c r="A118" s="23" t="s">
        <v>82</v>
      </c>
      <c r="B118" s="12" t="s">
        <v>267</v>
      </c>
      <c r="C118" s="54">
        <v>304.0</v>
      </c>
      <c r="D118" s="55" t="s">
        <v>706</v>
      </c>
      <c r="E118" s="56" t="s">
        <v>173</v>
      </c>
      <c r="F118" s="54" t="s">
        <v>707</v>
      </c>
      <c r="G118" s="57" t="str">
        <f t="shared" si="1"/>
        <v>09-May-2025</v>
      </c>
      <c r="H118" s="54" t="s">
        <v>57</v>
      </c>
      <c r="I118" s="54" t="s">
        <v>708</v>
      </c>
      <c r="J118" s="27" t="str">
        <f t="shared" si="4"/>
        <v>19-Sep-2025</v>
      </c>
      <c r="K118" s="54" t="s">
        <v>709</v>
      </c>
      <c r="L118" s="27" t="str">
        <f t="shared" si="5"/>
        <v>22-May-2025</v>
      </c>
      <c r="M118" s="23" t="s">
        <v>249</v>
      </c>
      <c r="N118" s="23" t="s">
        <v>177</v>
      </c>
      <c r="O118" s="23" t="s">
        <v>590</v>
      </c>
      <c r="P118" s="54">
        <v>1.0</v>
      </c>
      <c r="Q118" s="58" t="s">
        <v>710</v>
      </c>
      <c r="R118" s="27" t="str">
        <f>IFERROR(__xludf.DUMMYFUNCTION("IF(REGEXMATCH(N118, ""PRIORITY: Low""), ""Low"", IF(REGEXMATCH(N118, ""PRIORITY: Medium""), ""Medium"", IF(REGEXMATCH(N118, ""PRIORITY: High""), ""High"", """")))
"),"")</f>
        <v/>
      </c>
      <c r="S118" s="27" t="str">
        <f>IFERROR(__xludf.DUMMYFUNCTION("IF(REGEXMATCH(N118, ""SKILL: Low""), ""Low"", IF(REGEXMATCH(N118, ""SKILL: Medium""), ""Medium"", IF(REGEXMATCH(N118, ""SKILL: High""), ""High"", """")))"),"")</f>
        <v/>
      </c>
      <c r="T118" s="27" t="str">
        <f>IFERROR(__xludf.DUMMYFUNCTION("IF(REGEXMATCH(N118, ""STATUS: Dev Complete - Awaiting QA""), ""Dev Complete - Awaiting QA"", IF(REGEXMATCH(N118, ""STATUS: Follow-Up Required""), ""Follow-Up Required"", IF(REGEXMATCH(N118, ""STATUS: In Progress""), ""In Progress"", IF(REGEXMATCH(N118, """&amp;"STATUS: In QA""), ""In QA"", IF(REGEXMATCH(N118, ""STATUS: Needs Customer Feedback""), ""Needs Customer Feedback"", IF(REGEXMATCH(N118, ""STATUS: QA Passed - Awaiting Release""), ""QA Passed - Awaiting Release"", IF(REGEXMATCH(N118, ""STATUS: Release to P"&amp;"rod""), ""Release to Prod"", """")))))))"),"")</f>
        <v/>
      </c>
    </row>
    <row r="119" hidden="1">
      <c r="A119" s="23" t="s">
        <v>82</v>
      </c>
      <c r="B119" s="12" t="s">
        <v>267</v>
      </c>
      <c r="C119" s="54">
        <v>302.0</v>
      </c>
      <c r="D119" s="55" t="s">
        <v>711</v>
      </c>
      <c r="E119" s="56" t="s">
        <v>173</v>
      </c>
      <c r="F119" s="54" t="s">
        <v>712</v>
      </c>
      <c r="G119" s="57" t="str">
        <f t="shared" si="1"/>
        <v>30-Apr-2025</v>
      </c>
      <c r="H119" s="54" t="s">
        <v>57</v>
      </c>
      <c r="I119" s="54" t="s">
        <v>708</v>
      </c>
      <c r="J119" s="27" t="str">
        <f t="shared" si="4"/>
        <v>19-Sep-2025</v>
      </c>
      <c r="K119" s="54" t="s">
        <v>713</v>
      </c>
      <c r="L119" s="27" t="str">
        <f t="shared" si="5"/>
        <v>22-May-2025</v>
      </c>
      <c r="M119" s="23" t="s">
        <v>285</v>
      </c>
      <c r="N119" s="23" t="s">
        <v>177</v>
      </c>
      <c r="O119" s="23" t="s">
        <v>590</v>
      </c>
      <c r="P119" s="54">
        <v>1.0</v>
      </c>
      <c r="Q119" s="58" t="s">
        <v>714</v>
      </c>
      <c r="R119" s="27" t="str">
        <f>IFERROR(__xludf.DUMMYFUNCTION("IF(REGEXMATCH(N119, ""PRIORITY: Low""), ""Low"", IF(REGEXMATCH(N119, ""PRIORITY: Medium""), ""Medium"", IF(REGEXMATCH(N119, ""PRIORITY: High""), ""High"", """")))
"),"")</f>
        <v/>
      </c>
      <c r="S119" s="27" t="str">
        <f>IFERROR(__xludf.DUMMYFUNCTION("IF(REGEXMATCH(N119, ""SKILL: Low""), ""Low"", IF(REGEXMATCH(N119, ""SKILL: Medium""), ""Medium"", IF(REGEXMATCH(N119, ""SKILL: High""), ""High"", """")))"),"")</f>
        <v/>
      </c>
      <c r="T119" s="27" t="str">
        <f>IFERROR(__xludf.DUMMYFUNCTION("IF(REGEXMATCH(N119, ""STATUS: Dev Complete - Awaiting QA""), ""Dev Complete - Awaiting QA"", IF(REGEXMATCH(N119, ""STATUS: Follow-Up Required""), ""Follow-Up Required"", IF(REGEXMATCH(N119, ""STATUS: In Progress""), ""In Progress"", IF(REGEXMATCH(N119, """&amp;"STATUS: In QA""), ""In QA"", IF(REGEXMATCH(N119, ""STATUS: Needs Customer Feedback""), ""Needs Customer Feedback"", IF(REGEXMATCH(N119, ""STATUS: QA Passed - Awaiting Release""), ""QA Passed - Awaiting Release"", IF(REGEXMATCH(N119, ""STATUS: Release to P"&amp;"rod""), ""Release to Prod"", """")))))))"),"")</f>
        <v/>
      </c>
    </row>
    <row r="120" hidden="1">
      <c r="A120" s="23" t="s">
        <v>82</v>
      </c>
      <c r="B120" s="12" t="s">
        <v>267</v>
      </c>
      <c r="C120" s="54">
        <v>301.0</v>
      </c>
      <c r="D120" s="55" t="s">
        <v>715</v>
      </c>
      <c r="E120" s="56" t="s">
        <v>173</v>
      </c>
      <c r="F120" s="54" t="s">
        <v>716</v>
      </c>
      <c r="G120" s="57" t="str">
        <f t="shared" si="1"/>
        <v>22-Apr-2025</v>
      </c>
      <c r="H120" s="54" t="s">
        <v>57</v>
      </c>
      <c r="I120" s="54" t="s">
        <v>717</v>
      </c>
      <c r="J120" s="27" t="str">
        <f t="shared" si="4"/>
        <v>19-Sep-2025</v>
      </c>
      <c r="K120" s="54" t="s">
        <v>718</v>
      </c>
      <c r="L120" s="27" t="str">
        <f t="shared" si="5"/>
        <v>22-May-2025</v>
      </c>
      <c r="M120" s="23" t="s">
        <v>249</v>
      </c>
      <c r="N120" s="23" t="s">
        <v>177</v>
      </c>
      <c r="O120" s="23" t="s">
        <v>590</v>
      </c>
      <c r="P120" s="54">
        <v>4.0</v>
      </c>
      <c r="Q120" s="58" t="s">
        <v>719</v>
      </c>
      <c r="R120" s="27" t="str">
        <f>IFERROR(__xludf.DUMMYFUNCTION("IF(REGEXMATCH(N120, ""PRIORITY: Low""), ""Low"", IF(REGEXMATCH(N120, ""PRIORITY: Medium""), ""Medium"", IF(REGEXMATCH(N120, ""PRIORITY: High""), ""High"", """")))
"),"")</f>
        <v/>
      </c>
      <c r="S120" s="27" t="str">
        <f>IFERROR(__xludf.DUMMYFUNCTION("IF(REGEXMATCH(N120, ""SKILL: Low""), ""Low"", IF(REGEXMATCH(N120, ""SKILL: Medium""), ""Medium"", IF(REGEXMATCH(N120, ""SKILL: High""), ""High"", """")))"),"")</f>
        <v/>
      </c>
      <c r="T120" s="27" t="str">
        <f>IFERROR(__xludf.DUMMYFUNCTION("IF(REGEXMATCH(N120, ""STATUS: Dev Complete - Awaiting QA""), ""Dev Complete - Awaiting QA"", IF(REGEXMATCH(N120, ""STATUS: Follow-Up Required""), ""Follow-Up Required"", IF(REGEXMATCH(N120, ""STATUS: In Progress""), ""In Progress"", IF(REGEXMATCH(N120, """&amp;"STATUS: In QA""), ""In QA"", IF(REGEXMATCH(N120, ""STATUS: Needs Customer Feedback""), ""Needs Customer Feedback"", IF(REGEXMATCH(N120, ""STATUS: QA Passed - Awaiting Release""), ""QA Passed - Awaiting Release"", IF(REGEXMATCH(N120, ""STATUS: Release to P"&amp;"rod""), ""Release to Prod"", """")))))))"),"")</f>
        <v/>
      </c>
    </row>
    <row r="121" hidden="1">
      <c r="A121" s="23" t="s">
        <v>82</v>
      </c>
      <c r="B121" s="12" t="s">
        <v>267</v>
      </c>
      <c r="C121" s="54">
        <v>300.0</v>
      </c>
      <c r="D121" s="55" t="s">
        <v>720</v>
      </c>
      <c r="E121" s="56" t="s">
        <v>173</v>
      </c>
      <c r="F121" s="54" t="s">
        <v>721</v>
      </c>
      <c r="G121" s="57" t="str">
        <f t="shared" si="1"/>
        <v>22-Apr-2025</v>
      </c>
      <c r="H121" s="54" t="s">
        <v>98</v>
      </c>
      <c r="I121" s="54" t="s">
        <v>717</v>
      </c>
      <c r="J121" s="27" t="str">
        <f t="shared" si="4"/>
        <v>19-Sep-2025</v>
      </c>
      <c r="K121" s="54" t="s">
        <v>722</v>
      </c>
      <c r="L121" s="27" t="str">
        <f t="shared" si="5"/>
        <v>22-May-2025</v>
      </c>
      <c r="M121" s="23" t="s">
        <v>249</v>
      </c>
      <c r="N121" s="23" t="s">
        <v>177</v>
      </c>
      <c r="O121" s="23" t="s">
        <v>590</v>
      </c>
      <c r="P121" s="54">
        <v>4.0</v>
      </c>
      <c r="Q121" s="58" t="s">
        <v>723</v>
      </c>
      <c r="R121" s="27" t="str">
        <f>IFERROR(__xludf.DUMMYFUNCTION("IF(REGEXMATCH(N121, ""PRIORITY: Low""), ""Low"", IF(REGEXMATCH(N121, ""PRIORITY: Medium""), ""Medium"", IF(REGEXMATCH(N121, ""PRIORITY: High""), ""High"", """")))
"),"")</f>
        <v/>
      </c>
      <c r="S121" s="27" t="str">
        <f>IFERROR(__xludf.DUMMYFUNCTION("IF(REGEXMATCH(N121, ""SKILL: Low""), ""Low"", IF(REGEXMATCH(N121, ""SKILL: Medium""), ""Medium"", IF(REGEXMATCH(N121, ""SKILL: High""), ""High"", """")))"),"")</f>
        <v/>
      </c>
      <c r="T121" s="27" t="str">
        <f>IFERROR(__xludf.DUMMYFUNCTION("IF(REGEXMATCH(N121, ""STATUS: Dev Complete - Awaiting QA""), ""Dev Complete - Awaiting QA"", IF(REGEXMATCH(N121, ""STATUS: Follow-Up Required""), ""Follow-Up Required"", IF(REGEXMATCH(N121, ""STATUS: In Progress""), ""In Progress"", IF(REGEXMATCH(N121, """&amp;"STATUS: In QA""), ""In QA"", IF(REGEXMATCH(N121, ""STATUS: Needs Customer Feedback""), ""Needs Customer Feedback"", IF(REGEXMATCH(N121, ""STATUS: QA Passed - Awaiting Release""), ""QA Passed - Awaiting Release"", IF(REGEXMATCH(N121, ""STATUS: Release to P"&amp;"rod""), ""Release to Prod"", """")))))))"),"")</f>
        <v/>
      </c>
    </row>
    <row r="122" hidden="1">
      <c r="A122" s="23" t="s">
        <v>82</v>
      </c>
      <c r="B122" s="12" t="s">
        <v>267</v>
      </c>
      <c r="C122" s="54">
        <v>299.0</v>
      </c>
      <c r="D122" s="55" t="s">
        <v>724</v>
      </c>
      <c r="E122" s="56" t="s">
        <v>173</v>
      </c>
      <c r="F122" s="54" t="s">
        <v>725</v>
      </c>
      <c r="G122" s="57" t="str">
        <f t="shared" si="1"/>
        <v>14-Apr-2025</v>
      </c>
      <c r="H122" s="54" t="s">
        <v>98</v>
      </c>
      <c r="I122" s="54" t="s">
        <v>726</v>
      </c>
      <c r="J122" s="27" t="str">
        <f t="shared" si="4"/>
        <v>19-Sep-2025</v>
      </c>
      <c r="K122" s="54" t="s">
        <v>727</v>
      </c>
      <c r="L122" s="27" t="str">
        <f t="shared" si="5"/>
        <v>22-May-2025</v>
      </c>
      <c r="M122" s="23" t="s">
        <v>249</v>
      </c>
      <c r="N122" s="23" t="s">
        <v>177</v>
      </c>
      <c r="O122" s="23" t="s">
        <v>590</v>
      </c>
      <c r="P122" s="54">
        <v>2.0</v>
      </c>
      <c r="Q122" s="58" t="s">
        <v>728</v>
      </c>
      <c r="R122" s="27" t="str">
        <f>IFERROR(__xludf.DUMMYFUNCTION("IF(REGEXMATCH(N122, ""PRIORITY: Low""), ""Low"", IF(REGEXMATCH(N122, ""PRIORITY: Medium""), ""Medium"", IF(REGEXMATCH(N122, ""PRIORITY: High""), ""High"", """")))
"),"")</f>
        <v/>
      </c>
      <c r="S122" s="27" t="str">
        <f>IFERROR(__xludf.DUMMYFUNCTION("IF(REGEXMATCH(N122, ""SKILL: Low""), ""Low"", IF(REGEXMATCH(N122, ""SKILL: Medium""), ""Medium"", IF(REGEXMATCH(N122, ""SKILL: High""), ""High"", """")))"),"")</f>
        <v/>
      </c>
      <c r="T122" s="27" t="str">
        <f>IFERROR(__xludf.DUMMYFUNCTION("IF(REGEXMATCH(N122, ""STATUS: Dev Complete - Awaiting QA""), ""Dev Complete - Awaiting QA"", IF(REGEXMATCH(N122, ""STATUS: Follow-Up Required""), ""Follow-Up Required"", IF(REGEXMATCH(N122, ""STATUS: In Progress""), ""In Progress"", IF(REGEXMATCH(N122, """&amp;"STATUS: In QA""), ""In QA"", IF(REGEXMATCH(N122, ""STATUS: Needs Customer Feedback""), ""Needs Customer Feedback"", IF(REGEXMATCH(N122, ""STATUS: QA Passed - Awaiting Release""), ""QA Passed - Awaiting Release"", IF(REGEXMATCH(N122, ""STATUS: Release to P"&amp;"rod""), ""Release to Prod"", """")))))))"),"")</f>
        <v/>
      </c>
    </row>
    <row r="123" hidden="1">
      <c r="A123" s="23" t="s">
        <v>82</v>
      </c>
      <c r="B123" s="12" t="s">
        <v>267</v>
      </c>
      <c r="C123" s="54">
        <v>298.0</v>
      </c>
      <c r="D123" s="55" t="s">
        <v>729</v>
      </c>
      <c r="E123" s="56" t="s">
        <v>173</v>
      </c>
      <c r="F123" s="54" t="s">
        <v>730</v>
      </c>
      <c r="G123" s="57" t="str">
        <f t="shared" si="1"/>
        <v>14-Apr-2025</v>
      </c>
      <c r="H123" s="54" t="s">
        <v>98</v>
      </c>
      <c r="I123" s="54" t="s">
        <v>726</v>
      </c>
      <c r="J123" s="27" t="str">
        <f t="shared" si="4"/>
        <v>19-Sep-2025</v>
      </c>
      <c r="K123" s="54" t="s">
        <v>731</v>
      </c>
      <c r="L123" s="27" t="str">
        <f t="shared" si="5"/>
        <v>22-May-2025</v>
      </c>
      <c r="M123" s="23" t="s">
        <v>249</v>
      </c>
      <c r="N123" s="23" t="s">
        <v>177</v>
      </c>
      <c r="O123" s="23" t="s">
        <v>590</v>
      </c>
      <c r="P123" s="54">
        <v>4.0</v>
      </c>
      <c r="Q123" s="58" t="s">
        <v>732</v>
      </c>
      <c r="R123" s="27" t="str">
        <f>IFERROR(__xludf.DUMMYFUNCTION("IF(REGEXMATCH(N123, ""PRIORITY: Low""), ""Low"", IF(REGEXMATCH(N123, ""PRIORITY: Medium""), ""Medium"", IF(REGEXMATCH(N123, ""PRIORITY: High""), ""High"", """")))
"),"")</f>
        <v/>
      </c>
      <c r="S123" s="27" t="str">
        <f>IFERROR(__xludf.DUMMYFUNCTION("IF(REGEXMATCH(N123, ""SKILL: Low""), ""Low"", IF(REGEXMATCH(N123, ""SKILL: Medium""), ""Medium"", IF(REGEXMATCH(N123, ""SKILL: High""), ""High"", """")))"),"")</f>
        <v/>
      </c>
      <c r="T123" s="27" t="str">
        <f>IFERROR(__xludf.DUMMYFUNCTION("IF(REGEXMATCH(N123, ""STATUS: Dev Complete - Awaiting QA""), ""Dev Complete - Awaiting QA"", IF(REGEXMATCH(N123, ""STATUS: Follow-Up Required""), ""Follow-Up Required"", IF(REGEXMATCH(N123, ""STATUS: In Progress""), ""In Progress"", IF(REGEXMATCH(N123, """&amp;"STATUS: In QA""), ""In QA"", IF(REGEXMATCH(N123, ""STATUS: Needs Customer Feedback""), ""Needs Customer Feedback"", IF(REGEXMATCH(N123, ""STATUS: QA Passed - Awaiting Release""), ""QA Passed - Awaiting Release"", IF(REGEXMATCH(N123, ""STATUS: Release to P"&amp;"rod""), ""Release to Prod"", """")))))))"),"")</f>
        <v/>
      </c>
    </row>
    <row r="124" hidden="1">
      <c r="A124" s="23" t="s">
        <v>82</v>
      </c>
      <c r="B124" s="12" t="s">
        <v>267</v>
      </c>
      <c r="C124" s="54">
        <v>297.0</v>
      </c>
      <c r="D124" s="55" t="s">
        <v>733</v>
      </c>
      <c r="E124" s="56" t="s">
        <v>173</v>
      </c>
      <c r="F124" s="54" t="s">
        <v>734</v>
      </c>
      <c r="G124" s="57" t="str">
        <f t="shared" si="1"/>
        <v>14-Apr-2025</v>
      </c>
      <c r="H124" s="54" t="s">
        <v>98</v>
      </c>
      <c r="I124" s="54" t="s">
        <v>726</v>
      </c>
      <c r="J124" s="27" t="str">
        <f t="shared" si="4"/>
        <v>19-Sep-2025</v>
      </c>
      <c r="K124" s="54" t="s">
        <v>735</v>
      </c>
      <c r="L124" s="27" t="str">
        <f t="shared" si="5"/>
        <v>22-May-2025</v>
      </c>
      <c r="M124" s="23" t="s">
        <v>249</v>
      </c>
      <c r="N124" s="23" t="s">
        <v>177</v>
      </c>
      <c r="O124" s="23" t="s">
        <v>590</v>
      </c>
      <c r="P124" s="54">
        <v>5.0</v>
      </c>
      <c r="Q124" s="58" t="s">
        <v>736</v>
      </c>
      <c r="R124" s="27" t="str">
        <f>IFERROR(__xludf.DUMMYFUNCTION("IF(REGEXMATCH(N124, ""PRIORITY: Low""), ""Low"", IF(REGEXMATCH(N124, ""PRIORITY: Medium""), ""Medium"", IF(REGEXMATCH(N124, ""PRIORITY: High""), ""High"", """")))
"),"")</f>
        <v/>
      </c>
      <c r="S124" s="27" t="str">
        <f>IFERROR(__xludf.DUMMYFUNCTION("IF(REGEXMATCH(N124, ""SKILL: Low""), ""Low"", IF(REGEXMATCH(N124, ""SKILL: Medium""), ""Medium"", IF(REGEXMATCH(N124, ""SKILL: High""), ""High"", """")))"),"")</f>
        <v/>
      </c>
      <c r="T124" s="27" t="str">
        <f>IFERROR(__xludf.DUMMYFUNCTION("IF(REGEXMATCH(N124, ""STATUS: Dev Complete - Awaiting QA""), ""Dev Complete - Awaiting QA"", IF(REGEXMATCH(N124, ""STATUS: Follow-Up Required""), ""Follow-Up Required"", IF(REGEXMATCH(N124, ""STATUS: In Progress""), ""In Progress"", IF(REGEXMATCH(N124, """&amp;"STATUS: In QA""), ""In QA"", IF(REGEXMATCH(N124, ""STATUS: Needs Customer Feedback""), ""Needs Customer Feedback"", IF(REGEXMATCH(N124, ""STATUS: QA Passed - Awaiting Release""), ""QA Passed - Awaiting Release"", IF(REGEXMATCH(N124, ""STATUS: Release to P"&amp;"rod""), ""Release to Prod"", """")))))))"),"")</f>
        <v/>
      </c>
    </row>
    <row r="125" hidden="1">
      <c r="A125" s="23" t="s">
        <v>82</v>
      </c>
      <c r="B125" s="12" t="s">
        <v>267</v>
      </c>
      <c r="C125" s="54">
        <v>296.0</v>
      </c>
      <c r="D125" s="55" t="s">
        <v>737</v>
      </c>
      <c r="E125" s="56" t="s">
        <v>173</v>
      </c>
      <c r="F125" s="54" t="s">
        <v>738</v>
      </c>
      <c r="G125" s="57" t="str">
        <f t="shared" si="1"/>
        <v>14-Apr-2025</v>
      </c>
      <c r="H125" s="54" t="s">
        <v>57</v>
      </c>
      <c r="I125" s="54" t="s">
        <v>739</v>
      </c>
      <c r="J125" s="27" t="str">
        <f t="shared" si="4"/>
        <v>11-Jul-2025</v>
      </c>
      <c r="K125" s="54" t="s">
        <v>740</v>
      </c>
      <c r="L125" s="27" t="str">
        <f t="shared" si="5"/>
        <v>26-Jun-2025</v>
      </c>
      <c r="M125" s="23" t="s">
        <v>249</v>
      </c>
      <c r="N125" s="23" t="s">
        <v>177</v>
      </c>
      <c r="O125" s="23" t="s">
        <v>44</v>
      </c>
      <c r="P125" s="54">
        <v>8.0</v>
      </c>
      <c r="Q125" s="58" t="s">
        <v>741</v>
      </c>
      <c r="R125" s="27" t="str">
        <f>IFERROR(__xludf.DUMMYFUNCTION("IF(REGEXMATCH(N125, ""PRIORITY: Low""), ""Low"", IF(REGEXMATCH(N125, ""PRIORITY: Medium""), ""Medium"", IF(REGEXMATCH(N125, ""PRIORITY: High""), ""High"", """")))
"),"")</f>
        <v/>
      </c>
      <c r="S125" s="27" t="str">
        <f>IFERROR(__xludf.DUMMYFUNCTION("IF(REGEXMATCH(N125, ""SKILL: Low""), ""Low"", IF(REGEXMATCH(N125, ""SKILL: Medium""), ""Medium"", IF(REGEXMATCH(N125, ""SKILL: High""), ""High"", """")))"),"")</f>
        <v/>
      </c>
      <c r="T125" s="27" t="str">
        <f>IFERROR(__xludf.DUMMYFUNCTION("IF(REGEXMATCH(N125, ""STATUS: Dev Complete - Awaiting QA""), ""Dev Complete - Awaiting QA"", IF(REGEXMATCH(N125, ""STATUS: Follow-Up Required""), ""Follow-Up Required"", IF(REGEXMATCH(N125, ""STATUS: In Progress""), ""In Progress"", IF(REGEXMATCH(N125, """&amp;"STATUS: In QA""), ""In QA"", IF(REGEXMATCH(N125, ""STATUS: Needs Customer Feedback""), ""Needs Customer Feedback"", IF(REGEXMATCH(N125, ""STATUS: QA Passed - Awaiting Release""), ""QA Passed - Awaiting Release"", IF(REGEXMATCH(N125, ""STATUS: Release to P"&amp;"rod""), ""Release to Prod"", """")))))))"),"")</f>
        <v/>
      </c>
    </row>
    <row r="126" hidden="1">
      <c r="A126" s="23" t="s">
        <v>82</v>
      </c>
      <c r="B126" s="12" t="s">
        <v>267</v>
      </c>
      <c r="C126" s="54">
        <v>295.0</v>
      </c>
      <c r="D126" s="55" t="s">
        <v>742</v>
      </c>
      <c r="E126" s="56" t="s">
        <v>173</v>
      </c>
      <c r="F126" s="54" t="s">
        <v>743</v>
      </c>
      <c r="G126" s="57" t="str">
        <f t="shared" si="1"/>
        <v>08-Apr-2025</v>
      </c>
      <c r="H126" s="54" t="s">
        <v>57</v>
      </c>
      <c r="I126" s="54" t="s">
        <v>744</v>
      </c>
      <c r="J126" s="27" t="str">
        <f t="shared" si="4"/>
        <v>19-Sep-2025</v>
      </c>
      <c r="K126" s="54" t="s">
        <v>745</v>
      </c>
      <c r="L126" s="27" t="str">
        <f t="shared" si="5"/>
        <v>22-May-2025</v>
      </c>
      <c r="M126" s="23" t="s">
        <v>249</v>
      </c>
      <c r="N126" s="23" t="s">
        <v>177</v>
      </c>
      <c r="O126" s="23" t="s">
        <v>590</v>
      </c>
      <c r="P126" s="54">
        <v>5.0</v>
      </c>
      <c r="Q126" s="58" t="s">
        <v>746</v>
      </c>
      <c r="R126" s="27" t="str">
        <f>IFERROR(__xludf.DUMMYFUNCTION("IF(REGEXMATCH(N126, ""PRIORITY: Low""), ""Low"", IF(REGEXMATCH(N126, ""PRIORITY: Medium""), ""Medium"", IF(REGEXMATCH(N126, ""PRIORITY: High""), ""High"", """")))
"),"")</f>
        <v/>
      </c>
      <c r="S126" s="27" t="str">
        <f>IFERROR(__xludf.DUMMYFUNCTION("IF(REGEXMATCH(N126, ""SKILL: Low""), ""Low"", IF(REGEXMATCH(N126, ""SKILL: Medium""), ""Medium"", IF(REGEXMATCH(N126, ""SKILL: High""), ""High"", """")))"),"")</f>
        <v/>
      </c>
      <c r="T126" s="27" t="str">
        <f>IFERROR(__xludf.DUMMYFUNCTION("IF(REGEXMATCH(N126, ""STATUS: Dev Complete - Awaiting QA""), ""Dev Complete - Awaiting QA"", IF(REGEXMATCH(N126, ""STATUS: Follow-Up Required""), ""Follow-Up Required"", IF(REGEXMATCH(N126, ""STATUS: In Progress""), ""In Progress"", IF(REGEXMATCH(N126, """&amp;"STATUS: In QA""), ""In QA"", IF(REGEXMATCH(N126, ""STATUS: Needs Customer Feedback""), ""Needs Customer Feedback"", IF(REGEXMATCH(N126, ""STATUS: QA Passed - Awaiting Release""), ""QA Passed - Awaiting Release"", IF(REGEXMATCH(N126, ""STATUS: Release to P"&amp;"rod""), ""Release to Prod"", """")))))))"),"")</f>
        <v/>
      </c>
    </row>
    <row r="127" hidden="1">
      <c r="A127" s="23" t="s">
        <v>82</v>
      </c>
      <c r="B127" s="12" t="s">
        <v>267</v>
      </c>
      <c r="C127" s="54">
        <v>294.0</v>
      </c>
      <c r="D127" s="55" t="s">
        <v>747</v>
      </c>
      <c r="E127" s="56" t="s">
        <v>173</v>
      </c>
      <c r="F127" s="54" t="s">
        <v>748</v>
      </c>
      <c r="G127" s="57" t="str">
        <f t="shared" si="1"/>
        <v>08-Apr-2025</v>
      </c>
      <c r="H127" s="54" t="s">
        <v>57</v>
      </c>
      <c r="I127" s="54" t="s">
        <v>744</v>
      </c>
      <c r="J127" s="27" t="str">
        <f t="shared" si="4"/>
        <v>19-Sep-2025</v>
      </c>
      <c r="K127" s="54" t="s">
        <v>749</v>
      </c>
      <c r="L127" s="27" t="str">
        <f t="shared" si="5"/>
        <v>22-May-2025</v>
      </c>
      <c r="M127" s="23" t="s">
        <v>249</v>
      </c>
      <c r="N127" s="23" t="s">
        <v>177</v>
      </c>
      <c r="O127" s="23" t="s">
        <v>590</v>
      </c>
      <c r="P127" s="54">
        <v>5.0</v>
      </c>
      <c r="Q127" s="58" t="s">
        <v>750</v>
      </c>
      <c r="R127" s="27" t="str">
        <f>IFERROR(__xludf.DUMMYFUNCTION("IF(REGEXMATCH(N127, ""PRIORITY: Low""), ""Low"", IF(REGEXMATCH(N127, ""PRIORITY: Medium""), ""Medium"", IF(REGEXMATCH(N127, ""PRIORITY: High""), ""High"", """")))
"),"")</f>
        <v/>
      </c>
      <c r="S127" s="27" t="str">
        <f>IFERROR(__xludf.DUMMYFUNCTION("IF(REGEXMATCH(N127, ""SKILL: Low""), ""Low"", IF(REGEXMATCH(N127, ""SKILL: Medium""), ""Medium"", IF(REGEXMATCH(N127, ""SKILL: High""), ""High"", """")))"),"")</f>
        <v/>
      </c>
      <c r="T127" s="27" t="str">
        <f>IFERROR(__xludf.DUMMYFUNCTION("IF(REGEXMATCH(N127, ""STATUS: Dev Complete - Awaiting QA""), ""Dev Complete - Awaiting QA"", IF(REGEXMATCH(N127, ""STATUS: Follow-Up Required""), ""Follow-Up Required"", IF(REGEXMATCH(N127, ""STATUS: In Progress""), ""In Progress"", IF(REGEXMATCH(N127, """&amp;"STATUS: In QA""), ""In QA"", IF(REGEXMATCH(N127, ""STATUS: Needs Customer Feedback""), ""Needs Customer Feedback"", IF(REGEXMATCH(N127, ""STATUS: QA Passed - Awaiting Release""), ""QA Passed - Awaiting Release"", IF(REGEXMATCH(N127, ""STATUS: Release to P"&amp;"rod""), ""Release to Prod"", """")))))))"),"")</f>
        <v/>
      </c>
    </row>
    <row r="128" hidden="1">
      <c r="A128" s="23" t="s">
        <v>82</v>
      </c>
      <c r="B128" s="12" t="s">
        <v>267</v>
      </c>
      <c r="C128" s="54">
        <v>293.0</v>
      </c>
      <c r="D128" s="55" t="s">
        <v>751</v>
      </c>
      <c r="E128" s="56" t="s">
        <v>173</v>
      </c>
      <c r="F128" s="54" t="s">
        <v>752</v>
      </c>
      <c r="G128" s="57" t="str">
        <f t="shared" si="1"/>
        <v>08-Apr-2025</v>
      </c>
      <c r="H128" s="54" t="s">
        <v>57</v>
      </c>
      <c r="I128" s="54" t="s">
        <v>744</v>
      </c>
      <c r="J128" s="27" t="str">
        <f t="shared" si="4"/>
        <v>19-Sep-2025</v>
      </c>
      <c r="K128" s="54" t="s">
        <v>753</v>
      </c>
      <c r="L128" s="27" t="str">
        <f t="shared" si="5"/>
        <v>22-May-2025</v>
      </c>
      <c r="M128" s="23" t="s">
        <v>249</v>
      </c>
      <c r="N128" s="23" t="s">
        <v>177</v>
      </c>
      <c r="O128" s="23" t="s">
        <v>590</v>
      </c>
      <c r="P128" s="54">
        <v>3.0</v>
      </c>
      <c r="Q128" s="58" t="s">
        <v>754</v>
      </c>
      <c r="R128" s="27" t="str">
        <f>IFERROR(__xludf.DUMMYFUNCTION("IF(REGEXMATCH(N128, ""PRIORITY: Low""), ""Low"", IF(REGEXMATCH(N128, ""PRIORITY: Medium""), ""Medium"", IF(REGEXMATCH(N128, ""PRIORITY: High""), ""High"", """")))
"),"")</f>
        <v/>
      </c>
      <c r="S128" s="27" t="str">
        <f>IFERROR(__xludf.DUMMYFUNCTION("IF(REGEXMATCH(N128, ""SKILL: Low""), ""Low"", IF(REGEXMATCH(N128, ""SKILL: Medium""), ""Medium"", IF(REGEXMATCH(N128, ""SKILL: High""), ""High"", """")))"),"")</f>
        <v/>
      </c>
      <c r="T128" s="27" t="str">
        <f>IFERROR(__xludf.DUMMYFUNCTION("IF(REGEXMATCH(N128, ""STATUS: Dev Complete - Awaiting QA""), ""Dev Complete - Awaiting QA"", IF(REGEXMATCH(N128, ""STATUS: Follow-Up Required""), ""Follow-Up Required"", IF(REGEXMATCH(N128, ""STATUS: In Progress""), ""In Progress"", IF(REGEXMATCH(N128, """&amp;"STATUS: In QA""), ""In QA"", IF(REGEXMATCH(N128, ""STATUS: Needs Customer Feedback""), ""Needs Customer Feedback"", IF(REGEXMATCH(N128, ""STATUS: QA Passed - Awaiting Release""), ""QA Passed - Awaiting Release"", IF(REGEXMATCH(N128, ""STATUS: Release to P"&amp;"rod""), ""Release to Prod"", """")))))))"),"")</f>
        <v/>
      </c>
    </row>
    <row r="129" hidden="1">
      <c r="A129" s="23" t="s">
        <v>82</v>
      </c>
      <c r="B129" s="12" t="s">
        <v>267</v>
      </c>
      <c r="C129" s="54">
        <v>292.0</v>
      </c>
      <c r="D129" s="55" t="s">
        <v>755</v>
      </c>
      <c r="E129" s="56" t="s">
        <v>173</v>
      </c>
      <c r="F129" s="54" t="s">
        <v>756</v>
      </c>
      <c r="G129" s="57" t="str">
        <f t="shared" si="1"/>
        <v>08-Apr-2025</v>
      </c>
      <c r="H129" s="54" t="s">
        <v>57</v>
      </c>
      <c r="I129" s="54" t="s">
        <v>757</v>
      </c>
      <c r="J129" s="27" t="str">
        <f t="shared" si="4"/>
        <v>19-Sep-2025</v>
      </c>
      <c r="K129" s="54" t="s">
        <v>758</v>
      </c>
      <c r="L129" s="27" t="str">
        <f t="shared" si="5"/>
        <v>22-May-2025</v>
      </c>
      <c r="M129" s="23" t="s">
        <v>249</v>
      </c>
      <c r="N129" s="23" t="s">
        <v>177</v>
      </c>
      <c r="O129" s="23" t="s">
        <v>590</v>
      </c>
      <c r="P129" s="54">
        <v>4.0</v>
      </c>
      <c r="Q129" s="58" t="s">
        <v>759</v>
      </c>
      <c r="R129" s="27" t="str">
        <f>IFERROR(__xludf.DUMMYFUNCTION("IF(REGEXMATCH(N129, ""PRIORITY: Low""), ""Low"", IF(REGEXMATCH(N129, ""PRIORITY: Medium""), ""Medium"", IF(REGEXMATCH(N129, ""PRIORITY: High""), ""High"", """")))
"),"")</f>
        <v/>
      </c>
      <c r="S129" s="27" t="str">
        <f>IFERROR(__xludf.DUMMYFUNCTION("IF(REGEXMATCH(N129, ""SKILL: Low""), ""Low"", IF(REGEXMATCH(N129, ""SKILL: Medium""), ""Medium"", IF(REGEXMATCH(N129, ""SKILL: High""), ""High"", """")))"),"")</f>
        <v/>
      </c>
      <c r="T129" s="27" t="str">
        <f>IFERROR(__xludf.DUMMYFUNCTION("IF(REGEXMATCH(N129, ""STATUS: Dev Complete - Awaiting QA""), ""Dev Complete - Awaiting QA"", IF(REGEXMATCH(N129, ""STATUS: Follow-Up Required""), ""Follow-Up Required"", IF(REGEXMATCH(N129, ""STATUS: In Progress""), ""In Progress"", IF(REGEXMATCH(N129, """&amp;"STATUS: In QA""), ""In QA"", IF(REGEXMATCH(N129, ""STATUS: Needs Customer Feedback""), ""Needs Customer Feedback"", IF(REGEXMATCH(N129, ""STATUS: QA Passed - Awaiting Release""), ""QA Passed - Awaiting Release"", IF(REGEXMATCH(N129, ""STATUS: Release to P"&amp;"rod""), ""Release to Prod"", """")))))))"),"")</f>
        <v/>
      </c>
    </row>
    <row r="130" hidden="1">
      <c r="A130" s="23" t="s">
        <v>82</v>
      </c>
      <c r="B130" s="12" t="s">
        <v>267</v>
      </c>
      <c r="C130" s="54">
        <v>291.0</v>
      </c>
      <c r="D130" s="55" t="s">
        <v>760</v>
      </c>
      <c r="E130" s="56" t="s">
        <v>173</v>
      </c>
      <c r="F130" s="54" t="s">
        <v>761</v>
      </c>
      <c r="G130" s="57" t="str">
        <f t="shared" si="1"/>
        <v>08-Apr-2025</v>
      </c>
      <c r="H130" s="54" t="s">
        <v>57</v>
      </c>
      <c r="I130" s="54" t="s">
        <v>757</v>
      </c>
      <c r="J130" s="27" t="str">
        <f t="shared" si="4"/>
        <v>19-Sep-2025</v>
      </c>
      <c r="K130" s="54" t="s">
        <v>762</v>
      </c>
      <c r="L130" s="27" t="str">
        <f t="shared" si="5"/>
        <v>09-May-2025</v>
      </c>
      <c r="M130" s="23" t="s">
        <v>249</v>
      </c>
      <c r="N130" s="23" t="s">
        <v>177</v>
      </c>
      <c r="O130" s="23" t="s">
        <v>44</v>
      </c>
      <c r="P130" s="54">
        <v>2.0</v>
      </c>
      <c r="Q130" s="58" t="s">
        <v>763</v>
      </c>
      <c r="R130" s="27" t="str">
        <f>IFERROR(__xludf.DUMMYFUNCTION("IF(REGEXMATCH(N130, ""PRIORITY: Low""), ""Low"", IF(REGEXMATCH(N130, ""PRIORITY: Medium""), ""Medium"", IF(REGEXMATCH(N130, ""PRIORITY: High""), ""High"", """")))
"),"")</f>
        <v/>
      </c>
      <c r="S130" s="27" t="str">
        <f>IFERROR(__xludf.DUMMYFUNCTION("IF(REGEXMATCH(N130, ""SKILL: Low""), ""Low"", IF(REGEXMATCH(N130, ""SKILL: Medium""), ""Medium"", IF(REGEXMATCH(N130, ""SKILL: High""), ""High"", """")))"),"")</f>
        <v/>
      </c>
      <c r="T130" s="27" t="str">
        <f>IFERROR(__xludf.DUMMYFUNCTION("IF(REGEXMATCH(N130, ""STATUS: Dev Complete - Awaiting QA""), ""Dev Complete - Awaiting QA"", IF(REGEXMATCH(N130, ""STATUS: Follow-Up Required""), ""Follow-Up Required"", IF(REGEXMATCH(N130, ""STATUS: In Progress""), ""In Progress"", IF(REGEXMATCH(N130, """&amp;"STATUS: In QA""), ""In QA"", IF(REGEXMATCH(N130, ""STATUS: Needs Customer Feedback""), ""Needs Customer Feedback"", IF(REGEXMATCH(N130, ""STATUS: QA Passed - Awaiting Release""), ""QA Passed - Awaiting Release"", IF(REGEXMATCH(N130, ""STATUS: Release to P"&amp;"rod""), ""Release to Prod"", """")))))))"),"")</f>
        <v/>
      </c>
    </row>
    <row r="131" hidden="1">
      <c r="A131" s="23" t="s">
        <v>82</v>
      </c>
      <c r="B131" s="12" t="s">
        <v>267</v>
      </c>
      <c r="C131" s="54">
        <v>290.0</v>
      </c>
      <c r="D131" s="55" t="s">
        <v>764</v>
      </c>
      <c r="E131" s="56" t="s">
        <v>173</v>
      </c>
      <c r="F131" s="54" t="s">
        <v>765</v>
      </c>
      <c r="G131" s="57" t="str">
        <f t="shared" si="1"/>
        <v>08-Apr-2025</v>
      </c>
      <c r="H131" s="54" t="s">
        <v>57</v>
      </c>
      <c r="I131" s="54" t="s">
        <v>757</v>
      </c>
      <c r="J131" s="27" t="str">
        <f t="shared" si="4"/>
        <v>19-Sep-2025</v>
      </c>
      <c r="K131" s="54" t="s">
        <v>766</v>
      </c>
      <c r="L131" s="27" t="str">
        <f t="shared" si="5"/>
        <v>22-May-2025</v>
      </c>
      <c r="M131" s="23" t="s">
        <v>249</v>
      </c>
      <c r="N131" s="23" t="s">
        <v>177</v>
      </c>
      <c r="O131" s="23" t="s">
        <v>590</v>
      </c>
      <c r="P131" s="54">
        <v>5.0</v>
      </c>
      <c r="Q131" s="58" t="s">
        <v>767</v>
      </c>
      <c r="R131" s="27" t="str">
        <f>IFERROR(__xludf.DUMMYFUNCTION("IF(REGEXMATCH(N131, ""PRIORITY: Low""), ""Low"", IF(REGEXMATCH(N131, ""PRIORITY: Medium""), ""Medium"", IF(REGEXMATCH(N131, ""PRIORITY: High""), ""High"", """")))
"),"")</f>
        <v/>
      </c>
      <c r="S131" s="27" t="str">
        <f>IFERROR(__xludf.DUMMYFUNCTION("IF(REGEXMATCH(N131, ""SKILL: Low""), ""Low"", IF(REGEXMATCH(N131, ""SKILL: Medium""), ""Medium"", IF(REGEXMATCH(N131, ""SKILL: High""), ""High"", """")))"),"")</f>
        <v/>
      </c>
      <c r="T131" s="27" t="str">
        <f>IFERROR(__xludf.DUMMYFUNCTION("IF(REGEXMATCH(N131, ""STATUS: Dev Complete - Awaiting QA""), ""Dev Complete - Awaiting QA"", IF(REGEXMATCH(N131, ""STATUS: Follow-Up Required""), ""Follow-Up Required"", IF(REGEXMATCH(N131, ""STATUS: In Progress""), ""In Progress"", IF(REGEXMATCH(N131, """&amp;"STATUS: In QA""), ""In QA"", IF(REGEXMATCH(N131, ""STATUS: Needs Customer Feedback""), ""Needs Customer Feedback"", IF(REGEXMATCH(N131, ""STATUS: QA Passed - Awaiting Release""), ""QA Passed - Awaiting Release"", IF(REGEXMATCH(N131, ""STATUS: Release to P"&amp;"rod""), ""Release to Prod"", """")))))))"),"")</f>
        <v/>
      </c>
    </row>
    <row r="132" hidden="1">
      <c r="A132" s="23" t="s">
        <v>82</v>
      </c>
      <c r="B132" s="12" t="s">
        <v>267</v>
      </c>
      <c r="C132" s="54">
        <v>289.0</v>
      </c>
      <c r="D132" s="55" t="s">
        <v>768</v>
      </c>
      <c r="E132" s="56" t="s">
        <v>173</v>
      </c>
      <c r="F132" s="54" t="s">
        <v>769</v>
      </c>
      <c r="G132" s="57" t="str">
        <f t="shared" si="1"/>
        <v>08-Apr-2025</v>
      </c>
      <c r="H132" s="54" t="s">
        <v>57</v>
      </c>
      <c r="I132" s="54" t="s">
        <v>770</v>
      </c>
      <c r="J132" s="27" t="str">
        <f t="shared" si="4"/>
        <v>19-Sep-2025</v>
      </c>
      <c r="K132" s="54" t="s">
        <v>771</v>
      </c>
      <c r="L132" s="27" t="str">
        <f t="shared" si="5"/>
        <v>22-May-2025</v>
      </c>
      <c r="M132" s="23" t="s">
        <v>249</v>
      </c>
      <c r="N132" s="23" t="s">
        <v>177</v>
      </c>
      <c r="O132" s="23" t="s">
        <v>590</v>
      </c>
      <c r="P132" s="54">
        <v>3.0</v>
      </c>
      <c r="Q132" s="58" t="s">
        <v>772</v>
      </c>
      <c r="R132" s="27" t="str">
        <f>IFERROR(__xludf.DUMMYFUNCTION("IF(REGEXMATCH(N132, ""PRIORITY: Low""), ""Low"", IF(REGEXMATCH(N132, ""PRIORITY: Medium""), ""Medium"", IF(REGEXMATCH(N132, ""PRIORITY: High""), ""High"", """")))
"),"")</f>
        <v/>
      </c>
      <c r="S132" s="27" t="str">
        <f>IFERROR(__xludf.DUMMYFUNCTION("IF(REGEXMATCH(N132, ""SKILL: Low""), ""Low"", IF(REGEXMATCH(N132, ""SKILL: Medium""), ""Medium"", IF(REGEXMATCH(N132, ""SKILL: High""), ""High"", """")))"),"")</f>
        <v/>
      </c>
      <c r="T132" s="27" t="str">
        <f>IFERROR(__xludf.DUMMYFUNCTION("IF(REGEXMATCH(N132, ""STATUS: Dev Complete - Awaiting QA""), ""Dev Complete - Awaiting QA"", IF(REGEXMATCH(N132, ""STATUS: Follow-Up Required""), ""Follow-Up Required"", IF(REGEXMATCH(N132, ""STATUS: In Progress""), ""In Progress"", IF(REGEXMATCH(N132, """&amp;"STATUS: In QA""), ""In QA"", IF(REGEXMATCH(N132, ""STATUS: Needs Customer Feedback""), ""Needs Customer Feedback"", IF(REGEXMATCH(N132, ""STATUS: QA Passed - Awaiting Release""), ""QA Passed - Awaiting Release"", IF(REGEXMATCH(N132, ""STATUS: Release to P"&amp;"rod""), ""Release to Prod"", """")))))))"),"")</f>
        <v/>
      </c>
    </row>
    <row r="133" hidden="1">
      <c r="A133" s="23" t="s">
        <v>82</v>
      </c>
      <c r="B133" s="12" t="s">
        <v>267</v>
      </c>
      <c r="C133" s="54">
        <v>288.0</v>
      </c>
      <c r="D133" s="55" t="s">
        <v>773</v>
      </c>
      <c r="E133" s="56" t="s">
        <v>173</v>
      </c>
      <c r="F133" s="54" t="s">
        <v>774</v>
      </c>
      <c r="G133" s="57" t="str">
        <f t="shared" si="1"/>
        <v>08-Apr-2025</v>
      </c>
      <c r="H133" s="54" t="s">
        <v>57</v>
      </c>
      <c r="I133" s="54" t="s">
        <v>770</v>
      </c>
      <c r="J133" s="27" t="str">
        <f t="shared" si="4"/>
        <v>19-Sep-2025</v>
      </c>
      <c r="K133" s="54" t="s">
        <v>775</v>
      </c>
      <c r="L133" s="27" t="str">
        <f t="shared" si="5"/>
        <v>30-Apr-2025</v>
      </c>
      <c r="M133" s="23" t="s">
        <v>249</v>
      </c>
      <c r="N133" s="23" t="s">
        <v>177</v>
      </c>
      <c r="O133" s="23" t="s">
        <v>44</v>
      </c>
      <c r="P133" s="54">
        <v>2.0</v>
      </c>
      <c r="Q133" s="58" t="s">
        <v>776</v>
      </c>
      <c r="R133" s="27" t="str">
        <f>IFERROR(__xludf.DUMMYFUNCTION("IF(REGEXMATCH(N133, ""PRIORITY: Low""), ""Low"", IF(REGEXMATCH(N133, ""PRIORITY: Medium""), ""Medium"", IF(REGEXMATCH(N133, ""PRIORITY: High""), ""High"", """")))
"),"")</f>
        <v/>
      </c>
      <c r="S133" s="27" t="str">
        <f>IFERROR(__xludf.DUMMYFUNCTION("IF(REGEXMATCH(N133, ""SKILL: Low""), ""Low"", IF(REGEXMATCH(N133, ""SKILL: Medium""), ""Medium"", IF(REGEXMATCH(N133, ""SKILL: High""), ""High"", """")))"),"")</f>
        <v/>
      </c>
      <c r="T133" s="27" t="str">
        <f>IFERROR(__xludf.DUMMYFUNCTION("IF(REGEXMATCH(N133, ""STATUS: Dev Complete - Awaiting QA""), ""Dev Complete - Awaiting QA"", IF(REGEXMATCH(N133, ""STATUS: Follow-Up Required""), ""Follow-Up Required"", IF(REGEXMATCH(N133, ""STATUS: In Progress""), ""In Progress"", IF(REGEXMATCH(N133, """&amp;"STATUS: In QA""), ""In QA"", IF(REGEXMATCH(N133, ""STATUS: Needs Customer Feedback""), ""Needs Customer Feedback"", IF(REGEXMATCH(N133, ""STATUS: QA Passed - Awaiting Release""), ""QA Passed - Awaiting Release"", IF(REGEXMATCH(N133, ""STATUS: Release to P"&amp;"rod""), ""Release to Prod"", """")))))))"),"")</f>
        <v/>
      </c>
    </row>
    <row r="134" hidden="1">
      <c r="A134" s="23" t="s">
        <v>82</v>
      </c>
      <c r="B134" s="12" t="s">
        <v>267</v>
      </c>
      <c r="C134" s="54">
        <v>287.0</v>
      </c>
      <c r="D134" s="55" t="s">
        <v>777</v>
      </c>
      <c r="E134" s="56" t="s">
        <v>173</v>
      </c>
      <c r="F134" s="54" t="s">
        <v>778</v>
      </c>
      <c r="G134" s="57" t="str">
        <f t="shared" si="1"/>
        <v>08-Apr-2025</v>
      </c>
      <c r="H134" s="54" t="s">
        <v>57</v>
      </c>
      <c r="I134" s="54" t="s">
        <v>770</v>
      </c>
      <c r="J134" s="27" t="str">
        <f t="shared" si="4"/>
        <v>19-Sep-2025</v>
      </c>
      <c r="K134" s="54" t="s">
        <v>779</v>
      </c>
      <c r="L134" s="27" t="str">
        <f t="shared" si="5"/>
        <v>22-Apr-2025</v>
      </c>
      <c r="M134" s="23" t="s">
        <v>249</v>
      </c>
      <c r="N134" s="23" t="s">
        <v>177</v>
      </c>
      <c r="O134" s="23" t="s">
        <v>44</v>
      </c>
      <c r="P134" s="54">
        <v>1.0</v>
      </c>
      <c r="Q134" s="58" t="s">
        <v>780</v>
      </c>
      <c r="R134" s="27" t="str">
        <f>IFERROR(__xludf.DUMMYFUNCTION("IF(REGEXMATCH(N134, ""PRIORITY: Low""), ""Low"", IF(REGEXMATCH(N134, ""PRIORITY: Medium""), ""Medium"", IF(REGEXMATCH(N134, ""PRIORITY: High""), ""High"", """")))
"),"")</f>
        <v/>
      </c>
      <c r="S134" s="27" t="str">
        <f>IFERROR(__xludf.DUMMYFUNCTION("IF(REGEXMATCH(N134, ""SKILL: Low""), ""Low"", IF(REGEXMATCH(N134, ""SKILL: Medium""), ""Medium"", IF(REGEXMATCH(N134, ""SKILL: High""), ""High"", """")))"),"")</f>
        <v/>
      </c>
      <c r="T134" s="27" t="str">
        <f>IFERROR(__xludf.DUMMYFUNCTION("IF(REGEXMATCH(N134, ""STATUS: Dev Complete - Awaiting QA""), ""Dev Complete - Awaiting QA"", IF(REGEXMATCH(N134, ""STATUS: Follow-Up Required""), ""Follow-Up Required"", IF(REGEXMATCH(N134, ""STATUS: In Progress""), ""In Progress"", IF(REGEXMATCH(N134, """&amp;"STATUS: In QA""), ""In QA"", IF(REGEXMATCH(N134, ""STATUS: Needs Customer Feedback""), ""Needs Customer Feedback"", IF(REGEXMATCH(N134, ""STATUS: QA Passed - Awaiting Release""), ""QA Passed - Awaiting Release"", IF(REGEXMATCH(N134, ""STATUS: Release to P"&amp;"rod""), ""Release to Prod"", """")))))))"),"")</f>
        <v/>
      </c>
    </row>
    <row r="135" hidden="1">
      <c r="A135" s="23" t="s">
        <v>82</v>
      </c>
      <c r="B135" s="12" t="s">
        <v>267</v>
      </c>
      <c r="C135" s="54">
        <v>286.0</v>
      </c>
      <c r="D135" s="55" t="s">
        <v>781</v>
      </c>
      <c r="E135" s="56" t="s">
        <v>173</v>
      </c>
      <c r="F135" s="54" t="s">
        <v>782</v>
      </c>
      <c r="G135" s="57" t="str">
        <f t="shared" si="1"/>
        <v>08-Apr-2025</v>
      </c>
      <c r="H135" s="54" t="s">
        <v>57</v>
      </c>
      <c r="I135" s="54" t="s">
        <v>770</v>
      </c>
      <c r="J135" s="27" t="str">
        <f t="shared" si="4"/>
        <v>19-Sep-2025</v>
      </c>
      <c r="K135" s="54" t="s">
        <v>783</v>
      </c>
      <c r="L135" s="27" t="str">
        <f t="shared" si="5"/>
        <v>22-Apr-2025</v>
      </c>
      <c r="M135" s="23" t="s">
        <v>249</v>
      </c>
      <c r="N135" s="23" t="s">
        <v>177</v>
      </c>
      <c r="O135" s="23" t="s">
        <v>44</v>
      </c>
      <c r="P135" s="54">
        <v>1.0</v>
      </c>
      <c r="Q135" s="58" t="s">
        <v>784</v>
      </c>
      <c r="R135" s="27" t="str">
        <f>IFERROR(__xludf.DUMMYFUNCTION("IF(REGEXMATCH(N135, ""PRIORITY: Low""), ""Low"", IF(REGEXMATCH(N135, ""PRIORITY: Medium""), ""Medium"", IF(REGEXMATCH(N135, ""PRIORITY: High""), ""High"", """")))
"),"")</f>
        <v/>
      </c>
      <c r="S135" s="27" t="str">
        <f>IFERROR(__xludf.DUMMYFUNCTION("IF(REGEXMATCH(N135, ""SKILL: Low""), ""Low"", IF(REGEXMATCH(N135, ""SKILL: Medium""), ""Medium"", IF(REGEXMATCH(N135, ""SKILL: High""), ""High"", """")))"),"")</f>
        <v/>
      </c>
      <c r="T135" s="27" t="str">
        <f>IFERROR(__xludf.DUMMYFUNCTION("IF(REGEXMATCH(N135, ""STATUS: Dev Complete - Awaiting QA""), ""Dev Complete - Awaiting QA"", IF(REGEXMATCH(N135, ""STATUS: Follow-Up Required""), ""Follow-Up Required"", IF(REGEXMATCH(N135, ""STATUS: In Progress""), ""In Progress"", IF(REGEXMATCH(N135, """&amp;"STATUS: In QA""), ""In QA"", IF(REGEXMATCH(N135, ""STATUS: Needs Customer Feedback""), ""Needs Customer Feedback"", IF(REGEXMATCH(N135, ""STATUS: QA Passed - Awaiting Release""), ""QA Passed - Awaiting Release"", IF(REGEXMATCH(N135, ""STATUS: Release to P"&amp;"rod""), ""Release to Prod"", """")))))))"),"")</f>
        <v/>
      </c>
    </row>
    <row r="136" hidden="1">
      <c r="A136" s="23" t="s">
        <v>82</v>
      </c>
      <c r="B136" s="12" t="s">
        <v>267</v>
      </c>
      <c r="C136" s="54">
        <v>285.0</v>
      </c>
      <c r="D136" s="55" t="s">
        <v>785</v>
      </c>
      <c r="E136" s="56" t="s">
        <v>173</v>
      </c>
      <c r="F136" s="54" t="s">
        <v>786</v>
      </c>
      <c r="G136" s="57" t="str">
        <f t="shared" si="1"/>
        <v>08-Apr-2025</v>
      </c>
      <c r="H136" s="54" t="s">
        <v>57</v>
      </c>
      <c r="I136" s="54" t="s">
        <v>787</v>
      </c>
      <c r="J136" s="27" t="str">
        <f t="shared" si="4"/>
        <v>19-Sep-2025</v>
      </c>
      <c r="K136" s="54" t="s">
        <v>788</v>
      </c>
      <c r="L136" s="27" t="str">
        <f t="shared" si="5"/>
        <v>22-Apr-2025</v>
      </c>
      <c r="M136" s="23" t="s">
        <v>249</v>
      </c>
      <c r="N136" s="23" t="s">
        <v>177</v>
      </c>
      <c r="O136" s="23" t="s">
        <v>44</v>
      </c>
      <c r="P136" s="54">
        <v>1.0</v>
      </c>
      <c r="Q136" s="58" t="s">
        <v>789</v>
      </c>
      <c r="R136" s="27" t="str">
        <f>IFERROR(__xludf.DUMMYFUNCTION("IF(REGEXMATCH(N136, ""PRIORITY: Low""), ""Low"", IF(REGEXMATCH(N136, ""PRIORITY: Medium""), ""Medium"", IF(REGEXMATCH(N136, ""PRIORITY: High""), ""High"", """")))
"),"")</f>
        <v/>
      </c>
      <c r="S136" s="27" t="str">
        <f>IFERROR(__xludf.DUMMYFUNCTION("IF(REGEXMATCH(N136, ""SKILL: Low""), ""Low"", IF(REGEXMATCH(N136, ""SKILL: Medium""), ""Medium"", IF(REGEXMATCH(N136, ""SKILL: High""), ""High"", """")))"),"")</f>
        <v/>
      </c>
      <c r="T136" s="27" t="str">
        <f>IFERROR(__xludf.DUMMYFUNCTION("IF(REGEXMATCH(N136, ""STATUS: Dev Complete - Awaiting QA""), ""Dev Complete - Awaiting QA"", IF(REGEXMATCH(N136, ""STATUS: Follow-Up Required""), ""Follow-Up Required"", IF(REGEXMATCH(N136, ""STATUS: In Progress""), ""In Progress"", IF(REGEXMATCH(N136, """&amp;"STATUS: In QA""), ""In QA"", IF(REGEXMATCH(N136, ""STATUS: Needs Customer Feedback""), ""Needs Customer Feedback"", IF(REGEXMATCH(N136, ""STATUS: QA Passed - Awaiting Release""), ""QA Passed - Awaiting Release"", IF(REGEXMATCH(N136, ""STATUS: Release to P"&amp;"rod""), ""Release to Prod"", """")))))))"),"")</f>
        <v/>
      </c>
    </row>
    <row r="137" hidden="1">
      <c r="A137" s="23" t="s">
        <v>82</v>
      </c>
      <c r="B137" s="12" t="s">
        <v>267</v>
      </c>
      <c r="C137" s="54">
        <v>284.0</v>
      </c>
      <c r="D137" s="55" t="s">
        <v>790</v>
      </c>
      <c r="E137" s="56" t="s">
        <v>173</v>
      </c>
      <c r="F137" s="54" t="s">
        <v>791</v>
      </c>
      <c r="G137" s="57" t="str">
        <f t="shared" si="1"/>
        <v>08-Apr-2025</v>
      </c>
      <c r="H137" s="54" t="s">
        <v>57</v>
      </c>
      <c r="I137" s="54" t="s">
        <v>787</v>
      </c>
      <c r="J137" s="27" t="str">
        <f t="shared" si="4"/>
        <v>19-Sep-2025</v>
      </c>
      <c r="K137" s="54" t="s">
        <v>792</v>
      </c>
      <c r="L137" s="27" t="str">
        <f t="shared" si="5"/>
        <v>22-May-2025</v>
      </c>
      <c r="M137" s="23" t="s">
        <v>249</v>
      </c>
      <c r="N137" s="23" t="s">
        <v>177</v>
      </c>
      <c r="O137" s="23" t="s">
        <v>590</v>
      </c>
      <c r="P137" s="54">
        <v>3.0</v>
      </c>
      <c r="Q137" s="58" t="s">
        <v>793</v>
      </c>
      <c r="R137" s="27" t="str">
        <f>IFERROR(__xludf.DUMMYFUNCTION("IF(REGEXMATCH(N137, ""PRIORITY: Low""), ""Low"", IF(REGEXMATCH(N137, ""PRIORITY: Medium""), ""Medium"", IF(REGEXMATCH(N137, ""PRIORITY: High""), ""High"", """")))
"),"")</f>
        <v/>
      </c>
      <c r="S137" s="27" t="str">
        <f>IFERROR(__xludf.DUMMYFUNCTION("IF(REGEXMATCH(N137, ""SKILL: Low""), ""Low"", IF(REGEXMATCH(N137, ""SKILL: Medium""), ""Medium"", IF(REGEXMATCH(N137, ""SKILL: High""), ""High"", """")))"),"")</f>
        <v/>
      </c>
      <c r="T137" s="27" t="str">
        <f>IFERROR(__xludf.DUMMYFUNCTION("IF(REGEXMATCH(N137, ""STATUS: Dev Complete - Awaiting QA""), ""Dev Complete - Awaiting QA"", IF(REGEXMATCH(N137, ""STATUS: Follow-Up Required""), ""Follow-Up Required"", IF(REGEXMATCH(N137, ""STATUS: In Progress""), ""In Progress"", IF(REGEXMATCH(N137, """&amp;"STATUS: In QA""), ""In QA"", IF(REGEXMATCH(N137, ""STATUS: Needs Customer Feedback""), ""Needs Customer Feedback"", IF(REGEXMATCH(N137, ""STATUS: QA Passed - Awaiting Release""), ""QA Passed - Awaiting Release"", IF(REGEXMATCH(N137, ""STATUS: Release to P"&amp;"rod""), ""Release to Prod"", """")))))))"),"")</f>
        <v/>
      </c>
    </row>
    <row r="138" hidden="1">
      <c r="A138" s="23" t="s">
        <v>82</v>
      </c>
      <c r="B138" s="12" t="s">
        <v>267</v>
      </c>
      <c r="C138" s="54">
        <v>283.0</v>
      </c>
      <c r="D138" s="55" t="s">
        <v>794</v>
      </c>
      <c r="E138" s="56" t="s">
        <v>173</v>
      </c>
      <c r="F138" s="54" t="s">
        <v>795</v>
      </c>
      <c r="G138" s="57" t="str">
        <f t="shared" si="1"/>
        <v>08-Apr-2025</v>
      </c>
      <c r="H138" s="54" t="s">
        <v>57</v>
      </c>
      <c r="I138" s="54" t="s">
        <v>787</v>
      </c>
      <c r="J138" s="27" t="str">
        <f t="shared" si="4"/>
        <v>19-Sep-2025</v>
      </c>
      <c r="K138" s="54" t="s">
        <v>796</v>
      </c>
      <c r="L138" s="27" t="str">
        <f t="shared" si="5"/>
        <v>09-May-2025</v>
      </c>
      <c r="M138" s="23" t="s">
        <v>249</v>
      </c>
      <c r="N138" s="23" t="s">
        <v>177</v>
      </c>
      <c r="O138" s="23" t="s">
        <v>44</v>
      </c>
      <c r="P138" s="54">
        <v>1.0</v>
      </c>
      <c r="Q138" s="58" t="s">
        <v>797</v>
      </c>
      <c r="R138" s="27" t="str">
        <f>IFERROR(__xludf.DUMMYFUNCTION("IF(REGEXMATCH(N138, ""PRIORITY: Low""), ""Low"", IF(REGEXMATCH(N138, ""PRIORITY: Medium""), ""Medium"", IF(REGEXMATCH(N138, ""PRIORITY: High""), ""High"", """")))
"),"")</f>
        <v/>
      </c>
      <c r="S138" s="27" t="str">
        <f>IFERROR(__xludf.DUMMYFUNCTION("IF(REGEXMATCH(N138, ""SKILL: Low""), ""Low"", IF(REGEXMATCH(N138, ""SKILL: Medium""), ""Medium"", IF(REGEXMATCH(N138, ""SKILL: High""), ""High"", """")))"),"")</f>
        <v/>
      </c>
      <c r="T138" s="27" t="str">
        <f>IFERROR(__xludf.DUMMYFUNCTION("IF(REGEXMATCH(N138, ""STATUS: Dev Complete - Awaiting QA""), ""Dev Complete - Awaiting QA"", IF(REGEXMATCH(N138, ""STATUS: Follow-Up Required""), ""Follow-Up Required"", IF(REGEXMATCH(N138, ""STATUS: In Progress""), ""In Progress"", IF(REGEXMATCH(N138, """&amp;"STATUS: In QA""), ""In QA"", IF(REGEXMATCH(N138, ""STATUS: Needs Customer Feedback""), ""Needs Customer Feedback"", IF(REGEXMATCH(N138, ""STATUS: QA Passed - Awaiting Release""), ""QA Passed - Awaiting Release"", IF(REGEXMATCH(N138, ""STATUS: Release to P"&amp;"rod""), ""Release to Prod"", """")))))))"),"")</f>
        <v/>
      </c>
    </row>
    <row r="139" hidden="1">
      <c r="A139" s="23" t="s">
        <v>82</v>
      </c>
      <c r="B139" s="12" t="s">
        <v>267</v>
      </c>
      <c r="C139" s="54">
        <v>282.0</v>
      </c>
      <c r="D139" s="55" t="s">
        <v>798</v>
      </c>
      <c r="E139" s="56" t="s">
        <v>173</v>
      </c>
      <c r="F139" s="54" t="s">
        <v>799</v>
      </c>
      <c r="G139" s="57" t="str">
        <f t="shared" si="1"/>
        <v>08-Apr-2025</v>
      </c>
      <c r="H139" s="54" t="s">
        <v>57</v>
      </c>
      <c r="I139" s="54" t="s">
        <v>800</v>
      </c>
      <c r="J139" s="27" t="str">
        <f t="shared" si="4"/>
        <v>19-Sep-2025</v>
      </c>
      <c r="K139" s="54" t="s">
        <v>801</v>
      </c>
      <c r="L139" s="27" t="str">
        <f t="shared" si="5"/>
        <v>30-Apr-2025</v>
      </c>
      <c r="M139" s="23" t="s">
        <v>249</v>
      </c>
      <c r="N139" s="23" t="s">
        <v>177</v>
      </c>
      <c r="O139" s="23" t="s">
        <v>44</v>
      </c>
      <c r="P139" s="54">
        <v>1.0</v>
      </c>
      <c r="Q139" s="58" t="s">
        <v>802</v>
      </c>
      <c r="R139" s="27" t="str">
        <f>IFERROR(__xludf.DUMMYFUNCTION("IF(REGEXMATCH(N139, ""PRIORITY: Low""), ""Low"", IF(REGEXMATCH(N139, ""PRIORITY: Medium""), ""Medium"", IF(REGEXMATCH(N139, ""PRIORITY: High""), ""High"", """")))
"),"")</f>
        <v/>
      </c>
      <c r="S139" s="27" t="str">
        <f>IFERROR(__xludf.DUMMYFUNCTION("IF(REGEXMATCH(N139, ""SKILL: Low""), ""Low"", IF(REGEXMATCH(N139, ""SKILL: Medium""), ""Medium"", IF(REGEXMATCH(N139, ""SKILL: High""), ""High"", """")))"),"")</f>
        <v/>
      </c>
      <c r="T139" s="27" t="str">
        <f>IFERROR(__xludf.DUMMYFUNCTION("IF(REGEXMATCH(N139, ""STATUS: Dev Complete - Awaiting QA""), ""Dev Complete - Awaiting QA"", IF(REGEXMATCH(N139, ""STATUS: Follow-Up Required""), ""Follow-Up Required"", IF(REGEXMATCH(N139, ""STATUS: In Progress""), ""In Progress"", IF(REGEXMATCH(N139, """&amp;"STATUS: In QA""), ""In QA"", IF(REGEXMATCH(N139, ""STATUS: Needs Customer Feedback""), ""Needs Customer Feedback"", IF(REGEXMATCH(N139, ""STATUS: QA Passed - Awaiting Release""), ""QA Passed - Awaiting Release"", IF(REGEXMATCH(N139, ""STATUS: Release to P"&amp;"rod""), ""Release to Prod"", """")))))))"),"")</f>
        <v/>
      </c>
    </row>
    <row r="140" hidden="1">
      <c r="A140" s="23" t="s">
        <v>82</v>
      </c>
      <c r="B140" s="12" t="s">
        <v>267</v>
      </c>
      <c r="C140" s="54">
        <v>281.0</v>
      </c>
      <c r="D140" s="55" t="s">
        <v>803</v>
      </c>
      <c r="E140" s="56" t="s">
        <v>173</v>
      </c>
      <c r="F140" s="54" t="s">
        <v>804</v>
      </c>
      <c r="G140" s="57" t="str">
        <f t="shared" si="1"/>
        <v>08-Apr-2025</v>
      </c>
      <c r="H140" s="54" t="s">
        <v>57</v>
      </c>
      <c r="I140" s="54" t="s">
        <v>800</v>
      </c>
      <c r="J140" s="27" t="str">
        <f t="shared" si="4"/>
        <v>19-Sep-2025</v>
      </c>
      <c r="K140" s="54" t="s">
        <v>805</v>
      </c>
      <c r="L140" s="27" t="str">
        <f t="shared" si="5"/>
        <v>22-May-2025</v>
      </c>
      <c r="M140" s="23" t="s">
        <v>249</v>
      </c>
      <c r="N140" s="23" t="s">
        <v>177</v>
      </c>
      <c r="O140" s="23" t="s">
        <v>590</v>
      </c>
      <c r="P140" s="54">
        <v>2.0</v>
      </c>
      <c r="Q140" s="58" t="s">
        <v>806</v>
      </c>
      <c r="R140" s="27" t="str">
        <f>IFERROR(__xludf.DUMMYFUNCTION("IF(REGEXMATCH(N140, ""PRIORITY: Low""), ""Low"", IF(REGEXMATCH(N140, ""PRIORITY: Medium""), ""Medium"", IF(REGEXMATCH(N140, ""PRIORITY: High""), ""High"", """")))
"),"")</f>
        <v/>
      </c>
      <c r="S140" s="27" t="str">
        <f>IFERROR(__xludf.DUMMYFUNCTION("IF(REGEXMATCH(N140, ""SKILL: Low""), ""Low"", IF(REGEXMATCH(N140, ""SKILL: Medium""), ""Medium"", IF(REGEXMATCH(N140, ""SKILL: High""), ""High"", """")))"),"")</f>
        <v/>
      </c>
      <c r="T140" s="27" t="str">
        <f>IFERROR(__xludf.DUMMYFUNCTION("IF(REGEXMATCH(N140, ""STATUS: Dev Complete - Awaiting QA""), ""Dev Complete - Awaiting QA"", IF(REGEXMATCH(N140, ""STATUS: Follow-Up Required""), ""Follow-Up Required"", IF(REGEXMATCH(N140, ""STATUS: In Progress""), ""In Progress"", IF(REGEXMATCH(N140, """&amp;"STATUS: In QA""), ""In QA"", IF(REGEXMATCH(N140, ""STATUS: Needs Customer Feedback""), ""Needs Customer Feedback"", IF(REGEXMATCH(N140, ""STATUS: QA Passed - Awaiting Release""), ""QA Passed - Awaiting Release"", IF(REGEXMATCH(N140, ""STATUS: Release to P"&amp;"rod""), ""Release to Prod"", """")))))))"),"")</f>
        <v/>
      </c>
    </row>
    <row r="141" hidden="1">
      <c r="A141" s="23" t="s">
        <v>82</v>
      </c>
      <c r="B141" s="12" t="s">
        <v>267</v>
      </c>
      <c r="C141" s="54">
        <v>280.0</v>
      </c>
      <c r="D141" s="55" t="s">
        <v>807</v>
      </c>
      <c r="E141" s="56" t="s">
        <v>173</v>
      </c>
      <c r="F141" s="54" t="s">
        <v>808</v>
      </c>
      <c r="G141" s="57" t="str">
        <f t="shared" si="1"/>
        <v>08-Apr-2025</v>
      </c>
      <c r="H141" s="54" t="s">
        <v>57</v>
      </c>
      <c r="I141" s="54" t="s">
        <v>800</v>
      </c>
      <c r="J141" s="27" t="str">
        <f t="shared" si="4"/>
        <v>19-Sep-2025</v>
      </c>
      <c r="K141" s="54" t="s">
        <v>809</v>
      </c>
      <c r="L141" s="27" t="str">
        <f t="shared" si="5"/>
        <v>22-May-2025</v>
      </c>
      <c r="M141" s="23" t="s">
        <v>249</v>
      </c>
      <c r="N141" s="23" t="s">
        <v>177</v>
      </c>
      <c r="O141" s="23" t="s">
        <v>590</v>
      </c>
      <c r="P141" s="54">
        <v>5.0</v>
      </c>
      <c r="Q141" s="58" t="s">
        <v>810</v>
      </c>
      <c r="R141" s="27" t="str">
        <f>IFERROR(__xludf.DUMMYFUNCTION("IF(REGEXMATCH(N141, ""PRIORITY: Low""), ""Low"", IF(REGEXMATCH(N141, ""PRIORITY: Medium""), ""Medium"", IF(REGEXMATCH(N141, ""PRIORITY: High""), ""High"", """")))
"),"")</f>
        <v/>
      </c>
      <c r="S141" s="27" t="str">
        <f>IFERROR(__xludf.DUMMYFUNCTION("IF(REGEXMATCH(N141, ""SKILL: Low""), ""Low"", IF(REGEXMATCH(N141, ""SKILL: Medium""), ""Medium"", IF(REGEXMATCH(N141, ""SKILL: High""), ""High"", """")))"),"")</f>
        <v/>
      </c>
      <c r="T141" s="27" t="str">
        <f>IFERROR(__xludf.DUMMYFUNCTION("IF(REGEXMATCH(N141, ""STATUS: Dev Complete - Awaiting QA""), ""Dev Complete - Awaiting QA"", IF(REGEXMATCH(N141, ""STATUS: Follow-Up Required""), ""Follow-Up Required"", IF(REGEXMATCH(N141, ""STATUS: In Progress""), ""In Progress"", IF(REGEXMATCH(N141, """&amp;"STATUS: In QA""), ""In QA"", IF(REGEXMATCH(N141, ""STATUS: Needs Customer Feedback""), ""Needs Customer Feedback"", IF(REGEXMATCH(N141, ""STATUS: QA Passed - Awaiting Release""), ""QA Passed - Awaiting Release"", IF(REGEXMATCH(N141, ""STATUS: Release to P"&amp;"rod""), ""Release to Prod"", """")))))))"),"")</f>
        <v/>
      </c>
    </row>
    <row r="142" hidden="1">
      <c r="A142" s="23" t="s">
        <v>82</v>
      </c>
      <c r="B142" s="12" t="s">
        <v>267</v>
      </c>
      <c r="C142" s="54">
        <v>265.0</v>
      </c>
      <c r="D142" s="55" t="s">
        <v>811</v>
      </c>
      <c r="E142" s="56" t="s">
        <v>173</v>
      </c>
      <c r="F142" s="54" t="s">
        <v>812</v>
      </c>
      <c r="G142" s="57" t="str">
        <f t="shared" si="1"/>
        <v>23-Oct-2024</v>
      </c>
      <c r="H142" s="54" t="s">
        <v>254</v>
      </c>
      <c r="I142" s="54" t="s">
        <v>813</v>
      </c>
      <c r="J142" s="27" t="str">
        <f t="shared" si="4"/>
        <v>11-Jul-2025</v>
      </c>
      <c r="K142" s="54" t="s">
        <v>814</v>
      </c>
      <c r="L142" s="27" t="str">
        <f t="shared" si="5"/>
        <v>22-Apr-2025</v>
      </c>
      <c r="M142" s="23" t="s">
        <v>15</v>
      </c>
      <c r="N142" s="23" t="s">
        <v>177</v>
      </c>
      <c r="O142" s="24"/>
      <c r="P142" s="54">
        <v>1.0</v>
      </c>
      <c r="Q142" s="58" t="s">
        <v>815</v>
      </c>
      <c r="R142" s="27" t="str">
        <f>IFERROR(__xludf.DUMMYFUNCTION("IF(REGEXMATCH(N142, ""PRIORITY: Low""), ""Low"", IF(REGEXMATCH(N142, ""PRIORITY: Medium""), ""Medium"", IF(REGEXMATCH(N142, ""PRIORITY: High""), ""High"", """")))
"),"")</f>
        <v/>
      </c>
      <c r="S142" s="27" t="str">
        <f>IFERROR(__xludf.DUMMYFUNCTION("IF(REGEXMATCH(N142, ""SKILL: Low""), ""Low"", IF(REGEXMATCH(N142, ""SKILL: Medium""), ""Medium"", IF(REGEXMATCH(N142, ""SKILL: High""), ""High"", """")))"),"")</f>
        <v/>
      </c>
      <c r="T142" s="27" t="str">
        <f>IFERROR(__xludf.DUMMYFUNCTION("IF(REGEXMATCH(N142, ""STATUS: Dev Complete - Awaiting QA""), ""Dev Complete - Awaiting QA"", IF(REGEXMATCH(N142, ""STATUS: Follow-Up Required""), ""Follow-Up Required"", IF(REGEXMATCH(N142, ""STATUS: In Progress""), ""In Progress"", IF(REGEXMATCH(N142, """&amp;"STATUS: In QA""), ""In QA"", IF(REGEXMATCH(N142, ""STATUS: Needs Customer Feedback""), ""Needs Customer Feedback"", IF(REGEXMATCH(N142, ""STATUS: QA Passed - Awaiting Release""), ""QA Passed - Awaiting Release"", IF(REGEXMATCH(N142, ""STATUS: Release to P"&amp;"rod""), ""Release to Prod"", """")))))))"),"")</f>
        <v/>
      </c>
    </row>
    <row r="143" hidden="1">
      <c r="A143" s="23" t="s">
        <v>82</v>
      </c>
      <c r="B143" s="12" t="s">
        <v>267</v>
      </c>
      <c r="C143" s="54">
        <v>264.0</v>
      </c>
      <c r="D143" s="55" t="s">
        <v>816</v>
      </c>
      <c r="E143" s="56" t="s">
        <v>173</v>
      </c>
      <c r="F143" s="54" t="s">
        <v>817</v>
      </c>
      <c r="G143" s="57" t="str">
        <f t="shared" si="1"/>
        <v>23-Oct-2024</v>
      </c>
      <c r="H143" s="54" t="s">
        <v>254</v>
      </c>
      <c r="I143" s="54" t="s">
        <v>818</v>
      </c>
      <c r="J143" s="27" t="str">
        <f t="shared" si="4"/>
        <v>11-Jul-2025</v>
      </c>
      <c r="K143" s="54" t="s">
        <v>819</v>
      </c>
      <c r="L143" s="27" t="str">
        <f t="shared" si="5"/>
        <v>22-Apr-2025</v>
      </c>
      <c r="M143" s="23" t="s">
        <v>15</v>
      </c>
      <c r="N143" s="23" t="s">
        <v>177</v>
      </c>
      <c r="O143" s="24"/>
      <c r="P143" s="54">
        <v>1.0</v>
      </c>
      <c r="Q143" s="58" t="s">
        <v>820</v>
      </c>
      <c r="R143" s="27" t="str">
        <f>IFERROR(__xludf.DUMMYFUNCTION("IF(REGEXMATCH(N143, ""PRIORITY: Low""), ""Low"", IF(REGEXMATCH(N143, ""PRIORITY: Medium""), ""Medium"", IF(REGEXMATCH(N143, ""PRIORITY: High""), ""High"", """")))
"),"")</f>
        <v/>
      </c>
      <c r="S143" s="27" t="str">
        <f>IFERROR(__xludf.DUMMYFUNCTION("IF(REGEXMATCH(N143, ""SKILL: Low""), ""Low"", IF(REGEXMATCH(N143, ""SKILL: Medium""), ""Medium"", IF(REGEXMATCH(N143, ""SKILL: High""), ""High"", """")))"),"")</f>
        <v/>
      </c>
      <c r="T143" s="27" t="str">
        <f>IFERROR(__xludf.DUMMYFUNCTION("IF(REGEXMATCH(N143, ""STATUS: Dev Complete - Awaiting QA""), ""Dev Complete - Awaiting QA"", IF(REGEXMATCH(N143, ""STATUS: Follow-Up Required""), ""Follow-Up Required"", IF(REGEXMATCH(N143, ""STATUS: In Progress""), ""In Progress"", IF(REGEXMATCH(N143, """&amp;"STATUS: In QA""), ""In QA"", IF(REGEXMATCH(N143, ""STATUS: Needs Customer Feedback""), ""Needs Customer Feedback"", IF(REGEXMATCH(N143, ""STATUS: QA Passed - Awaiting Release""), ""QA Passed - Awaiting Release"", IF(REGEXMATCH(N143, ""STATUS: Release to P"&amp;"rod""), ""Release to Prod"", """")))))))"),"")</f>
        <v/>
      </c>
    </row>
    <row r="144" hidden="1">
      <c r="A144" s="23" t="s">
        <v>82</v>
      </c>
      <c r="B144" s="12" t="s">
        <v>267</v>
      </c>
      <c r="C144" s="54">
        <v>253.0</v>
      </c>
      <c r="D144" s="55" t="s">
        <v>821</v>
      </c>
      <c r="E144" s="56" t="s">
        <v>173</v>
      </c>
      <c r="F144" s="54" t="s">
        <v>822</v>
      </c>
      <c r="G144" s="57" t="str">
        <f t="shared" si="1"/>
        <v>04-Sep-2024</v>
      </c>
      <c r="H144" s="54" t="s">
        <v>254</v>
      </c>
      <c r="I144" s="54" t="s">
        <v>823</v>
      </c>
      <c r="J144" s="27" t="str">
        <f t="shared" si="4"/>
        <v>11-Jul-2025</v>
      </c>
      <c r="K144" s="54" t="s">
        <v>824</v>
      </c>
      <c r="L144" s="27" t="str">
        <f t="shared" si="5"/>
        <v>23-Oct-2024</v>
      </c>
      <c r="M144" s="23" t="s">
        <v>15</v>
      </c>
      <c r="N144" s="23" t="s">
        <v>177</v>
      </c>
      <c r="O144" s="24"/>
      <c r="P144" s="54">
        <v>1.0</v>
      </c>
      <c r="Q144" s="58" t="s">
        <v>825</v>
      </c>
      <c r="R144" s="27" t="str">
        <f>IFERROR(__xludf.DUMMYFUNCTION("IF(REGEXMATCH(N144, ""PRIORITY: Low""), ""Low"", IF(REGEXMATCH(N144, ""PRIORITY: Medium""), ""Medium"", IF(REGEXMATCH(N144, ""PRIORITY: High""), ""High"", """")))
"),"")</f>
        <v/>
      </c>
      <c r="S144" s="27" t="str">
        <f>IFERROR(__xludf.DUMMYFUNCTION("IF(REGEXMATCH(N144, ""SKILL: Low""), ""Low"", IF(REGEXMATCH(N144, ""SKILL: Medium""), ""Medium"", IF(REGEXMATCH(N144, ""SKILL: High""), ""High"", """")))"),"")</f>
        <v/>
      </c>
      <c r="T144" s="27" t="str">
        <f>IFERROR(__xludf.DUMMYFUNCTION("IF(REGEXMATCH(N144, ""STATUS: Dev Complete - Awaiting QA""), ""Dev Complete - Awaiting QA"", IF(REGEXMATCH(N144, ""STATUS: Follow-Up Required""), ""Follow-Up Required"", IF(REGEXMATCH(N144, ""STATUS: In Progress""), ""In Progress"", IF(REGEXMATCH(N144, """&amp;"STATUS: In QA""), ""In QA"", IF(REGEXMATCH(N144, ""STATUS: Needs Customer Feedback""), ""Needs Customer Feedback"", IF(REGEXMATCH(N144, ""STATUS: QA Passed - Awaiting Release""), ""QA Passed - Awaiting Release"", IF(REGEXMATCH(N144, ""STATUS: Release to P"&amp;"rod""), ""Release to Prod"", """")))))))"),"")</f>
        <v/>
      </c>
    </row>
    <row r="145" hidden="1">
      <c r="A145" s="23" t="s">
        <v>82</v>
      </c>
      <c r="B145" s="12" t="s">
        <v>267</v>
      </c>
      <c r="C145" s="54">
        <v>252.0</v>
      </c>
      <c r="D145" s="55" t="s">
        <v>826</v>
      </c>
      <c r="E145" s="56" t="s">
        <v>173</v>
      </c>
      <c r="F145" s="54" t="s">
        <v>827</v>
      </c>
      <c r="G145" s="57" t="str">
        <f t="shared" si="1"/>
        <v>03-Sep-2024</v>
      </c>
      <c r="H145" s="54" t="s">
        <v>254</v>
      </c>
      <c r="I145" s="54" t="s">
        <v>828</v>
      </c>
      <c r="J145" s="27" t="str">
        <f t="shared" si="4"/>
        <v>11-Jul-2025</v>
      </c>
      <c r="K145" s="54" t="s">
        <v>829</v>
      </c>
      <c r="L145" s="27" t="str">
        <f t="shared" si="5"/>
        <v>23-Oct-2024</v>
      </c>
      <c r="M145" s="23" t="s">
        <v>15</v>
      </c>
      <c r="N145" s="23" t="s">
        <v>177</v>
      </c>
      <c r="O145" s="24"/>
      <c r="P145" s="54">
        <v>1.0</v>
      </c>
      <c r="Q145" s="58" t="s">
        <v>830</v>
      </c>
      <c r="R145" s="27" t="str">
        <f>IFERROR(__xludf.DUMMYFUNCTION("IF(REGEXMATCH(N145, ""PRIORITY: Low""), ""Low"", IF(REGEXMATCH(N145, ""PRIORITY: Medium""), ""Medium"", IF(REGEXMATCH(N145, ""PRIORITY: High""), ""High"", """")))
"),"")</f>
        <v/>
      </c>
      <c r="S145" s="27" t="str">
        <f>IFERROR(__xludf.DUMMYFUNCTION("IF(REGEXMATCH(N145, ""SKILL: Low""), ""Low"", IF(REGEXMATCH(N145, ""SKILL: Medium""), ""Medium"", IF(REGEXMATCH(N145, ""SKILL: High""), ""High"", """")))"),"")</f>
        <v/>
      </c>
      <c r="T145" s="27" t="str">
        <f>IFERROR(__xludf.DUMMYFUNCTION("IF(REGEXMATCH(N145, ""STATUS: Dev Complete - Awaiting QA""), ""Dev Complete - Awaiting QA"", IF(REGEXMATCH(N145, ""STATUS: Follow-Up Required""), ""Follow-Up Required"", IF(REGEXMATCH(N145, ""STATUS: In Progress""), ""In Progress"", IF(REGEXMATCH(N145, """&amp;"STATUS: In QA""), ""In QA"", IF(REGEXMATCH(N145, ""STATUS: Needs Customer Feedback""), ""Needs Customer Feedback"", IF(REGEXMATCH(N145, ""STATUS: QA Passed - Awaiting Release""), ""QA Passed - Awaiting Release"", IF(REGEXMATCH(N145, ""STATUS: Release to P"&amp;"rod""), ""Release to Prod"", """")))))))"),"")</f>
        <v/>
      </c>
    </row>
    <row r="146" hidden="1">
      <c r="A146" s="23" t="s">
        <v>82</v>
      </c>
      <c r="B146" s="12" t="s">
        <v>267</v>
      </c>
      <c r="C146" s="54">
        <v>251.0</v>
      </c>
      <c r="D146" s="55" t="s">
        <v>831</v>
      </c>
      <c r="E146" s="56" t="s">
        <v>173</v>
      </c>
      <c r="F146" s="54" t="s">
        <v>832</v>
      </c>
      <c r="G146" s="57" t="str">
        <f t="shared" si="1"/>
        <v>03-Sep-2024</v>
      </c>
      <c r="H146" s="54" t="s">
        <v>254</v>
      </c>
      <c r="I146" s="54" t="s">
        <v>828</v>
      </c>
      <c r="J146" s="27" t="str">
        <f t="shared" si="4"/>
        <v>11-Jul-2025</v>
      </c>
      <c r="K146" s="54" t="s">
        <v>833</v>
      </c>
      <c r="L146" s="27" t="str">
        <f t="shared" si="5"/>
        <v>25-Oct-2024</v>
      </c>
      <c r="M146" s="23" t="s">
        <v>15</v>
      </c>
      <c r="N146" s="23" t="s">
        <v>177</v>
      </c>
      <c r="O146" s="24"/>
      <c r="P146" s="54">
        <v>1.0</v>
      </c>
      <c r="Q146" s="58" t="s">
        <v>834</v>
      </c>
      <c r="R146" s="27" t="str">
        <f>IFERROR(__xludf.DUMMYFUNCTION("IF(REGEXMATCH(N146, ""PRIORITY: Low""), ""Low"", IF(REGEXMATCH(N146, ""PRIORITY: Medium""), ""Medium"", IF(REGEXMATCH(N146, ""PRIORITY: High""), ""High"", """")))
"),"")</f>
        <v/>
      </c>
      <c r="S146" s="27" t="str">
        <f>IFERROR(__xludf.DUMMYFUNCTION("IF(REGEXMATCH(N146, ""SKILL: Low""), ""Low"", IF(REGEXMATCH(N146, ""SKILL: Medium""), ""Medium"", IF(REGEXMATCH(N146, ""SKILL: High""), ""High"", """")))"),"")</f>
        <v/>
      </c>
      <c r="T146" s="27" t="str">
        <f>IFERROR(__xludf.DUMMYFUNCTION("IF(REGEXMATCH(N146, ""STATUS: Dev Complete - Awaiting QA""), ""Dev Complete - Awaiting QA"", IF(REGEXMATCH(N146, ""STATUS: Follow-Up Required""), ""Follow-Up Required"", IF(REGEXMATCH(N146, ""STATUS: In Progress""), ""In Progress"", IF(REGEXMATCH(N146, """&amp;"STATUS: In QA""), ""In QA"", IF(REGEXMATCH(N146, ""STATUS: Needs Customer Feedback""), ""Needs Customer Feedback"", IF(REGEXMATCH(N146, ""STATUS: QA Passed - Awaiting Release""), ""QA Passed - Awaiting Release"", IF(REGEXMATCH(N146, ""STATUS: Release to P"&amp;"rod""), ""Release to Prod"", """")))))))"),"")</f>
        <v/>
      </c>
    </row>
    <row r="147" hidden="1">
      <c r="A147" s="23" t="s">
        <v>82</v>
      </c>
      <c r="B147" s="12" t="s">
        <v>267</v>
      </c>
      <c r="C147" s="54">
        <v>250.0</v>
      </c>
      <c r="D147" s="55" t="s">
        <v>835</v>
      </c>
      <c r="E147" s="56" t="s">
        <v>173</v>
      </c>
      <c r="F147" s="54" t="s">
        <v>836</v>
      </c>
      <c r="G147" s="57" t="str">
        <f t="shared" si="1"/>
        <v>03-Sep-2024</v>
      </c>
      <c r="H147" s="54" t="s">
        <v>254</v>
      </c>
      <c r="I147" s="54" t="s">
        <v>837</v>
      </c>
      <c r="J147" s="27" t="str">
        <f t="shared" si="4"/>
        <v>11-Jul-2025</v>
      </c>
      <c r="K147" s="54" t="s">
        <v>838</v>
      </c>
      <c r="L147" s="27" t="str">
        <f t="shared" si="5"/>
        <v>23-Oct-2024</v>
      </c>
      <c r="M147" s="23" t="s">
        <v>15</v>
      </c>
      <c r="N147" s="23" t="s">
        <v>177</v>
      </c>
      <c r="O147" s="24"/>
      <c r="P147" s="54">
        <v>1.0</v>
      </c>
      <c r="Q147" s="58" t="s">
        <v>839</v>
      </c>
      <c r="R147" s="27" t="str">
        <f>IFERROR(__xludf.DUMMYFUNCTION("IF(REGEXMATCH(N147, ""PRIORITY: Low""), ""Low"", IF(REGEXMATCH(N147, ""PRIORITY: Medium""), ""Medium"", IF(REGEXMATCH(N147, ""PRIORITY: High""), ""High"", """")))
"),"")</f>
        <v/>
      </c>
      <c r="S147" s="27" t="str">
        <f>IFERROR(__xludf.DUMMYFUNCTION("IF(REGEXMATCH(N147, ""SKILL: Low""), ""Low"", IF(REGEXMATCH(N147, ""SKILL: Medium""), ""Medium"", IF(REGEXMATCH(N147, ""SKILL: High""), ""High"", """")))"),"")</f>
        <v/>
      </c>
      <c r="T147" s="27" t="str">
        <f>IFERROR(__xludf.DUMMYFUNCTION("IF(REGEXMATCH(N147, ""STATUS: Dev Complete - Awaiting QA""), ""Dev Complete - Awaiting QA"", IF(REGEXMATCH(N147, ""STATUS: Follow-Up Required""), ""Follow-Up Required"", IF(REGEXMATCH(N147, ""STATUS: In Progress""), ""In Progress"", IF(REGEXMATCH(N147, """&amp;"STATUS: In QA""), ""In QA"", IF(REGEXMATCH(N147, ""STATUS: Needs Customer Feedback""), ""Needs Customer Feedback"", IF(REGEXMATCH(N147, ""STATUS: QA Passed - Awaiting Release""), ""QA Passed - Awaiting Release"", IF(REGEXMATCH(N147, ""STATUS: Release to P"&amp;"rod""), ""Release to Prod"", """")))))))"),"")</f>
        <v/>
      </c>
    </row>
    <row r="148" hidden="1">
      <c r="A148" s="23" t="s">
        <v>82</v>
      </c>
      <c r="B148" s="12" t="s">
        <v>267</v>
      </c>
      <c r="C148" s="54">
        <v>249.0</v>
      </c>
      <c r="D148" s="55" t="s">
        <v>840</v>
      </c>
      <c r="E148" s="56" t="s">
        <v>173</v>
      </c>
      <c r="F148" s="54" t="s">
        <v>841</v>
      </c>
      <c r="G148" s="57" t="str">
        <f t="shared" si="1"/>
        <v>02-Sep-2024</v>
      </c>
      <c r="H148" s="54" t="s">
        <v>254</v>
      </c>
      <c r="I148" s="54" t="s">
        <v>842</v>
      </c>
      <c r="J148" s="27" t="str">
        <f t="shared" si="4"/>
        <v>11-Jul-2025</v>
      </c>
      <c r="K148" s="54" t="s">
        <v>843</v>
      </c>
      <c r="L148" s="27" t="str">
        <f t="shared" si="5"/>
        <v>23-Oct-2024</v>
      </c>
      <c r="M148" s="23" t="s">
        <v>15</v>
      </c>
      <c r="N148" s="23" t="s">
        <v>177</v>
      </c>
      <c r="O148" s="24"/>
      <c r="P148" s="54">
        <v>1.0</v>
      </c>
      <c r="Q148" s="58" t="s">
        <v>844</v>
      </c>
      <c r="R148" s="27" t="str">
        <f>IFERROR(__xludf.DUMMYFUNCTION("IF(REGEXMATCH(N148, ""PRIORITY: Low""), ""Low"", IF(REGEXMATCH(N148, ""PRIORITY: Medium""), ""Medium"", IF(REGEXMATCH(N148, ""PRIORITY: High""), ""High"", """")))
"),"")</f>
        <v/>
      </c>
      <c r="S148" s="27" t="str">
        <f>IFERROR(__xludf.DUMMYFUNCTION("IF(REGEXMATCH(N148, ""SKILL: Low""), ""Low"", IF(REGEXMATCH(N148, ""SKILL: Medium""), ""Medium"", IF(REGEXMATCH(N148, ""SKILL: High""), ""High"", """")))"),"")</f>
        <v/>
      </c>
      <c r="T148" s="27" t="str">
        <f>IFERROR(__xludf.DUMMYFUNCTION("IF(REGEXMATCH(N148, ""STATUS: Dev Complete - Awaiting QA""), ""Dev Complete - Awaiting QA"", IF(REGEXMATCH(N148, ""STATUS: Follow-Up Required""), ""Follow-Up Required"", IF(REGEXMATCH(N148, ""STATUS: In Progress""), ""In Progress"", IF(REGEXMATCH(N148, """&amp;"STATUS: In QA""), ""In QA"", IF(REGEXMATCH(N148, ""STATUS: Needs Customer Feedback""), ""Needs Customer Feedback"", IF(REGEXMATCH(N148, ""STATUS: QA Passed - Awaiting Release""), ""QA Passed - Awaiting Release"", IF(REGEXMATCH(N148, ""STATUS: Release to P"&amp;"rod""), ""Release to Prod"", """")))))))"),"")</f>
        <v/>
      </c>
    </row>
    <row r="149" hidden="1">
      <c r="A149" s="23" t="s">
        <v>82</v>
      </c>
      <c r="B149" s="12" t="s">
        <v>267</v>
      </c>
      <c r="C149" s="54">
        <v>245.0</v>
      </c>
      <c r="D149" s="55" t="s">
        <v>845</v>
      </c>
      <c r="E149" s="56" t="s">
        <v>173</v>
      </c>
      <c r="F149" s="54" t="s">
        <v>846</v>
      </c>
      <c r="G149" s="57" t="str">
        <f t="shared" si="1"/>
        <v>16-Aug-2024</v>
      </c>
      <c r="H149" s="54" t="s">
        <v>254</v>
      </c>
      <c r="I149" s="54" t="s">
        <v>847</v>
      </c>
      <c r="J149" s="27" t="str">
        <f t="shared" si="4"/>
        <v>11-Jul-2025</v>
      </c>
      <c r="K149" s="54" t="s">
        <v>848</v>
      </c>
      <c r="L149" s="27" t="str">
        <f t="shared" si="5"/>
        <v>23-Aug-2024</v>
      </c>
      <c r="M149" s="23" t="s">
        <v>15</v>
      </c>
      <c r="N149" s="23" t="s">
        <v>177</v>
      </c>
      <c r="O149" s="24"/>
      <c r="P149" s="54">
        <v>0.0</v>
      </c>
      <c r="Q149" s="58" t="s">
        <v>849</v>
      </c>
      <c r="R149" s="27" t="str">
        <f>IFERROR(__xludf.DUMMYFUNCTION("IF(REGEXMATCH(N149, ""PRIORITY: Low""), ""Low"", IF(REGEXMATCH(N149, ""PRIORITY: Medium""), ""Medium"", IF(REGEXMATCH(N149, ""PRIORITY: High""), ""High"", """")))
"),"")</f>
        <v/>
      </c>
      <c r="S149" s="27" t="str">
        <f>IFERROR(__xludf.DUMMYFUNCTION("IF(REGEXMATCH(N149, ""SKILL: Low""), ""Low"", IF(REGEXMATCH(N149, ""SKILL: Medium""), ""Medium"", IF(REGEXMATCH(N149, ""SKILL: High""), ""High"", """")))"),"")</f>
        <v/>
      </c>
      <c r="T149" s="27" t="str">
        <f>IFERROR(__xludf.DUMMYFUNCTION("IF(REGEXMATCH(N149, ""STATUS: Dev Complete - Awaiting QA""), ""Dev Complete - Awaiting QA"", IF(REGEXMATCH(N149, ""STATUS: Follow-Up Required""), ""Follow-Up Required"", IF(REGEXMATCH(N149, ""STATUS: In Progress""), ""In Progress"", IF(REGEXMATCH(N149, """&amp;"STATUS: In QA""), ""In QA"", IF(REGEXMATCH(N149, ""STATUS: Needs Customer Feedback""), ""Needs Customer Feedback"", IF(REGEXMATCH(N149, ""STATUS: QA Passed - Awaiting Release""), ""QA Passed - Awaiting Release"", IF(REGEXMATCH(N149, ""STATUS: Release to P"&amp;"rod""), ""Release to Prod"", """")))))))"),"")</f>
        <v/>
      </c>
    </row>
    <row r="150" hidden="1">
      <c r="A150" s="23" t="s">
        <v>82</v>
      </c>
      <c r="B150" s="12" t="s">
        <v>267</v>
      </c>
      <c r="C150" s="54">
        <v>243.0</v>
      </c>
      <c r="D150" s="55" t="s">
        <v>850</v>
      </c>
      <c r="E150" s="56" t="s">
        <v>173</v>
      </c>
      <c r="F150" s="54" t="s">
        <v>851</v>
      </c>
      <c r="G150" s="57" t="str">
        <f t="shared" si="1"/>
        <v>05-Aug-2024</v>
      </c>
      <c r="H150" s="54" t="s">
        <v>254</v>
      </c>
      <c r="I150" s="54" t="s">
        <v>852</v>
      </c>
      <c r="J150" s="27" t="str">
        <f t="shared" si="4"/>
        <v>11-Jul-2025</v>
      </c>
      <c r="K150" s="54" t="s">
        <v>853</v>
      </c>
      <c r="L150" s="27" t="str">
        <f t="shared" si="5"/>
        <v>23-Aug-2024</v>
      </c>
      <c r="M150" s="23" t="s">
        <v>15</v>
      </c>
      <c r="N150" s="23" t="s">
        <v>177</v>
      </c>
      <c r="O150" s="24"/>
      <c r="P150" s="54">
        <v>0.0</v>
      </c>
      <c r="Q150" s="58" t="s">
        <v>854</v>
      </c>
      <c r="R150" s="27" t="str">
        <f>IFERROR(__xludf.DUMMYFUNCTION("IF(REGEXMATCH(N150, ""PRIORITY: Low""), ""Low"", IF(REGEXMATCH(N150, ""PRIORITY: Medium""), ""Medium"", IF(REGEXMATCH(N150, ""PRIORITY: High""), ""High"", """")))
"),"")</f>
        <v/>
      </c>
      <c r="S150" s="27" t="str">
        <f>IFERROR(__xludf.DUMMYFUNCTION("IF(REGEXMATCH(N150, ""SKILL: Low""), ""Low"", IF(REGEXMATCH(N150, ""SKILL: Medium""), ""Medium"", IF(REGEXMATCH(N150, ""SKILL: High""), ""High"", """")))"),"")</f>
        <v/>
      </c>
      <c r="T150" s="27" t="str">
        <f>IFERROR(__xludf.DUMMYFUNCTION("IF(REGEXMATCH(N150, ""STATUS: Dev Complete - Awaiting QA""), ""Dev Complete - Awaiting QA"", IF(REGEXMATCH(N150, ""STATUS: Follow-Up Required""), ""Follow-Up Required"", IF(REGEXMATCH(N150, ""STATUS: In Progress""), ""In Progress"", IF(REGEXMATCH(N150, """&amp;"STATUS: In QA""), ""In QA"", IF(REGEXMATCH(N150, ""STATUS: Needs Customer Feedback""), ""Needs Customer Feedback"", IF(REGEXMATCH(N150, ""STATUS: QA Passed - Awaiting Release""), ""QA Passed - Awaiting Release"", IF(REGEXMATCH(N150, ""STATUS: Release to P"&amp;"rod""), ""Release to Prod"", """")))))))"),"")</f>
        <v/>
      </c>
    </row>
    <row r="151" hidden="1">
      <c r="A151" s="23" t="s">
        <v>82</v>
      </c>
      <c r="B151" s="12" t="s">
        <v>267</v>
      </c>
      <c r="C151" s="54">
        <v>234.0</v>
      </c>
      <c r="D151" s="55" t="s">
        <v>855</v>
      </c>
      <c r="E151" s="56" t="s">
        <v>173</v>
      </c>
      <c r="F151" s="54" t="s">
        <v>856</v>
      </c>
      <c r="G151" s="57" t="str">
        <f t="shared" si="1"/>
        <v>08-Jul-2024</v>
      </c>
      <c r="H151" s="54" t="s">
        <v>254</v>
      </c>
      <c r="I151" s="54" t="s">
        <v>857</v>
      </c>
      <c r="J151" s="27" t="str">
        <f t="shared" si="4"/>
        <v>11-Jul-2025</v>
      </c>
      <c r="K151" s="54" t="s">
        <v>858</v>
      </c>
      <c r="L151" s="27" t="str">
        <f t="shared" si="5"/>
        <v>02-Sep-2024</v>
      </c>
      <c r="M151" s="23" t="s">
        <v>15</v>
      </c>
      <c r="N151" s="23" t="s">
        <v>177</v>
      </c>
      <c r="O151" s="24"/>
      <c r="P151" s="54">
        <v>0.0</v>
      </c>
      <c r="Q151" s="58" t="s">
        <v>859</v>
      </c>
      <c r="R151" s="27" t="str">
        <f>IFERROR(__xludf.DUMMYFUNCTION("IF(REGEXMATCH(N151, ""PRIORITY: Low""), ""Low"", IF(REGEXMATCH(N151, ""PRIORITY: Medium""), ""Medium"", IF(REGEXMATCH(N151, ""PRIORITY: High""), ""High"", """")))
"),"")</f>
        <v/>
      </c>
      <c r="S151" s="27" t="str">
        <f>IFERROR(__xludf.DUMMYFUNCTION("IF(REGEXMATCH(N151, ""SKILL: Low""), ""Low"", IF(REGEXMATCH(N151, ""SKILL: Medium""), ""Medium"", IF(REGEXMATCH(N151, ""SKILL: High""), ""High"", """")))"),"")</f>
        <v/>
      </c>
      <c r="T151" s="27" t="str">
        <f>IFERROR(__xludf.DUMMYFUNCTION("IF(REGEXMATCH(N151, ""STATUS: Dev Complete - Awaiting QA""), ""Dev Complete - Awaiting QA"", IF(REGEXMATCH(N151, ""STATUS: Follow-Up Required""), ""Follow-Up Required"", IF(REGEXMATCH(N151, ""STATUS: In Progress""), ""In Progress"", IF(REGEXMATCH(N151, """&amp;"STATUS: In QA""), ""In QA"", IF(REGEXMATCH(N151, ""STATUS: Needs Customer Feedback""), ""Needs Customer Feedback"", IF(REGEXMATCH(N151, ""STATUS: QA Passed - Awaiting Release""), ""QA Passed - Awaiting Release"", IF(REGEXMATCH(N151, ""STATUS: Release to P"&amp;"rod""), ""Release to Prod"", """")))))))"),"")</f>
        <v/>
      </c>
    </row>
    <row r="152" hidden="1">
      <c r="A152" s="23" t="s">
        <v>82</v>
      </c>
      <c r="B152" s="12" t="s">
        <v>267</v>
      </c>
      <c r="C152" s="54">
        <v>233.0</v>
      </c>
      <c r="D152" s="55" t="s">
        <v>860</v>
      </c>
      <c r="E152" s="56" t="s">
        <v>173</v>
      </c>
      <c r="F152" s="54" t="s">
        <v>861</v>
      </c>
      <c r="G152" s="57" t="str">
        <f t="shared" si="1"/>
        <v>08-Jul-2024</v>
      </c>
      <c r="H152" s="54" t="s">
        <v>254</v>
      </c>
      <c r="I152" s="54" t="s">
        <v>862</v>
      </c>
      <c r="J152" s="27" t="str">
        <f t="shared" si="4"/>
        <v>11-Jul-2025</v>
      </c>
      <c r="K152" s="54" t="s">
        <v>863</v>
      </c>
      <c r="L152" s="27" t="str">
        <f t="shared" si="5"/>
        <v>10-Jul-2024</v>
      </c>
      <c r="M152" s="23" t="s">
        <v>15</v>
      </c>
      <c r="N152" s="23" t="s">
        <v>177</v>
      </c>
      <c r="O152" s="24"/>
      <c r="P152" s="54">
        <v>0.0</v>
      </c>
      <c r="Q152" s="58" t="s">
        <v>864</v>
      </c>
      <c r="R152" s="27" t="str">
        <f>IFERROR(__xludf.DUMMYFUNCTION("IF(REGEXMATCH(N152, ""PRIORITY: Low""), ""Low"", IF(REGEXMATCH(N152, ""PRIORITY: Medium""), ""Medium"", IF(REGEXMATCH(N152, ""PRIORITY: High""), ""High"", """")))
"),"")</f>
        <v/>
      </c>
      <c r="S152" s="27" t="str">
        <f>IFERROR(__xludf.DUMMYFUNCTION("IF(REGEXMATCH(N152, ""SKILL: Low""), ""Low"", IF(REGEXMATCH(N152, ""SKILL: Medium""), ""Medium"", IF(REGEXMATCH(N152, ""SKILL: High""), ""High"", """")))"),"")</f>
        <v/>
      </c>
      <c r="T152" s="27" t="str">
        <f>IFERROR(__xludf.DUMMYFUNCTION("IF(REGEXMATCH(N152, ""STATUS: Dev Complete - Awaiting QA""), ""Dev Complete - Awaiting QA"", IF(REGEXMATCH(N152, ""STATUS: Follow-Up Required""), ""Follow-Up Required"", IF(REGEXMATCH(N152, ""STATUS: In Progress""), ""In Progress"", IF(REGEXMATCH(N152, """&amp;"STATUS: In QA""), ""In QA"", IF(REGEXMATCH(N152, ""STATUS: Needs Customer Feedback""), ""Needs Customer Feedback"", IF(REGEXMATCH(N152, ""STATUS: QA Passed - Awaiting Release""), ""QA Passed - Awaiting Release"", IF(REGEXMATCH(N152, ""STATUS: Release to P"&amp;"rod""), ""Release to Prod"", """")))))))"),"")</f>
        <v/>
      </c>
    </row>
    <row r="153" hidden="1">
      <c r="A153" s="23" t="s">
        <v>82</v>
      </c>
      <c r="B153" s="12" t="s">
        <v>267</v>
      </c>
      <c r="C153" s="54">
        <v>232.0</v>
      </c>
      <c r="D153" s="55" t="s">
        <v>865</v>
      </c>
      <c r="E153" s="56" t="s">
        <v>173</v>
      </c>
      <c r="F153" s="54" t="s">
        <v>866</v>
      </c>
      <c r="G153" s="57" t="str">
        <f t="shared" si="1"/>
        <v>08-Jul-2024</v>
      </c>
      <c r="H153" s="54" t="s">
        <v>254</v>
      </c>
      <c r="I153" s="54" t="s">
        <v>862</v>
      </c>
      <c r="J153" s="27" t="str">
        <f t="shared" si="4"/>
        <v>11-Jul-2025</v>
      </c>
      <c r="K153" s="54" t="s">
        <v>867</v>
      </c>
      <c r="L153" s="27" t="str">
        <f t="shared" si="5"/>
        <v>02-Sep-2024</v>
      </c>
      <c r="M153" s="23" t="s">
        <v>15</v>
      </c>
      <c r="N153" s="23" t="s">
        <v>177</v>
      </c>
      <c r="O153" s="24"/>
      <c r="P153" s="54">
        <v>0.0</v>
      </c>
      <c r="Q153" s="58" t="s">
        <v>868</v>
      </c>
      <c r="R153" s="27" t="str">
        <f>IFERROR(__xludf.DUMMYFUNCTION("IF(REGEXMATCH(N153, ""PRIORITY: Low""), ""Low"", IF(REGEXMATCH(N153, ""PRIORITY: Medium""), ""Medium"", IF(REGEXMATCH(N153, ""PRIORITY: High""), ""High"", """")))
"),"")</f>
        <v/>
      </c>
      <c r="S153" s="27" t="str">
        <f>IFERROR(__xludf.DUMMYFUNCTION("IF(REGEXMATCH(N153, ""SKILL: Low""), ""Low"", IF(REGEXMATCH(N153, ""SKILL: Medium""), ""Medium"", IF(REGEXMATCH(N153, ""SKILL: High""), ""High"", """")))"),"")</f>
        <v/>
      </c>
      <c r="T153" s="27" t="str">
        <f>IFERROR(__xludf.DUMMYFUNCTION("IF(REGEXMATCH(N153, ""STATUS: Dev Complete - Awaiting QA""), ""Dev Complete - Awaiting QA"", IF(REGEXMATCH(N153, ""STATUS: Follow-Up Required""), ""Follow-Up Required"", IF(REGEXMATCH(N153, ""STATUS: In Progress""), ""In Progress"", IF(REGEXMATCH(N153, """&amp;"STATUS: In QA""), ""In QA"", IF(REGEXMATCH(N153, ""STATUS: Needs Customer Feedback""), ""Needs Customer Feedback"", IF(REGEXMATCH(N153, ""STATUS: QA Passed - Awaiting Release""), ""QA Passed - Awaiting Release"", IF(REGEXMATCH(N153, ""STATUS: Release to P"&amp;"rod""), ""Release to Prod"", """")))))))"),"")</f>
        <v/>
      </c>
    </row>
    <row r="154" hidden="1">
      <c r="A154" s="23" t="s">
        <v>82</v>
      </c>
      <c r="B154" s="12" t="s">
        <v>267</v>
      </c>
      <c r="C154" s="54">
        <v>231.0</v>
      </c>
      <c r="D154" s="55" t="s">
        <v>869</v>
      </c>
      <c r="E154" s="56" t="s">
        <v>173</v>
      </c>
      <c r="F154" s="54" t="s">
        <v>870</v>
      </c>
      <c r="G154" s="57" t="str">
        <f t="shared" si="1"/>
        <v>08-Jul-2024</v>
      </c>
      <c r="H154" s="54" t="s">
        <v>254</v>
      </c>
      <c r="I154" s="54" t="s">
        <v>871</v>
      </c>
      <c r="J154" s="27" t="str">
        <f t="shared" si="4"/>
        <v>11-Jul-2025</v>
      </c>
      <c r="K154" s="54" t="s">
        <v>872</v>
      </c>
      <c r="L154" s="27" t="str">
        <f t="shared" si="5"/>
        <v>02-Sep-2024</v>
      </c>
      <c r="M154" s="23" t="s">
        <v>15</v>
      </c>
      <c r="N154" s="23" t="s">
        <v>177</v>
      </c>
      <c r="O154" s="24"/>
      <c r="P154" s="54">
        <v>0.0</v>
      </c>
      <c r="Q154" s="58" t="s">
        <v>873</v>
      </c>
      <c r="R154" s="27" t="str">
        <f>IFERROR(__xludf.DUMMYFUNCTION("IF(REGEXMATCH(N154, ""PRIORITY: Low""), ""Low"", IF(REGEXMATCH(N154, ""PRIORITY: Medium""), ""Medium"", IF(REGEXMATCH(N154, ""PRIORITY: High""), ""High"", """")))
"),"")</f>
        <v/>
      </c>
      <c r="S154" s="27" t="str">
        <f>IFERROR(__xludf.DUMMYFUNCTION("IF(REGEXMATCH(N154, ""SKILL: Low""), ""Low"", IF(REGEXMATCH(N154, ""SKILL: Medium""), ""Medium"", IF(REGEXMATCH(N154, ""SKILL: High""), ""High"", """")))"),"")</f>
        <v/>
      </c>
      <c r="T154" s="27" t="str">
        <f>IFERROR(__xludf.DUMMYFUNCTION("IF(REGEXMATCH(N154, ""STATUS: Dev Complete - Awaiting QA""), ""Dev Complete - Awaiting QA"", IF(REGEXMATCH(N154, ""STATUS: Follow-Up Required""), ""Follow-Up Required"", IF(REGEXMATCH(N154, ""STATUS: In Progress""), ""In Progress"", IF(REGEXMATCH(N154, """&amp;"STATUS: In QA""), ""In QA"", IF(REGEXMATCH(N154, ""STATUS: Needs Customer Feedback""), ""Needs Customer Feedback"", IF(REGEXMATCH(N154, ""STATUS: QA Passed - Awaiting Release""), ""QA Passed - Awaiting Release"", IF(REGEXMATCH(N154, ""STATUS: Release to P"&amp;"rod""), ""Release to Prod"", """")))))))"),"")</f>
        <v/>
      </c>
    </row>
    <row r="155" hidden="1">
      <c r="A155" s="23" t="s">
        <v>82</v>
      </c>
      <c r="B155" s="12" t="s">
        <v>267</v>
      </c>
      <c r="C155" s="54">
        <v>226.0</v>
      </c>
      <c r="D155" s="55" t="s">
        <v>874</v>
      </c>
      <c r="E155" s="56" t="s">
        <v>173</v>
      </c>
      <c r="F155" s="54" t="s">
        <v>875</v>
      </c>
      <c r="G155" s="57" t="str">
        <f t="shared" si="1"/>
        <v>03-Jul-2024</v>
      </c>
      <c r="H155" s="54" t="s">
        <v>254</v>
      </c>
      <c r="I155" s="54" t="s">
        <v>876</v>
      </c>
      <c r="J155" s="27" t="str">
        <f t="shared" si="4"/>
        <v>11-Jul-2025</v>
      </c>
      <c r="K155" s="54" t="s">
        <v>877</v>
      </c>
      <c r="L155" s="27" t="str">
        <f t="shared" si="5"/>
        <v>03-Jul-2024</v>
      </c>
      <c r="M155" s="23" t="s">
        <v>15</v>
      </c>
      <c r="N155" s="23" t="s">
        <v>177</v>
      </c>
      <c r="O155" s="24"/>
      <c r="P155" s="54">
        <v>0.0</v>
      </c>
      <c r="Q155" s="58" t="s">
        <v>878</v>
      </c>
      <c r="R155" s="27" t="str">
        <f>IFERROR(__xludf.DUMMYFUNCTION("IF(REGEXMATCH(N155, ""PRIORITY: Low""), ""Low"", IF(REGEXMATCH(N155, ""PRIORITY: Medium""), ""Medium"", IF(REGEXMATCH(N155, ""PRIORITY: High""), ""High"", """")))
"),"")</f>
        <v/>
      </c>
      <c r="S155" s="27" t="str">
        <f>IFERROR(__xludf.DUMMYFUNCTION("IF(REGEXMATCH(N155, ""SKILL: Low""), ""Low"", IF(REGEXMATCH(N155, ""SKILL: Medium""), ""Medium"", IF(REGEXMATCH(N155, ""SKILL: High""), ""High"", """")))"),"")</f>
        <v/>
      </c>
      <c r="T155" s="27" t="str">
        <f>IFERROR(__xludf.DUMMYFUNCTION("IF(REGEXMATCH(N155, ""STATUS: Dev Complete - Awaiting QA""), ""Dev Complete - Awaiting QA"", IF(REGEXMATCH(N155, ""STATUS: Follow-Up Required""), ""Follow-Up Required"", IF(REGEXMATCH(N155, ""STATUS: In Progress""), ""In Progress"", IF(REGEXMATCH(N155, """&amp;"STATUS: In QA""), ""In QA"", IF(REGEXMATCH(N155, ""STATUS: Needs Customer Feedback""), ""Needs Customer Feedback"", IF(REGEXMATCH(N155, ""STATUS: QA Passed - Awaiting Release""), ""QA Passed - Awaiting Release"", IF(REGEXMATCH(N155, ""STATUS: Release to P"&amp;"rod""), ""Release to Prod"", """")))))))"),"")</f>
        <v/>
      </c>
    </row>
    <row r="156" hidden="1">
      <c r="A156" s="23" t="s">
        <v>82</v>
      </c>
      <c r="B156" s="12" t="s">
        <v>267</v>
      </c>
      <c r="C156" s="54">
        <v>225.0</v>
      </c>
      <c r="D156" s="55" t="s">
        <v>879</v>
      </c>
      <c r="E156" s="56" t="s">
        <v>173</v>
      </c>
      <c r="F156" s="54" t="s">
        <v>880</v>
      </c>
      <c r="G156" s="57" t="str">
        <f t="shared" si="1"/>
        <v>03-Jul-2024</v>
      </c>
      <c r="H156" s="54" t="s">
        <v>254</v>
      </c>
      <c r="I156" s="54" t="s">
        <v>876</v>
      </c>
      <c r="J156" s="27" t="str">
        <f t="shared" si="4"/>
        <v>11-Jul-2025</v>
      </c>
      <c r="K156" s="54" t="s">
        <v>881</v>
      </c>
      <c r="L156" s="27" t="str">
        <f t="shared" si="5"/>
        <v>03-Jul-2024</v>
      </c>
      <c r="M156" s="23" t="s">
        <v>15</v>
      </c>
      <c r="N156" s="23" t="s">
        <v>177</v>
      </c>
      <c r="O156" s="24"/>
      <c r="P156" s="54">
        <v>0.0</v>
      </c>
      <c r="Q156" s="58" t="s">
        <v>882</v>
      </c>
      <c r="R156" s="27" t="str">
        <f>IFERROR(__xludf.DUMMYFUNCTION("IF(REGEXMATCH(N156, ""PRIORITY: Low""), ""Low"", IF(REGEXMATCH(N156, ""PRIORITY: Medium""), ""Medium"", IF(REGEXMATCH(N156, ""PRIORITY: High""), ""High"", """")))
"),"")</f>
        <v/>
      </c>
      <c r="S156" s="27" t="str">
        <f>IFERROR(__xludf.DUMMYFUNCTION("IF(REGEXMATCH(N156, ""SKILL: Low""), ""Low"", IF(REGEXMATCH(N156, ""SKILL: Medium""), ""Medium"", IF(REGEXMATCH(N156, ""SKILL: High""), ""High"", """")))"),"")</f>
        <v/>
      </c>
      <c r="T156" s="27" t="str">
        <f>IFERROR(__xludf.DUMMYFUNCTION("IF(REGEXMATCH(N156, ""STATUS: Dev Complete - Awaiting QA""), ""Dev Complete - Awaiting QA"", IF(REGEXMATCH(N156, ""STATUS: Follow-Up Required""), ""Follow-Up Required"", IF(REGEXMATCH(N156, ""STATUS: In Progress""), ""In Progress"", IF(REGEXMATCH(N156, """&amp;"STATUS: In QA""), ""In QA"", IF(REGEXMATCH(N156, ""STATUS: Needs Customer Feedback""), ""Needs Customer Feedback"", IF(REGEXMATCH(N156, ""STATUS: QA Passed - Awaiting Release""), ""QA Passed - Awaiting Release"", IF(REGEXMATCH(N156, ""STATUS: Release to P"&amp;"rod""), ""Release to Prod"", """")))))))"),"")</f>
        <v/>
      </c>
    </row>
    <row r="157" hidden="1">
      <c r="A157" s="23" t="s">
        <v>82</v>
      </c>
      <c r="B157" s="12" t="s">
        <v>267</v>
      </c>
      <c r="C157" s="54">
        <v>224.0</v>
      </c>
      <c r="D157" s="55" t="s">
        <v>883</v>
      </c>
      <c r="E157" s="56" t="s">
        <v>173</v>
      </c>
      <c r="F157" s="54" t="s">
        <v>884</v>
      </c>
      <c r="G157" s="57" t="str">
        <f t="shared" si="1"/>
        <v>03-Jul-2024</v>
      </c>
      <c r="H157" s="54" t="s">
        <v>254</v>
      </c>
      <c r="I157" s="54" t="s">
        <v>885</v>
      </c>
      <c r="J157" s="27" t="str">
        <f t="shared" si="4"/>
        <v>11-Jul-2025</v>
      </c>
      <c r="K157" s="54" t="s">
        <v>886</v>
      </c>
      <c r="L157" s="27" t="str">
        <f t="shared" si="5"/>
        <v>09-Jul-2024</v>
      </c>
      <c r="M157" s="23" t="s">
        <v>15</v>
      </c>
      <c r="N157" s="23" t="s">
        <v>177</v>
      </c>
      <c r="O157" s="24"/>
      <c r="P157" s="54">
        <v>0.0</v>
      </c>
      <c r="Q157" s="58" t="s">
        <v>887</v>
      </c>
      <c r="R157" s="27" t="str">
        <f>IFERROR(__xludf.DUMMYFUNCTION("IF(REGEXMATCH(N157, ""PRIORITY: Low""), ""Low"", IF(REGEXMATCH(N157, ""PRIORITY: Medium""), ""Medium"", IF(REGEXMATCH(N157, ""PRIORITY: High""), ""High"", """")))
"),"")</f>
        <v/>
      </c>
      <c r="S157" s="27" t="str">
        <f>IFERROR(__xludf.DUMMYFUNCTION("IF(REGEXMATCH(N157, ""SKILL: Low""), ""Low"", IF(REGEXMATCH(N157, ""SKILL: Medium""), ""Medium"", IF(REGEXMATCH(N157, ""SKILL: High""), ""High"", """")))"),"")</f>
        <v/>
      </c>
      <c r="T157" s="27" t="str">
        <f>IFERROR(__xludf.DUMMYFUNCTION("IF(REGEXMATCH(N157, ""STATUS: Dev Complete - Awaiting QA""), ""Dev Complete - Awaiting QA"", IF(REGEXMATCH(N157, ""STATUS: Follow-Up Required""), ""Follow-Up Required"", IF(REGEXMATCH(N157, ""STATUS: In Progress""), ""In Progress"", IF(REGEXMATCH(N157, """&amp;"STATUS: In QA""), ""In QA"", IF(REGEXMATCH(N157, ""STATUS: Needs Customer Feedback""), ""Needs Customer Feedback"", IF(REGEXMATCH(N157, ""STATUS: QA Passed - Awaiting Release""), ""QA Passed - Awaiting Release"", IF(REGEXMATCH(N157, ""STATUS: Release to P"&amp;"rod""), ""Release to Prod"", """")))))))"),"")</f>
        <v/>
      </c>
    </row>
    <row r="158" hidden="1">
      <c r="A158" s="23" t="s">
        <v>82</v>
      </c>
      <c r="B158" s="12" t="s">
        <v>267</v>
      </c>
      <c r="C158" s="54">
        <v>221.0</v>
      </c>
      <c r="D158" s="55" t="s">
        <v>888</v>
      </c>
      <c r="E158" s="56" t="s">
        <v>173</v>
      </c>
      <c r="F158" s="54" t="s">
        <v>889</v>
      </c>
      <c r="G158" s="57" t="str">
        <f t="shared" si="1"/>
        <v>27-Jun-2024</v>
      </c>
      <c r="H158" s="54" t="s">
        <v>254</v>
      </c>
      <c r="I158" s="54" t="s">
        <v>890</v>
      </c>
      <c r="J158" s="27" t="str">
        <f t="shared" si="4"/>
        <v>11-Jul-2025</v>
      </c>
      <c r="K158" s="54" t="s">
        <v>891</v>
      </c>
      <c r="L158" s="27" t="str">
        <f t="shared" si="5"/>
        <v>02-Jul-2024</v>
      </c>
      <c r="M158" s="23" t="s">
        <v>15</v>
      </c>
      <c r="N158" s="23" t="s">
        <v>177</v>
      </c>
      <c r="O158" s="24"/>
      <c r="P158" s="54">
        <v>0.0</v>
      </c>
      <c r="Q158" s="58" t="s">
        <v>892</v>
      </c>
      <c r="R158" s="27" t="str">
        <f>IFERROR(__xludf.DUMMYFUNCTION("IF(REGEXMATCH(N158, ""PRIORITY: Low""), ""Low"", IF(REGEXMATCH(N158, ""PRIORITY: Medium""), ""Medium"", IF(REGEXMATCH(N158, ""PRIORITY: High""), ""High"", """")))
"),"")</f>
        <v/>
      </c>
      <c r="S158" s="27" t="str">
        <f>IFERROR(__xludf.DUMMYFUNCTION("IF(REGEXMATCH(N158, ""SKILL: Low""), ""Low"", IF(REGEXMATCH(N158, ""SKILL: Medium""), ""Medium"", IF(REGEXMATCH(N158, ""SKILL: High""), ""High"", """")))"),"")</f>
        <v/>
      </c>
      <c r="T158" s="27" t="str">
        <f>IFERROR(__xludf.DUMMYFUNCTION("IF(REGEXMATCH(N158, ""STATUS: Dev Complete - Awaiting QA""), ""Dev Complete - Awaiting QA"", IF(REGEXMATCH(N158, ""STATUS: Follow-Up Required""), ""Follow-Up Required"", IF(REGEXMATCH(N158, ""STATUS: In Progress""), ""In Progress"", IF(REGEXMATCH(N158, """&amp;"STATUS: In QA""), ""In QA"", IF(REGEXMATCH(N158, ""STATUS: Needs Customer Feedback""), ""Needs Customer Feedback"", IF(REGEXMATCH(N158, ""STATUS: QA Passed - Awaiting Release""), ""QA Passed - Awaiting Release"", IF(REGEXMATCH(N158, ""STATUS: Release to P"&amp;"rod""), ""Release to Prod"", """")))))))"),"")</f>
        <v/>
      </c>
    </row>
    <row r="159" hidden="1">
      <c r="A159" s="23" t="s">
        <v>82</v>
      </c>
      <c r="B159" s="12" t="s">
        <v>267</v>
      </c>
      <c r="C159" s="54">
        <v>220.0</v>
      </c>
      <c r="D159" s="55" t="s">
        <v>893</v>
      </c>
      <c r="E159" s="56" t="s">
        <v>173</v>
      </c>
      <c r="F159" s="54" t="s">
        <v>894</v>
      </c>
      <c r="G159" s="57" t="str">
        <f t="shared" si="1"/>
        <v>27-Jun-2024</v>
      </c>
      <c r="H159" s="54" t="s">
        <v>254</v>
      </c>
      <c r="I159" s="54" t="s">
        <v>895</v>
      </c>
      <c r="J159" s="27" t="str">
        <f t="shared" si="4"/>
        <v>11-Jul-2025</v>
      </c>
      <c r="K159" s="54" t="s">
        <v>896</v>
      </c>
      <c r="L159" s="27" t="str">
        <f t="shared" si="5"/>
        <v>23-Oct-2024</v>
      </c>
      <c r="M159" s="23" t="s">
        <v>15</v>
      </c>
      <c r="N159" s="23" t="s">
        <v>177</v>
      </c>
      <c r="O159" s="24"/>
      <c r="P159" s="54">
        <v>0.0</v>
      </c>
      <c r="Q159" s="58" t="s">
        <v>897</v>
      </c>
      <c r="R159" s="27" t="str">
        <f>IFERROR(__xludf.DUMMYFUNCTION("IF(REGEXMATCH(N159, ""PRIORITY: Low""), ""Low"", IF(REGEXMATCH(N159, ""PRIORITY: Medium""), ""Medium"", IF(REGEXMATCH(N159, ""PRIORITY: High""), ""High"", """")))
"),"")</f>
        <v/>
      </c>
      <c r="S159" s="27" t="str">
        <f>IFERROR(__xludf.DUMMYFUNCTION("IF(REGEXMATCH(N159, ""SKILL: Low""), ""Low"", IF(REGEXMATCH(N159, ""SKILL: Medium""), ""Medium"", IF(REGEXMATCH(N159, ""SKILL: High""), ""High"", """")))"),"")</f>
        <v/>
      </c>
      <c r="T159" s="27" t="str">
        <f>IFERROR(__xludf.DUMMYFUNCTION("IF(REGEXMATCH(N159, ""STATUS: Dev Complete - Awaiting QA""), ""Dev Complete - Awaiting QA"", IF(REGEXMATCH(N159, ""STATUS: Follow-Up Required""), ""Follow-Up Required"", IF(REGEXMATCH(N159, ""STATUS: In Progress""), ""In Progress"", IF(REGEXMATCH(N159, """&amp;"STATUS: In QA""), ""In QA"", IF(REGEXMATCH(N159, ""STATUS: Needs Customer Feedback""), ""Needs Customer Feedback"", IF(REGEXMATCH(N159, ""STATUS: QA Passed - Awaiting Release""), ""QA Passed - Awaiting Release"", IF(REGEXMATCH(N159, ""STATUS: Release to P"&amp;"rod""), ""Release to Prod"", """")))))))"),"")</f>
        <v/>
      </c>
    </row>
    <row r="160" hidden="1">
      <c r="A160" s="23" t="s">
        <v>82</v>
      </c>
      <c r="B160" s="12" t="s">
        <v>267</v>
      </c>
      <c r="C160" s="54">
        <v>219.0</v>
      </c>
      <c r="D160" s="55" t="s">
        <v>898</v>
      </c>
      <c r="E160" s="56" t="s">
        <v>173</v>
      </c>
      <c r="F160" s="54" t="s">
        <v>899</v>
      </c>
      <c r="G160" s="57" t="str">
        <f t="shared" si="1"/>
        <v>27-Jun-2024</v>
      </c>
      <c r="H160" s="54" t="s">
        <v>254</v>
      </c>
      <c r="I160" s="54" t="s">
        <v>900</v>
      </c>
      <c r="J160" s="27" t="str">
        <f t="shared" si="4"/>
        <v>11-Jul-2025</v>
      </c>
      <c r="K160" s="54" t="s">
        <v>901</v>
      </c>
      <c r="L160" s="27" t="str">
        <f t="shared" si="5"/>
        <v>23-Oct-2024</v>
      </c>
      <c r="M160" s="23" t="s">
        <v>15</v>
      </c>
      <c r="N160" s="23" t="s">
        <v>177</v>
      </c>
      <c r="O160" s="24"/>
      <c r="P160" s="54">
        <v>0.0</v>
      </c>
      <c r="Q160" s="58" t="s">
        <v>902</v>
      </c>
      <c r="R160" s="27" t="str">
        <f>IFERROR(__xludf.DUMMYFUNCTION("IF(REGEXMATCH(N160, ""PRIORITY: Low""), ""Low"", IF(REGEXMATCH(N160, ""PRIORITY: Medium""), ""Medium"", IF(REGEXMATCH(N160, ""PRIORITY: High""), ""High"", """")))
"),"")</f>
        <v/>
      </c>
      <c r="S160" s="27" t="str">
        <f>IFERROR(__xludf.DUMMYFUNCTION("IF(REGEXMATCH(N160, ""SKILL: Low""), ""Low"", IF(REGEXMATCH(N160, ""SKILL: Medium""), ""Medium"", IF(REGEXMATCH(N160, ""SKILL: High""), ""High"", """")))"),"")</f>
        <v/>
      </c>
      <c r="T160" s="27" t="str">
        <f>IFERROR(__xludf.DUMMYFUNCTION("IF(REGEXMATCH(N160, ""STATUS: Dev Complete - Awaiting QA""), ""Dev Complete - Awaiting QA"", IF(REGEXMATCH(N160, ""STATUS: Follow-Up Required""), ""Follow-Up Required"", IF(REGEXMATCH(N160, ""STATUS: In Progress""), ""In Progress"", IF(REGEXMATCH(N160, """&amp;"STATUS: In QA""), ""In QA"", IF(REGEXMATCH(N160, ""STATUS: Needs Customer Feedback""), ""Needs Customer Feedback"", IF(REGEXMATCH(N160, ""STATUS: QA Passed - Awaiting Release""), ""QA Passed - Awaiting Release"", IF(REGEXMATCH(N160, ""STATUS: Release to P"&amp;"rod""), ""Release to Prod"", """")))))))"),"")</f>
        <v/>
      </c>
    </row>
    <row r="161" hidden="1">
      <c r="A161" s="23" t="s">
        <v>82</v>
      </c>
      <c r="B161" s="12" t="s">
        <v>267</v>
      </c>
      <c r="C161" s="54">
        <v>218.0</v>
      </c>
      <c r="D161" s="55" t="s">
        <v>903</v>
      </c>
      <c r="E161" s="56" t="s">
        <v>173</v>
      </c>
      <c r="F161" s="54" t="s">
        <v>904</v>
      </c>
      <c r="G161" s="57" t="str">
        <f t="shared" si="1"/>
        <v>25-Jun-2024</v>
      </c>
      <c r="H161" s="54" t="s">
        <v>254</v>
      </c>
      <c r="I161" s="54" t="s">
        <v>900</v>
      </c>
      <c r="J161" s="27" t="str">
        <f t="shared" si="4"/>
        <v>11-Jul-2025</v>
      </c>
      <c r="K161" s="54" t="s">
        <v>905</v>
      </c>
      <c r="L161" s="27" t="str">
        <f t="shared" si="5"/>
        <v>03-Jul-2024</v>
      </c>
      <c r="M161" s="23" t="s">
        <v>15</v>
      </c>
      <c r="N161" s="23" t="s">
        <v>177</v>
      </c>
      <c r="O161" s="24"/>
      <c r="P161" s="54">
        <v>0.0</v>
      </c>
      <c r="Q161" s="58" t="s">
        <v>906</v>
      </c>
      <c r="R161" s="27" t="str">
        <f>IFERROR(__xludf.DUMMYFUNCTION("IF(REGEXMATCH(N161, ""PRIORITY: Low""), ""Low"", IF(REGEXMATCH(N161, ""PRIORITY: Medium""), ""Medium"", IF(REGEXMATCH(N161, ""PRIORITY: High""), ""High"", """")))
"),"")</f>
        <v/>
      </c>
      <c r="S161" s="27" t="str">
        <f>IFERROR(__xludf.DUMMYFUNCTION("IF(REGEXMATCH(N161, ""SKILL: Low""), ""Low"", IF(REGEXMATCH(N161, ""SKILL: Medium""), ""Medium"", IF(REGEXMATCH(N161, ""SKILL: High""), ""High"", """")))"),"")</f>
        <v/>
      </c>
      <c r="T161" s="27" t="str">
        <f>IFERROR(__xludf.DUMMYFUNCTION("IF(REGEXMATCH(N161, ""STATUS: Dev Complete - Awaiting QA""), ""Dev Complete - Awaiting QA"", IF(REGEXMATCH(N161, ""STATUS: Follow-Up Required""), ""Follow-Up Required"", IF(REGEXMATCH(N161, ""STATUS: In Progress""), ""In Progress"", IF(REGEXMATCH(N161, """&amp;"STATUS: In QA""), ""In QA"", IF(REGEXMATCH(N161, ""STATUS: Needs Customer Feedback""), ""Needs Customer Feedback"", IF(REGEXMATCH(N161, ""STATUS: QA Passed - Awaiting Release""), ""QA Passed - Awaiting Release"", IF(REGEXMATCH(N161, ""STATUS: Release to P"&amp;"rod""), ""Release to Prod"", """")))))))"),"")</f>
        <v/>
      </c>
    </row>
    <row r="162" hidden="1">
      <c r="A162" s="23" t="s">
        <v>82</v>
      </c>
      <c r="B162" s="12" t="s">
        <v>267</v>
      </c>
      <c r="C162" s="54">
        <v>217.0</v>
      </c>
      <c r="D162" s="55" t="s">
        <v>907</v>
      </c>
      <c r="E162" s="56" t="s">
        <v>173</v>
      </c>
      <c r="F162" s="54" t="s">
        <v>908</v>
      </c>
      <c r="G162" s="57" t="str">
        <f t="shared" si="1"/>
        <v>25-Jun-2024</v>
      </c>
      <c r="H162" s="54" t="s">
        <v>254</v>
      </c>
      <c r="I162" s="54" t="s">
        <v>909</v>
      </c>
      <c r="J162" s="27" t="str">
        <f t="shared" si="4"/>
        <v>11-Jul-2025</v>
      </c>
      <c r="K162" s="54" t="s">
        <v>910</v>
      </c>
      <c r="L162" s="27" t="str">
        <f t="shared" si="5"/>
        <v>02-Jul-2024</v>
      </c>
      <c r="M162" s="23" t="s">
        <v>15</v>
      </c>
      <c r="N162" s="23" t="s">
        <v>177</v>
      </c>
      <c r="O162" s="24"/>
      <c r="P162" s="54">
        <v>0.0</v>
      </c>
      <c r="Q162" s="58" t="s">
        <v>911</v>
      </c>
      <c r="R162" s="27" t="str">
        <f>IFERROR(__xludf.DUMMYFUNCTION("IF(REGEXMATCH(N162, ""PRIORITY: Low""), ""Low"", IF(REGEXMATCH(N162, ""PRIORITY: Medium""), ""Medium"", IF(REGEXMATCH(N162, ""PRIORITY: High""), ""High"", """")))
"),"")</f>
        <v/>
      </c>
      <c r="S162" s="27" t="str">
        <f>IFERROR(__xludf.DUMMYFUNCTION("IF(REGEXMATCH(N162, ""SKILL: Low""), ""Low"", IF(REGEXMATCH(N162, ""SKILL: Medium""), ""Medium"", IF(REGEXMATCH(N162, ""SKILL: High""), ""High"", """")))"),"")</f>
        <v/>
      </c>
      <c r="T162" s="27" t="str">
        <f>IFERROR(__xludf.DUMMYFUNCTION("IF(REGEXMATCH(N162, ""STATUS: Dev Complete - Awaiting QA""), ""Dev Complete - Awaiting QA"", IF(REGEXMATCH(N162, ""STATUS: Follow-Up Required""), ""Follow-Up Required"", IF(REGEXMATCH(N162, ""STATUS: In Progress""), ""In Progress"", IF(REGEXMATCH(N162, """&amp;"STATUS: In QA""), ""In QA"", IF(REGEXMATCH(N162, ""STATUS: Needs Customer Feedback""), ""Needs Customer Feedback"", IF(REGEXMATCH(N162, ""STATUS: QA Passed - Awaiting Release""), ""QA Passed - Awaiting Release"", IF(REGEXMATCH(N162, ""STATUS: Release to P"&amp;"rod""), ""Release to Prod"", """")))))))"),"")</f>
        <v/>
      </c>
    </row>
    <row r="163" hidden="1">
      <c r="A163" s="23" t="s">
        <v>82</v>
      </c>
      <c r="B163" s="12" t="s">
        <v>267</v>
      </c>
      <c r="C163" s="54">
        <v>215.0</v>
      </c>
      <c r="D163" s="55" t="s">
        <v>912</v>
      </c>
      <c r="E163" s="56" t="s">
        <v>173</v>
      </c>
      <c r="F163" s="54" t="s">
        <v>913</v>
      </c>
      <c r="G163" s="57" t="str">
        <f t="shared" si="1"/>
        <v>25-Jun-2024</v>
      </c>
      <c r="H163" s="54" t="s">
        <v>254</v>
      </c>
      <c r="I163" s="54" t="s">
        <v>914</v>
      </c>
      <c r="J163" s="27" t="str">
        <f t="shared" si="4"/>
        <v>11-Jul-2025</v>
      </c>
      <c r="K163" s="54" t="s">
        <v>915</v>
      </c>
      <c r="L163" s="27" t="str">
        <f t="shared" si="5"/>
        <v>02-Jul-2024</v>
      </c>
      <c r="M163" s="23" t="s">
        <v>15</v>
      </c>
      <c r="N163" s="23" t="s">
        <v>177</v>
      </c>
      <c r="O163" s="24"/>
      <c r="P163" s="54">
        <v>0.0</v>
      </c>
      <c r="Q163" s="58" t="s">
        <v>916</v>
      </c>
      <c r="R163" s="27" t="str">
        <f>IFERROR(__xludf.DUMMYFUNCTION("IF(REGEXMATCH(N163, ""PRIORITY: Low""), ""Low"", IF(REGEXMATCH(N163, ""PRIORITY: Medium""), ""Medium"", IF(REGEXMATCH(N163, ""PRIORITY: High""), ""High"", """")))
"),"")</f>
        <v/>
      </c>
      <c r="S163" s="27" t="str">
        <f>IFERROR(__xludf.DUMMYFUNCTION("IF(REGEXMATCH(N163, ""SKILL: Low""), ""Low"", IF(REGEXMATCH(N163, ""SKILL: Medium""), ""Medium"", IF(REGEXMATCH(N163, ""SKILL: High""), ""High"", """")))"),"")</f>
        <v/>
      </c>
      <c r="T163" s="27" t="str">
        <f>IFERROR(__xludf.DUMMYFUNCTION("IF(REGEXMATCH(N163, ""STATUS: Dev Complete - Awaiting QA""), ""Dev Complete - Awaiting QA"", IF(REGEXMATCH(N163, ""STATUS: Follow-Up Required""), ""Follow-Up Required"", IF(REGEXMATCH(N163, ""STATUS: In Progress""), ""In Progress"", IF(REGEXMATCH(N163, """&amp;"STATUS: In QA""), ""In QA"", IF(REGEXMATCH(N163, ""STATUS: Needs Customer Feedback""), ""Needs Customer Feedback"", IF(REGEXMATCH(N163, ""STATUS: QA Passed - Awaiting Release""), ""QA Passed - Awaiting Release"", IF(REGEXMATCH(N163, ""STATUS: Release to P"&amp;"rod""), ""Release to Prod"", """")))))))"),"")</f>
        <v/>
      </c>
    </row>
    <row r="164" hidden="1">
      <c r="A164" s="23" t="s">
        <v>82</v>
      </c>
      <c r="B164" s="12" t="s">
        <v>267</v>
      </c>
      <c r="C164" s="54">
        <v>202.0</v>
      </c>
      <c r="D164" s="55" t="s">
        <v>917</v>
      </c>
      <c r="E164" s="56" t="s">
        <v>173</v>
      </c>
      <c r="F164" s="54" t="s">
        <v>918</v>
      </c>
      <c r="G164" s="57" t="str">
        <f t="shared" si="1"/>
        <v>24-Jun-2024</v>
      </c>
      <c r="H164" s="54" t="s">
        <v>254</v>
      </c>
      <c r="I164" s="54" t="s">
        <v>919</v>
      </c>
      <c r="J164" s="27" t="str">
        <f t="shared" si="4"/>
        <v>11-Jul-2025</v>
      </c>
      <c r="K164" s="54" t="s">
        <v>920</v>
      </c>
      <c r="L164" s="27" t="str">
        <f t="shared" si="5"/>
        <v>24-Jun-2024</v>
      </c>
      <c r="M164" s="23" t="s">
        <v>15</v>
      </c>
      <c r="N164" s="23" t="s">
        <v>177</v>
      </c>
      <c r="O164" s="24"/>
      <c r="P164" s="54">
        <v>0.0</v>
      </c>
      <c r="Q164" s="58" t="s">
        <v>921</v>
      </c>
      <c r="R164" s="27" t="str">
        <f>IFERROR(__xludf.DUMMYFUNCTION("IF(REGEXMATCH(N164, ""PRIORITY: Low""), ""Low"", IF(REGEXMATCH(N164, ""PRIORITY: Medium""), ""Medium"", IF(REGEXMATCH(N164, ""PRIORITY: High""), ""High"", """")))
"),"")</f>
        <v/>
      </c>
      <c r="S164" s="27" t="str">
        <f>IFERROR(__xludf.DUMMYFUNCTION("IF(REGEXMATCH(N164, ""SKILL: Low""), ""Low"", IF(REGEXMATCH(N164, ""SKILL: Medium""), ""Medium"", IF(REGEXMATCH(N164, ""SKILL: High""), ""High"", """")))"),"")</f>
        <v/>
      </c>
      <c r="T164" s="27" t="str">
        <f>IFERROR(__xludf.DUMMYFUNCTION("IF(REGEXMATCH(N164, ""STATUS: Dev Complete - Awaiting QA""), ""Dev Complete - Awaiting QA"", IF(REGEXMATCH(N164, ""STATUS: Follow-Up Required""), ""Follow-Up Required"", IF(REGEXMATCH(N164, ""STATUS: In Progress""), ""In Progress"", IF(REGEXMATCH(N164, """&amp;"STATUS: In QA""), ""In QA"", IF(REGEXMATCH(N164, ""STATUS: Needs Customer Feedback""), ""Needs Customer Feedback"", IF(REGEXMATCH(N164, ""STATUS: QA Passed - Awaiting Release""), ""QA Passed - Awaiting Release"", IF(REGEXMATCH(N164, ""STATUS: Release to P"&amp;"rod""), ""Release to Prod"", """")))))))"),"")</f>
        <v/>
      </c>
    </row>
    <row r="165" hidden="1">
      <c r="A165" s="23" t="s">
        <v>82</v>
      </c>
      <c r="B165" s="12" t="s">
        <v>267</v>
      </c>
      <c r="C165" s="54">
        <v>201.0</v>
      </c>
      <c r="D165" s="55" t="s">
        <v>922</v>
      </c>
      <c r="E165" s="56" t="s">
        <v>173</v>
      </c>
      <c r="F165" s="54" t="s">
        <v>923</v>
      </c>
      <c r="G165" s="57" t="str">
        <f t="shared" si="1"/>
        <v>24-Jun-2024</v>
      </c>
      <c r="H165" s="54" t="s">
        <v>254</v>
      </c>
      <c r="I165" s="54" t="s">
        <v>924</v>
      </c>
      <c r="J165" s="27" t="str">
        <f t="shared" si="4"/>
        <v>11-Jul-2025</v>
      </c>
      <c r="K165" s="54" t="s">
        <v>925</v>
      </c>
      <c r="L165" s="27" t="str">
        <f t="shared" si="5"/>
        <v>25-Jun-2024</v>
      </c>
      <c r="M165" s="23" t="s">
        <v>15</v>
      </c>
      <c r="N165" s="23" t="s">
        <v>177</v>
      </c>
      <c r="O165" s="23" t="s">
        <v>37</v>
      </c>
      <c r="P165" s="54">
        <v>0.0</v>
      </c>
      <c r="Q165" s="58" t="s">
        <v>926</v>
      </c>
      <c r="R165" s="27" t="str">
        <f>IFERROR(__xludf.DUMMYFUNCTION("IF(REGEXMATCH(N165, ""PRIORITY: Low""), ""Low"", IF(REGEXMATCH(N165, ""PRIORITY: Medium""), ""Medium"", IF(REGEXMATCH(N165, ""PRIORITY: High""), ""High"", """")))
"),"")</f>
        <v/>
      </c>
      <c r="S165" s="27" t="str">
        <f>IFERROR(__xludf.DUMMYFUNCTION("IF(REGEXMATCH(N165, ""SKILL: Low""), ""Low"", IF(REGEXMATCH(N165, ""SKILL: Medium""), ""Medium"", IF(REGEXMATCH(N165, ""SKILL: High""), ""High"", """")))"),"")</f>
        <v/>
      </c>
      <c r="T165" s="27" t="str">
        <f>IFERROR(__xludf.DUMMYFUNCTION("IF(REGEXMATCH(N165, ""STATUS: Dev Complete - Awaiting QA""), ""Dev Complete - Awaiting QA"", IF(REGEXMATCH(N165, ""STATUS: Follow-Up Required""), ""Follow-Up Required"", IF(REGEXMATCH(N165, ""STATUS: In Progress""), ""In Progress"", IF(REGEXMATCH(N165, """&amp;"STATUS: In QA""), ""In QA"", IF(REGEXMATCH(N165, ""STATUS: Needs Customer Feedback""), ""Needs Customer Feedback"", IF(REGEXMATCH(N165, ""STATUS: QA Passed - Awaiting Release""), ""QA Passed - Awaiting Release"", IF(REGEXMATCH(N165, ""STATUS: Release to P"&amp;"rod""), ""Release to Prod"", """")))))))"),"")</f>
        <v/>
      </c>
    </row>
    <row r="166" hidden="1">
      <c r="A166" s="23" t="s">
        <v>82</v>
      </c>
      <c r="B166" s="12" t="s">
        <v>267</v>
      </c>
      <c r="C166" s="54">
        <v>199.0</v>
      </c>
      <c r="D166" s="55" t="s">
        <v>927</v>
      </c>
      <c r="E166" s="56" t="s">
        <v>173</v>
      </c>
      <c r="F166" s="54" t="s">
        <v>928</v>
      </c>
      <c r="G166" s="57" t="str">
        <f t="shared" si="1"/>
        <v>24-Jun-2024</v>
      </c>
      <c r="H166" s="54" t="s">
        <v>254</v>
      </c>
      <c r="I166" s="54" t="s">
        <v>929</v>
      </c>
      <c r="J166" s="27" t="str">
        <f t="shared" si="4"/>
        <v>11-Jul-2025</v>
      </c>
      <c r="K166" s="54" t="s">
        <v>930</v>
      </c>
      <c r="L166" s="27" t="str">
        <f t="shared" si="5"/>
        <v>02-Jul-2024</v>
      </c>
      <c r="M166" s="23" t="s">
        <v>15</v>
      </c>
      <c r="N166" s="23" t="s">
        <v>177</v>
      </c>
      <c r="O166" s="24"/>
      <c r="P166" s="54">
        <v>0.0</v>
      </c>
      <c r="Q166" s="58" t="s">
        <v>931</v>
      </c>
      <c r="R166" s="27" t="str">
        <f>IFERROR(__xludf.DUMMYFUNCTION("IF(REGEXMATCH(N166, ""PRIORITY: Low""), ""Low"", IF(REGEXMATCH(N166, ""PRIORITY: Medium""), ""Medium"", IF(REGEXMATCH(N166, ""PRIORITY: High""), ""High"", """")))
"),"")</f>
        <v/>
      </c>
      <c r="S166" s="27" t="str">
        <f>IFERROR(__xludf.DUMMYFUNCTION("IF(REGEXMATCH(N166, ""SKILL: Low""), ""Low"", IF(REGEXMATCH(N166, ""SKILL: Medium""), ""Medium"", IF(REGEXMATCH(N166, ""SKILL: High""), ""High"", """")))"),"")</f>
        <v/>
      </c>
      <c r="T166" s="27" t="str">
        <f>IFERROR(__xludf.DUMMYFUNCTION("IF(REGEXMATCH(N166, ""STATUS: Dev Complete - Awaiting QA""), ""Dev Complete - Awaiting QA"", IF(REGEXMATCH(N166, ""STATUS: Follow-Up Required""), ""Follow-Up Required"", IF(REGEXMATCH(N166, ""STATUS: In Progress""), ""In Progress"", IF(REGEXMATCH(N166, """&amp;"STATUS: In QA""), ""In QA"", IF(REGEXMATCH(N166, ""STATUS: Needs Customer Feedback""), ""Needs Customer Feedback"", IF(REGEXMATCH(N166, ""STATUS: QA Passed - Awaiting Release""), ""QA Passed - Awaiting Release"", IF(REGEXMATCH(N166, ""STATUS: Release to P"&amp;"rod""), ""Release to Prod"", """")))))))"),"")</f>
        <v/>
      </c>
    </row>
    <row r="167" hidden="1">
      <c r="A167" s="23" t="s">
        <v>82</v>
      </c>
      <c r="B167" s="12" t="s">
        <v>267</v>
      </c>
      <c r="C167" s="54">
        <v>198.0</v>
      </c>
      <c r="D167" s="55" t="s">
        <v>932</v>
      </c>
      <c r="E167" s="56" t="s">
        <v>173</v>
      </c>
      <c r="F167" s="54" t="s">
        <v>933</v>
      </c>
      <c r="G167" s="57" t="str">
        <f t="shared" si="1"/>
        <v>24-Jun-2024</v>
      </c>
      <c r="H167" s="54" t="s">
        <v>254</v>
      </c>
      <c r="I167" s="54" t="s">
        <v>934</v>
      </c>
      <c r="J167" s="27" t="str">
        <f t="shared" si="4"/>
        <v>11-Jul-2025</v>
      </c>
      <c r="K167" s="54" t="s">
        <v>935</v>
      </c>
      <c r="L167" s="27" t="str">
        <f t="shared" si="5"/>
        <v>24-Jun-2024</v>
      </c>
      <c r="M167" s="23" t="s">
        <v>15</v>
      </c>
      <c r="N167" s="23" t="s">
        <v>177</v>
      </c>
      <c r="O167" s="24"/>
      <c r="P167" s="54">
        <v>0.0</v>
      </c>
      <c r="Q167" s="58" t="s">
        <v>936</v>
      </c>
      <c r="R167" s="27" t="str">
        <f>IFERROR(__xludf.DUMMYFUNCTION("IF(REGEXMATCH(N167, ""PRIORITY: Low""), ""Low"", IF(REGEXMATCH(N167, ""PRIORITY: Medium""), ""Medium"", IF(REGEXMATCH(N167, ""PRIORITY: High""), ""High"", """")))
"),"")</f>
        <v/>
      </c>
      <c r="S167" s="27" t="str">
        <f>IFERROR(__xludf.DUMMYFUNCTION("IF(REGEXMATCH(N167, ""SKILL: Low""), ""Low"", IF(REGEXMATCH(N167, ""SKILL: Medium""), ""Medium"", IF(REGEXMATCH(N167, ""SKILL: High""), ""High"", """")))"),"")</f>
        <v/>
      </c>
      <c r="T167" s="27" t="str">
        <f>IFERROR(__xludf.DUMMYFUNCTION("IF(REGEXMATCH(N167, ""STATUS: Dev Complete - Awaiting QA""), ""Dev Complete - Awaiting QA"", IF(REGEXMATCH(N167, ""STATUS: Follow-Up Required""), ""Follow-Up Required"", IF(REGEXMATCH(N167, ""STATUS: In Progress""), ""In Progress"", IF(REGEXMATCH(N167, """&amp;"STATUS: In QA""), ""In QA"", IF(REGEXMATCH(N167, ""STATUS: Needs Customer Feedback""), ""Needs Customer Feedback"", IF(REGEXMATCH(N167, ""STATUS: QA Passed - Awaiting Release""), ""QA Passed - Awaiting Release"", IF(REGEXMATCH(N167, ""STATUS: Release to P"&amp;"rod""), ""Release to Prod"", """")))))))"),"")</f>
        <v/>
      </c>
    </row>
    <row r="168" hidden="1">
      <c r="A168" s="23" t="s">
        <v>82</v>
      </c>
      <c r="B168" s="12" t="s">
        <v>267</v>
      </c>
      <c r="C168" s="54">
        <v>197.0</v>
      </c>
      <c r="D168" s="55" t="s">
        <v>937</v>
      </c>
      <c r="E168" s="56" t="s">
        <v>173</v>
      </c>
      <c r="F168" s="54" t="s">
        <v>938</v>
      </c>
      <c r="G168" s="57" t="str">
        <f t="shared" si="1"/>
        <v>24-Jun-2024</v>
      </c>
      <c r="H168" s="54" t="s">
        <v>254</v>
      </c>
      <c r="I168" s="54" t="s">
        <v>939</v>
      </c>
      <c r="J168" s="27" t="str">
        <f t="shared" si="4"/>
        <v>11-Jul-2025</v>
      </c>
      <c r="K168" s="54" t="s">
        <v>940</v>
      </c>
      <c r="L168" s="27" t="str">
        <f t="shared" si="5"/>
        <v>24-Jun-2024</v>
      </c>
      <c r="M168" s="23" t="s">
        <v>15</v>
      </c>
      <c r="N168" s="23" t="s">
        <v>177</v>
      </c>
      <c r="O168" s="24"/>
      <c r="P168" s="54">
        <v>0.0</v>
      </c>
      <c r="Q168" s="58" t="s">
        <v>941</v>
      </c>
      <c r="R168" s="27" t="str">
        <f>IFERROR(__xludf.DUMMYFUNCTION("IF(REGEXMATCH(N168, ""PRIORITY: Low""), ""Low"", IF(REGEXMATCH(N168, ""PRIORITY: Medium""), ""Medium"", IF(REGEXMATCH(N168, ""PRIORITY: High""), ""High"", """")))
"),"")</f>
        <v/>
      </c>
      <c r="S168" s="27" t="str">
        <f>IFERROR(__xludf.DUMMYFUNCTION("IF(REGEXMATCH(N168, ""SKILL: Low""), ""Low"", IF(REGEXMATCH(N168, ""SKILL: Medium""), ""Medium"", IF(REGEXMATCH(N168, ""SKILL: High""), ""High"", """")))"),"")</f>
        <v/>
      </c>
      <c r="T168" s="27" t="str">
        <f>IFERROR(__xludf.DUMMYFUNCTION("IF(REGEXMATCH(N168, ""STATUS: Dev Complete - Awaiting QA""), ""Dev Complete - Awaiting QA"", IF(REGEXMATCH(N168, ""STATUS: Follow-Up Required""), ""Follow-Up Required"", IF(REGEXMATCH(N168, ""STATUS: In Progress""), ""In Progress"", IF(REGEXMATCH(N168, """&amp;"STATUS: In QA""), ""In QA"", IF(REGEXMATCH(N168, ""STATUS: Needs Customer Feedback""), ""Needs Customer Feedback"", IF(REGEXMATCH(N168, ""STATUS: QA Passed - Awaiting Release""), ""QA Passed - Awaiting Release"", IF(REGEXMATCH(N168, ""STATUS: Release to P"&amp;"rod""), ""Release to Prod"", """")))))))"),"")</f>
        <v/>
      </c>
    </row>
    <row r="169" hidden="1">
      <c r="A169" s="23" t="s">
        <v>82</v>
      </c>
      <c r="B169" s="12" t="s">
        <v>267</v>
      </c>
      <c r="C169" s="54">
        <v>196.0</v>
      </c>
      <c r="D169" s="55" t="s">
        <v>942</v>
      </c>
      <c r="E169" s="56" t="s">
        <v>173</v>
      </c>
      <c r="F169" s="54" t="s">
        <v>943</v>
      </c>
      <c r="G169" s="57" t="str">
        <f t="shared" si="1"/>
        <v>24-Jun-2024</v>
      </c>
      <c r="H169" s="54" t="s">
        <v>254</v>
      </c>
      <c r="I169" s="54" t="s">
        <v>944</v>
      </c>
      <c r="J169" s="27" t="str">
        <f t="shared" si="4"/>
        <v>11-Jul-2025</v>
      </c>
      <c r="K169" s="54" t="s">
        <v>945</v>
      </c>
      <c r="L169" s="27" t="str">
        <f t="shared" si="5"/>
        <v>24-Jun-2024</v>
      </c>
      <c r="M169" s="23" t="s">
        <v>15</v>
      </c>
      <c r="N169" s="23" t="s">
        <v>177</v>
      </c>
      <c r="O169" s="24"/>
      <c r="P169" s="54">
        <v>0.0</v>
      </c>
      <c r="Q169" s="58" t="s">
        <v>946</v>
      </c>
      <c r="R169" s="27" t="str">
        <f>IFERROR(__xludf.DUMMYFUNCTION("IF(REGEXMATCH(N169, ""PRIORITY: Low""), ""Low"", IF(REGEXMATCH(N169, ""PRIORITY: Medium""), ""Medium"", IF(REGEXMATCH(N169, ""PRIORITY: High""), ""High"", """")))
"),"")</f>
        <v/>
      </c>
      <c r="S169" s="27" t="str">
        <f>IFERROR(__xludf.DUMMYFUNCTION("IF(REGEXMATCH(N169, ""SKILL: Low""), ""Low"", IF(REGEXMATCH(N169, ""SKILL: Medium""), ""Medium"", IF(REGEXMATCH(N169, ""SKILL: High""), ""High"", """")))"),"")</f>
        <v/>
      </c>
      <c r="T169" s="27" t="str">
        <f>IFERROR(__xludf.DUMMYFUNCTION("IF(REGEXMATCH(N169, ""STATUS: Dev Complete - Awaiting QA""), ""Dev Complete - Awaiting QA"", IF(REGEXMATCH(N169, ""STATUS: Follow-Up Required""), ""Follow-Up Required"", IF(REGEXMATCH(N169, ""STATUS: In Progress""), ""In Progress"", IF(REGEXMATCH(N169, """&amp;"STATUS: In QA""), ""In QA"", IF(REGEXMATCH(N169, ""STATUS: Needs Customer Feedback""), ""Needs Customer Feedback"", IF(REGEXMATCH(N169, ""STATUS: QA Passed - Awaiting Release""), ""QA Passed - Awaiting Release"", IF(REGEXMATCH(N169, ""STATUS: Release to P"&amp;"rod""), ""Release to Prod"", """")))))))"),"")</f>
        <v/>
      </c>
    </row>
    <row r="170" hidden="1">
      <c r="A170" s="23" t="s">
        <v>82</v>
      </c>
      <c r="B170" s="12" t="s">
        <v>267</v>
      </c>
      <c r="C170" s="54">
        <v>195.0</v>
      </c>
      <c r="D170" s="55" t="s">
        <v>947</v>
      </c>
      <c r="E170" s="56" t="s">
        <v>173</v>
      </c>
      <c r="F170" s="54" t="s">
        <v>948</v>
      </c>
      <c r="G170" s="57" t="str">
        <f t="shared" si="1"/>
        <v>24-Jun-2024</v>
      </c>
      <c r="H170" s="54" t="s">
        <v>254</v>
      </c>
      <c r="I170" s="54" t="s">
        <v>944</v>
      </c>
      <c r="J170" s="27" t="str">
        <f t="shared" si="4"/>
        <v>11-Jul-2025</v>
      </c>
      <c r="K170" s="54" t="s">
        <v>949</v>
      </c>
      <c r="L170" s="27" t="str">
        <f t="shared" si="5"/>
        <v>24-Jun-2024</v>
      </c>
      <c r="M170" s="23" t="s">
        <v>15</v>
      </c>
      <c r="N170" s="23" t="s">
        <v>177</v>
      </c>
      <c r="O170" s="24"/>
      <c r="P170" s="54">
        <v>0.0</v>
      </c>
      <c r="Q170" s="58" t="s">
        <v>950</v>
      </c>
      <c r="R170" s="27" t="str">
        <f>IFERROR(__xludf.DUMMYFUNCTION("IF(REGEXMATCH(N170, ""PRIORITY: Low""), ""Low"", IF(REGEXMATCH(N170, ""PRIORITY: Medium""), ""Medium"", IF(REGEXMATCH(N170, ""PRIORITY: High""), ""High"", """")))
"),"")</f>
        <v/>
      </c>
      <c r="S170" s="27" t="str">
        <f>IFERROR(__xludf.DUMMYFUNCTION("IF(REGEXMATCH(N170, ""SKILL: Low""), ""Low"", IF(REGEXMATCH(N170, ""SKILL: Medium""), ""Medium"", IF(REGEXMATCH(N170, ""SKILL: High""), ""High"", """")))"),"")</f>
        <v/>
      </c>
      <c r="T170" s="27" t="str">
        <f>IFERROR(__xludf.DUMMYFUNCTION("IF(REGEXMATCH(N170, ""STATUS: Dev Complete - Awaiting QA""), ""Dev Complete - Awaiting QA"", IF(REGEXMATCH(N170, ""STATUS: Follow-Up Required""), ""Follow-Up Required"", IF(REGEXMATCH(N170, ""STATUS: In Progress""), ""In Progress"", IF(REGEXMATCH(N170, """&amp;"STATUS: In QA""), ""In QA"", IF(REGEXMATCH(N170, ""STATUS: Needs Customer Feedback""), ""Needs Customer Feedback"", IF(REGEXMATCH(N170, ""STATUS: QA Passed - Awaiting Release""), ""QA Passed - Awaiting Release"", IF(REGEXMATCH(N170, ""STATUS: Release to P"&amp;"rod""), ""Release to Prod"", """")))))))"),"")</f>
        <v/>
      </c>
    </row>
    <row r="171" hidden="1">
      <c r="A171" s="23" t="s">
        <v>82</v>
      </c>
      <c r="B171" s="12" t="s">
        <v>267</v>
      </c>
      <c r="C171" s="54">
        <v>194.0</v>
      </c>
      <c r="D171" s="55" t="s">
        <v>951</v>
      </c>
      <c r="E171" s="56" t="s">
        <v>173</v>
      </c>
      <c r="F171" s="54" t="s">
        <v>952</v>
      </c>
      <c r="G171" s="57" t="str">
        <f t="shared" si="1"/>
        <v>24-Jun-2024</v>
      </c>
      <c r="H171" s="54" t="s">
        <v>254</v>
      </c>
      <c r="I171" s="54" t="s">
        <v>953</v>
      </c>
      <c r="J171" s="27" t="str">
        <f t="shared" si="4"/>
        <v>11-Jul-2025</v>
      </c>
      <c r="K171" s="54" t="s">
        <v>954</v>
      </c>
      <c r="L171" s="27" t="str">
        <f t="shared" si="5"/>
        <v>24-Jun-2024</v>
      </c>
      <c r="M171" s="23" t="s">
        <v>15</v>
      </c>
      <c r="N171" s="23" t="s">
        <v>177</v>
      </c>
      <c r="O171" s="24"/>
      <c r="P171" s="54">
        <v>0.0</v>
      </c>
      <c r="Q171" s="58" t="s">
        <v>955</v>
      </c>
      <c r="R171" s="27" t="str">
        <f>IFERROR(__xludf.DUMMYFUNCTION("IF(REGEXMATCH(N171, ""PRIORITY: Low""), ""Low"", IF(REGEXMATCH(N171, ""PRIORITY: Medium""), ""Medium"", IF(REGEXMATCH(N171, ""PRIORITY: High""), ""High"", """")))
"),"")</f>
        <v/>
      </c>
      <c r="S171" s="27" t="str">
        <f>IFERROR(__xludf.DUMMYFUNCTION("IF(REGEXMATCH(N171, ""SKILL: Low""), ""Low"", IF(REGEXMATCH(N171, ""SKILL: Medium""), ""Medium"", IF(REGEXMATCH(N171, ""SKILL: High""), ""High"", """")))"),"")</f>
        <v/>
      </c>
      <c r="T171" s="27" t="str">
        <f>IFERROR(__xludf.DUMMYFUNCTION("IF(REGEXMATCH(N171, ""STATUS: Dev Complete - Awaiting QA""), ""Dev Complete - Awaiting QA"", IF(REGEXMATCH(N171, ""STATUS: Follow-Up Required""), ""Follow-Up Required"", IF(REGEXMATCH(N171, ""STATUS: In Progress""), ""In Progress"", IF(REGEXMATCH(N171, """&amp;"STATUS: In QA""), ""In QA"", IF(REGEXMATCH(N171, ""STATUS: Needs Customer Feedback""), ""Needs Customer Feedback"", IF(REGEXMATCH(N171, ""STATUS: QA Passed - Awaiting Release""), ""QA Passed - Awaiting Release"", IF(REGEXMATCH(N171, ""STATUS: Release to P"&amp;"rod""), ""Release to Prod"", """")))))))"),"")</f>
        <v/>
      </c>
    </row>
    <row r="172" hidden="1">
      <c r="A172" s="23" t="s">
        <v>82</v>
      </c>
      <c r="B172" s="12" t="s">
        <v>267</v>
      </c>
      <c r="C172" s="54">
        <v>189.0</v>
      </c>
      <c r="D172" s="55" t="s">
        <v>956</v>
      </c>
      <c r="E172" s="56" t="s">
        <v>173</v>
      </c>
      <c r="F172" s="54" t="s">
        <v>957</v>
      </c>
      <c r="G172" s="57" t="str">
        <f t="shared" si="1"/>
        <v>21-Jun-2024</v>
      </c>
      <c r="H172" s="54" t="s">
        <v>254</v>
      </c>
      <c r="I172" s="54" t="s">
        <v>958</v>
      </c>
      <c r="J172" s="27" t="str">
        <f t="shared" si="4"/>
        <v>11-Jul-2025</v>
      </c>
      <c r="K172" s="54" t="s">
        <v>959</v>
      </c>
      <c r="L172" s="27" t="str">
        <f t="shared" si="5"/>
        <v>24-Jun-2024</v>
      </c>
      <c r="M172" s="23" t="s">
        <v>15</v>
      </c>
      <c r="N172" s="23" t="s">
        <v>177</v>
      </c>
      <c r="O172" s="24"/>
      <c r="P172" s="54">
        <v>0.0</v>
      </c>
      <c r="Q172" s="58" t="s">
        <v>960</v>
      </c>
      <c r="R172" s="27" t="str">
        <f>IFERROR(__xludf.DUMMYFUNCTION("IF(REGEXMATCH(N172, ""PRIORITY: Low""), ""Low"", IF(REGEXMATCH(N172, ""PRIORITY: Medium""), ""Medium"", IF(REGEXMATCH(N172, ""PRIORITY: High""), ""High"", """")))
"),"")</f>
        <v/>
      </c>
      <c r="S172" s="27" t="str">
        <f>IFERROR(__xludf.DUMMYFUNCTION("IF(REGEXMATCH(N172, ""SKILL: Low""), ""Low"", IF(REGEXMATCH(N172, ""SKILL: Medium""), ""Medium"", IF(REGEXMATCH(N172, ""SKILL: High""), ""High"", """")))"),"")</f>
        <v/>
      </c>
      <c r="T172" s="27" t="str">
        <f>IFERROR(__xludf.DUMMYFUNCTION("IF(REGEXMATCH(N172, ""STATUS: Dev Complete - Awaiting QA""), ""Dev Complete - Awaiting QA"", IF(REGEXMATCH(N172, ""STATUS: Follow-Up Required""), ""Follow-Up Required"", IF(REGEXMATCH(N172, ""STATUS: In Progress""), ""In Progress"", IF(REGEXMATCH(N172, """&amp;"STATUS: In QA""), ""In QA"", IF(REGEXMATCH(N172, ""STATUS: Needs Customer Feedback""), ""Needs Customer Feedback"", IF(REGEXMATCH(N172, ""STATUS: QA Passed - Awaiting Release""), ""QA Passed - Awaiting Release"", IF(REGEXMATCH(N172, ""STATUS: Release to P"&amp;"rod""), ""Release to Prod"", """")))))))"),"")</f>
        <v/>
      </c>
    </row>
    <row r="173" hidden="1">
      <c r="A173" s="23" t="s">
        <v>82</v>
      </c>
      <c r="B173" s="12" t="s">
        <v>267</v>
      </c>
      <c r="C173" s="54">
        <v>188.0</v>
      </c>
      <c r="D173" s="55" t="s">
        <v>961</v>
      </c>
      <c r="E173" s="56" t="s">
        <v>173</v>
      </c>
      <c r="F173" s="54" t="s">
        <v>962</v>
      </c>
      <c r="G173" s="57" t="str">
        <f t="shared" si="1"/>
        <v>20-Jun-2024</v>
      </c>
      <c r="H173" s="54" t="s">
        <v>254</v>
      </c>
      <c r="I173" s="54" t="s">
        <v>958</v>
      </c>
      <c r="J173" s="27" t="str">
        <f t="shared" si="4"/>
        <v>11-Jul-2025</v>
      </c>
      <c r="K173" s="54" t="s">
        <v>963</v>
      </c>
      <c r="L173" s="27" t="str">
        <f t="shared" si="5"/>
        <v>23-Jun-2024</v>
      </c>
      <c r="M173" s="23" t="s">
        <v>15</v>
      </c>
      <c r="N173" s="23" t="s">
        <v>177</v>
      </c>
      <c r="O173" s="24"/>
      <c r="P173" s="54">
        <v>0.0</v>
      </c>
      <c r="Q173" s="58" t="s">
        <v>964</v>
      </c>
      <c r="R173" s="27" t="str">
        <f>IFERROR(__xludf.DUMMYFUNCTION("IF(REGEXMATCH(N173, ""PRIORITY: Low""), ""Low"", IF(REGEXMATCH(N173, ""PRIORITY: Medium""), ""Medium"", IF(REGEXMATCH(N173, ""PRIORITY: High""), ""High"", """")))
"),"")</f>
        <v/>
      </c>
      <c r="S173" s="27" t="str">
        <f>IFERROR(__xludf.DUMMYFUNCTION("IF(REGEXMATCH(N173, ""SKILL: Low""), ""Low"", IF(REGEXMATCH(N173, ""SKILL: Medium""), ""Medium"", IF(REGEXMATCH(N173, ""SKILL: High""), ""High"", """")))"),"")</f>
        <v/>
      </c>
      <c r="T173" s="27" t="str">
        <f>IFERROR(__xludf.DUMMYFUNCTION("IF(REGEXMATCH(N173, ""STATUS: Dev Complete - Awaiting QA""), ""Dev Complete - Awaiting QA"", IF(REGEXMATCH(N173, ""STATUS: Follow-Up Required""), ""Follow-Up Required"", IF(REGEXMATCH(N173, ""STATUS: In Progress""), ""In Progress"", IF(REGEXMATCH(N173, """&amp;"STATUS: In QA""), ""In QA"", IF(REGEXMATCH(N173, ""STATUS: Needs Customer Feedback""), ""Needs Customer Feedback"", IF(REGEXMATCH(N173, ""STATUS: QA Passed - Awaiting Release""), ""QA Passed - Awaiting Release"", IF(REGEXMATCH(N173, ""STATUS: Release to P"&amp;"rod""), ""Release to Prod"", """")))))))"),"")</f>
        <v/>
      </c>
    </row>
    <row r="174" hidden="1">
      <c r="A174" s="23" t="s">
        <v>82</v>
      </c>
      <c r="B174" s="12" t="s">
        <v>267</v>
      </c>
      <c r="C174" s="54">
        <v>187.0</v>
      </c>
      <c r="D174" s="55" t="s">
        <v>965</v>
      </c>
      <c r="E174" s="56" t="s">
        <v>173</v>
      </c>
      <c r="F174" s="54" t="s">
        <v>966</v>
      </c>
      <c r="G174" s="57" t="str">
        <f t="shared" si="1"/>
        <v>20-Jun-2024</v>
      </c>
      <c r="H174" s="54" t="s">
        <v>254</v>
      </c>
      <c r="I174" s="54" t="s">
        <v>967</v>
      </c>
      <c r="J174" s="27" t="str">
        <f t="shared" si="4"/>
        <v>11-Jul-2025</v>
      </c>
      <c r="K174" s="54" t="s">
        <v>968</v>
      </c>
      <c r="L174" s="27" t="str">
        <f t="shared" si="5"/>
        <v>23-Jun-2024</v>
      </c>
      <c r="M174" s="23" t="s">
        <v>15</v>
      </c>
      <c r="N174" s="23" t="s">
        <v>177</v>
      </c>
      <c r="O174" s="24"/>
      <c r="P174" s="54">
        <v>0.0</v>
      </c>
      <c r="Q174" s="58" t="s">
        <v>969</v>
      </c>
      <c r="R174" s="27" t="str">
        <f>IFERROR(__xludf.DUMMYFUNCTION("IF(REGEXMATCH(N174, ""PRIORITY: Low""), ""Low"", IF(REGEXMATCH(N174, ""PRIORITY: Medium""), ""Medium"", IF(REGEXMATCH(N174, ""PRIORITY: High""), ""High"", """")))
"),"")</f>
        <v/>
      </c>
      <c r="S174" s="27" t="str">
        <f>IFERROR(__xludf.DUMMYFUNCTION("IF(REGEXMATCH(N174, ""SKILL: Low""), ""Low"", IF(REGEXMATCH(N174, ""SKILL: Medium""), ""Medium"", IF(REGEXMATCH(N174, ""SKILL: High""), ""High"", """")))"),"")</f>
        <v/>
      </c>
      <c r="T174" s="27" t="str">
        <f>IFERROR(__xludf.DUMMYFUNCTION("IF(REGEXMATCH(N174, ""STATUS: Dev Complete - Awaiting QA""), ""Dev Complete - Awaiting QA"", IF(REGEXMATCH(N174, ""STATUS: Follow-Up Required""), ""Follow-Up Required"", IF(REGEXMATCH(N174, ""STATUS: In Progress""), ""In Progress"", IF(REGEXMATCH(N174, """&amp;"STATUS: In QA""), ""In QA"", IF(REGEXMATCH(N174, ""STATUS: Needs Customer Feedback""), ""Needs Customer Feedback"", IF(REGEXMATCH(N174, ""STATUS: QA Passed - Awaiting Release""), ""QA Passed - Awaiting Release"", IF(REGEXMATCH(N174, ""STATUS: Release to P"&amp;"rod""), ""Release to Prod"", """")))))))"),"")</f>
        <v/>
      </c>
    </row>
    <row r="175" hidden="1">
      <c r="A175" s="23" t="s">
        <v>82</v>
      </c>
      <c r="B175" s="12" t="s">
        <v>267</v>
      </c>
      <c r="C175" s="54">
        <v>186.0</v>
      </c>
      <c r="D175" s="55" t="s">
        <v>970</v>
      </c>
      <c r="E175" s="56" t="s">
        <v>173</v>
      </c>
      <c r="F175" s="54" t="s">
        <v>971</v>
      </c>
      <c r="G175" s="57" t="str">
        <f t="shared" si="1"/>
        <v>20-Jun-2024</v>
      </c>
      <c r="H175" s="54" t="s">
        <v>254</v>
      </c>
      <c r="I175" s="54" t="s">
        <v>972</v>
      </c>
      <c r="J175" s="27" t="str">
        <f t="shared" si="4"/>
        <v>11-Jul-2025</v>
      </c>
      <c r="K175" s="54" t="s">
        <v>973</v>
      </c>
      <c r="L175" s="27" t="str">
        <f t="shared" si="5"/>
        <v>23-Jun-2024</v>
      </c>
      <c r="M175" s="23" t="s">
        <v>15</v>
      </c>
      <c r="N175" s="23" t="s">
        <v>177</v>
      </c>
      <c r="O175" s="24"/>
      <c r="P175" s="54">
        <v>0.0</v>
      </c>
      <c r="Q175" s="58" t="s">
        <v>974</v>
      </c>
      <c r="R175" s="27" t="str">
        <f>IFERROR(__xludf.DUMMYFUNCTION("IF(REGEXMATCH(N175, ""PRIORITY: Low""), ""Low"", IF(REGEXMATCH(N175, ""PRIORITY: Medium""), ""Medium"", IF(REGEXMATCH(N175, ""PRIORITY: High""), ""High"", """")))
"),"")</f>
        <v/>
      </c>
      <c r="S175" s="27" t="str">
        <f>IFERROR(__xludf.DUMMYFUNCTION("IF(REGEXMATCH(N175, ""SKILL: Low""), ""Low"", IF(REGEXMATCH(N175, ""SKILL: Medium""), ""Medium"", IF(REGEXMATCH(N175, ""SKILL: High""), ""High"", """")))"),"")</f>
        <v/>
      </c>
      <c r="T175" s="27" t="str">
        <f>IFERROR(__xludf.DUMMYFUNCTION("IF(REGEXMATCH(N175, ""STATUS: Dev Complete - Awaiting QA""), ""Dev Complete - Awaiting QA"", IF(REGEXMATCH(N175, ""STATUS: Follow-Up Required""), ""Follow-Up Required"", IF(REGEXMATCH(N175, ""STATUS: In Progress""), ""In Progress"", IF(REGEXMATCH(N175, """&amp;"STATUS: In QA""), ""In QA"", IF(REGEXMATCH(N175, ""STATUS: Needs Customer Feedback""), ""Needs Customer Feedback"", IF(REGEXMATCH(N175, ""STATUS: QA Passed - Awaiting Release""), ""QA Passed - Awaiting Release"", IF(REGEXMATCH(N175, ""STATUS: Release to P"&amp;"rod""), ""Release to Prod"", """")))))))"),"")</f>
        <v/>
      </c>
    </row>
    <row r="176" hidden="1">
      <c r="A176" s="23" t="s">
        <v>82</v>
      </c>
      <c r="B176" s="12" t="s">
        <v>267</v>
      </c>
      <c r="C176" s="54">
        <v>181.0</v>
      </c>
      <c r="D176" s="55" t="s">
        <v>975</v>
      </c>
      <c r="E176" s="56" t="s">
        <v>173</v>
      </c>
      <c r="F176" s="54" t="s">
        <v>976</v>
      </c>
      <c r="G176" s="57" t="str">
        <f t="shared" si="1"/>
        <v>19-Jun-2024</v>
      </c>
      <c r="H176" s="54" t="s">
        <v>254</v>
      </c>
      <c r="I176" s="54" t="s">
        <v>977</v>
      </c>
      <c r="J176" s="27" t="str">
        <f t="shared" si="4"/>
        <v>11-Jul-2025</v>
      </c>
      <c r="K176" s="54" t="s">
        <v>978</v>
      </c>
      <c r="L176" s="27" t="str">
        <f t="shared" si="5"/>
        <v>25-Jun-2024</v>
      </c>
      <c r="M176" s="23" t="s">
        <v>15</v>
      </c>
      <c r="N176" s="23" t="s">
        <v>177</v>
      </c>
      <c r="O176" s="23" t="s">
        <v>37</v>
      </c>
      <c r="P176" s="54">
        <v>0.0</v>
      </c>
      <c r="Q176" s="58" t="s">
        <v>979</v>
      </c>
      <c r="R176" s="27" t="str">
        <f>IFERROR(__xludf.DUMMYFUNCTION("IF(REGEXMATCH(N176, ""PRIORITY: Low""), ""Low"", IF(REGEXMATCH(N176, ""PRIORITY: Medium""), ""Medium"", IF(REGEXMATCH(N176, ""PRIORITY: High""), ""High"", """")))
"),"")</f>
        <v/>
      </c>
      <c r="S176" s="27" t="str">
        <f>IFERROR(__xludf.DUMMYFUNCTION("IF(REGEXMATCH(N176, ""SKILL: Low""), ""Low"", IF(REGEXMATCH(N176, ""SKILL: Medium""), ""Medium"", IF(REGEXMATCH(N176, ""SKILL: High""), ""High"", """")))"),"")</f>
        <v/>
      </c>
      <c r="T176" s="27" t="str">
        <f>IFERROR(__xludf.DUMMYFUNCTION("IF(REGEXMATCH(N176, ""STATUS: Dev Complete - Awaiting QA""), ""Dev Complete - Awaiting QA"", IF(REGEXMATCH(N176, ""STATUS: Follow-Up Required""), ""Follow-Up Required"", IF(REGEXMATCH(N176, ""STATUS: In Progress""), ""In Progress"", IF(REGEXMATCH(N176, """&amp;"STATUS: In QA""), ""In QA"", IF(REGEXMATCH(N176, ""STATUS: Needs Customer Feedback""), ""Needs Customer Feedback"", IF(REGEXMATCH(N176, ""STATUS: QA Passed - Awaiting Release""), ""QA Passed - Awaiting Release"", IF(REGEXMATCH(N176, ""STATUS: Release to P"&amp;"rod""), ""Release to Prod"", """")))))))"),"")</f>
        <v/>
      </c>
    </row>
    <row r="177" hidden="1">
      <c r="A177" s="23" t="s">
        <v>82</v>
      </c>
      <c r="B177" s="12" t="s">
        <v>267</v>
      </c>
      <c r="C177" s="54">
        <v>180.0</v>
      </c>
      <c r="D177" s="55" t="s">
        <v>980</v>
      </c>
      <c r="E177" s="56" t="s">
        <v>173</v>
      </c>
      <c r="F177" s="54" t="s">
        <v>981</v>
      </c>
      <c r="G177" s="57" t="str">
        <f t="shared" si="1"/>
        <v>18-Jun-2024</v>
      </c>
      <c r="H177" s="54" t="s">
        <v>254</v>
      </c>
      <c r="I177" s="54" t="s">
        <v>982</v>
      </c>
      <c r="J177" s="27" t="str">
        <f t="shared" si="4"/>
        <v>11-Jul-2025</v>
      </c>
      <c r="K177" s="54" t="s">
        <v>983</v>
      </c>
      <c r="L177" s="27" t="str">
        <f t="shared" si="5"/>
        <v>23-Jun-2024</v>
      </c>
      <c r="M177" s="23" t="s">
        <v>15</v>
      </c>
      <c r="N177" s="23" t="s">
        <v>177</v>
      </c>
      <c r="O177" s="24"/>
      <c r="P177" s="54">
        <v>0.0</v>
      </c>
      <c r="Q177" s="58" t="s">
        <v>984</v>
      </c>
      <c r="R177" s="27" t="str">
        <f>IFERROR(__xludf.DUMMYFUNCTION("IF(REGEXMATCH(N177, ""PRIORITY: Low""), ""Low"", IF(REGEXMATCH(N177, ""PRIORITY: Medium""), ""Medium"", IF(REGEXMATCH(N177, ""PRIORITY: High""), ""High"", """")))
"),"")</f>
        <v/>
      </c>
      <c r="S177" s="27" t="str">
        <f>IFERROR(__xludf.DUMMYFUNCTION("IF(REGEXMATCH(N177, ""SKILL: Low""), ""Low"", IF(REGEXMATCH(N177, ""SKILL: Medium""), ""Medium"", IF(REGEXMATCH(N177, ""SKILL: High""), ""High"", """")))"),"")</f>
        <v/>
      </c>
      <c r="T177" s="27" t="str">
        <f>IFERROR(__xludf.DUMMYFUNCTION("IF(REGEXMATCH(N177, ""STATUS: Dev Complete - Awaiting QA""), ""Dev Complete - Awaiting QA"", IF(REGEXMATCH(N177, ""STATUS: Follow-Up Required""), ""Follow-Up Required"", IF(REGEXMATCH(N177, ""STATUS: In Progress""), ""In Progress"", IF(REGEXMATCH(N177, """&amp;"STATUS: In QA""), ""In QA"", IF(REGEXMATCH(N177, ""STATUS: Needs Customer Feedback""), ""Needs Customer Feedback"", IF(REGEXMATCH(N177, ""STATUS: QA Passed - Awaiting Release""), ""QA Passed - Awaiting Release"", IF(REGEXMATCH(N177, ""STATUS: Release to P"&amp;"rod""), ""Release to Prod"", """")))))))"),"")</f>
        <v/>
      </c>
    </row>
    <row r="178" hidden="1">
      <c r="A178" s="23" t="s">
        <v>82</v>
      </c>
      <c r="B178" s="12" t="s">
        <v>267</v>
      </c>
      <c r="C178" s="54">
        <v>179.0</v>
      </c>
      <c r="D178" s="55" t="s">
        <v>985</v>
      </c>
      <c r="E178" s="56" t="s">
        <v>173</v>
      </c>
      <c r="F178" s="54" t="s">
        <v>986</v>
      </c>
      <c r="G178" s="57" t="str">
        <f t="shared" si="1"/>
        <v>18-Jun-2024</v>
      </c>
      <c r="H178" s="54" t="s">
        <v>254</v>
      </c>
      <c r="I178" s="54" t="s">
        <v>987</v>
      </c>
      <c r="J178" s="27" t="str">
        <f t="shared" si="4"/>
        <v>11-Jul-2025</v>
      </c>
      <c r="K178" s="54" t="s">
        <v>988</v>
      </c>
      <c r="L178" s="27" t="str">
        <f t="shared" si="5"/>
        <v>24-Jun-2024</v>
      </c>
      <c r="M178" s="23" t="s">
        <v>15</v>
      </c>
      <c r="N178" s="23" t="s">
        <v>177</v>
      </c>
      <c r="O178" s="24"/>
      <c r="P178" s="54">
        <v>0.0</v>
      </c>
      <c r="Q178" s="58" t="s">
        <v>989</v>
      </c>
      <c r="R178" s="27" t="str">
        <f>IFERROR(__xludf.DUMMYFUNCTION("IF(REGEXMATCH(N178, ""PRIORITY: Low""), ""Low"", IF(REGEXMATCH(N178, ""PRIORITY: Medium""), ""Medium"", IF(REGEXMATCH(N178, ""PRIORITY: High""), ""High"", """")))
"),"")</f>
        <v/>
      </c>
      <c r="S178" s="27" t="str">
        <f>IFERROR(__xludf.DUMMYFUNCTION("IF(REGEXMATCH(N178, ""SKILL: Low""), ""Low"", IF(REGEXMATCH(N178, ""SKILL: Medium""), ""Medium"", IF(REGEXMATCH(N178, ""SKILL: High""), ""High"", """")))"),"")</f>
        <v/>
      </c>
      <c r="T178" s="27" t="str">
        <f>IFERROR(__xludf.DUMMYFUNCTION("IF(REGEXMATCH(N178, ""STATUS: Dev Complete - Awaiting QA""), ""Dev Complete - Awaiting QA"", IF(REGEXMATCH(N178, ""STATUS: Follow-Up Required""), ""Follow-Up Required"", IF(REGEXMATCH(N178, ""STATUS: In Progress""), ""In Progress"", IF(REGEXMATCH(N178, """&amp;"STATUS: In QA""), ""In QA"", IF(REGEXMATCH(N178, ""STATUS: Needs Customer Feedback""), ""Needs Customer Feedback"", IF(REGEXMATCH(N178, ""STATUS: QA Passed - Awaiting Release""), ""QA Passed - Awaiting Release"", IF(REGEXMATCH(N178, ""STATUS: Release to P"&amp;"rod""), ""Release to Prod"", """")))))))"),"")</f>
        <v/>
      </c>
    </row>
    <row r="179" hidden="1">
      <c r="A179" s="23" t="s">
        <v>82</v>
      </c>
      <c r="B179" s="12" t="s">
        <v>267</v>
      </c>
      <c r="C179" s="54">
        <v>178.0</v>
      </c>
      <c r="D179" s="55" t="s">
        <v>990</v>
      </c>
      <c r="E179" s="56" t="s">
        <v>173</v>
      </c>
      <c r="F179" s="54" t="s">
        <v>991</v>
      </c>
      <c r="G179" s="57" t="str">
        <f t="shared" si="1"/>
        <v>18-Jun-2024</v>
      </c>
      <c r="H179" s="54" t="s">
        <v>254</v>
      </c>
      <c r="I179" s="54" t="s">
        <v>987</v>
      </c>
      <c r="J179" s="27" t="str">
        <f t="shared" si="4"/>
        <v>11-Jul-2025</v>
      </c>
      <c r="K179" s="54" t="s">
        <v>992</v>
      </c>
      <c r="L179" s="27" t="str">
        <f t="shared" si="5"/>
        <v>25-Jun-2024</v>
      </c>
      <c r="M179" s="23" t="s">
        <v>15</v>
      </c>
      <c r="N179" s="23" t="s">
        <v>177</v>
      </c>
      <c r="O179" s="24"/>
      <c r="P179" s="54">
        <v>0.0</v>
      </c>
      <c r="Q179" s="58" t="s">
        <v>993</v>
      </c>
      <c r="R179" s="27" t="str">
        <f>IFERROR(__xludf.DUMMYFUNCTION("IF(REGEXMATCH(N179, ""PRIORITY: Low""), ""Low"", IF(REGEXMATCH(N179, ""PRIORITY: Medium""), ""Medium"", IF(REGEXMATCH(N179, ""PRIORITY: High""), ""High"", """")))
"),"")</f>
        <v/>
      </c>
      <c r="S179" s="27" t="str">
        <f>IFERROR(__xludf.DUMMYFUNCTION("IF(REGEXMATCH(N179, ""SKILL: Low""), ""Low"", IF(REGEXMATCH(N179, ""SKILL: Medium""), ""Medium"", IF(REGEXMATCH(N179, ""SKILL: High""), ""High"", """")))"),"")</f>
        <v/>
      </c>
      <c r="T179" s="27" t="str">
        <f>IFERROR(__xludf.DUMMYFUNCTION("IF(REGEXMATCH(N179, ""STATUS: Dev Complete - Awaiting QA""), ""Dev Complete - Awaiting QA"", IF(REGEXMATCH(N179, ""STATUS: Follow-Up Required""), ""Follow-Up Required"", IF(REGEXMATCH(N179, ""STATUS: In Progress""), ""In Progress"", IF(REGEXMATCH(N179, """&amp;"STATUS: In QA""), ""In QA"", IF(REGEXMATCH(N179, ""STATUS: Needs Customer Feedback""), ""Needs Customer Feedback"", IF(REGEXMATCH(N179, ""STATUS: QA Passed - Awaiting Release""), ""QA Passed - Awaiting Release"", IF(REGEXMATCH(N179, ""STATUS: Release to P"&amp;"rod""), ""Release to Prod"", """")))))))"),"")</f>
        <v/>
      </c>
    </row>
    <row r="180" hidden="1">
      <c r="A180" s="23" t="s">
        <v>82</v>
      </c>
      <c r="B180" s="12" t="s">
        <v>267</v>
      </c>
      <c r="C180" s="54">
        <v>177.0</v>
      </c>
      <c r="D180" s="55" t="s">
        <v>994</v>
      </c>
      <c r="E180" s="56" t="s">
        <v>173</v>
      </c>
      <c r="F180" s="54" t="s">
        <v>995</v>
      </c>
      <c r="G180" s="57" t="str">
        <f t="shared" si="1"/>
        <v>18-Jun-2024</v>
      </c>
      <c r="H180" s="54" t="s">
        <v>254</v>
      </c>
      <c r="I180" s="54" t="s">
        <v>996</v>
      </c>
      <c r="J180" s="27" t="str">
        <f t="shared" si="4"/>
        <v>11-Jul-2025</v>
      </c>
      <c r="K180" s="54" t="s">
        <v>997</v>
      </c>
      <c r="L180" s="27" t="str">
        <f t="shared" si="5"/>
        <v>18-Jun-2024</v>
      </c>
      <c r="M180" s="23" t="s">
        <v>15</v>
      </c>
      <c r="N180" s="23" t="s">
        <v>177</v>
      </c>
      <c r="O180" s="24"/>
      <c r="P180" s="54">
        <v>0.0</v>
      </c>
      <c r="Q180" s="58" t="s">
        <v>998</v>
      </c>
      <c r="R180" s="27" t="str">
        <f>IFERROR(__xludf.DUMMYFUNCTION("IF(REGEXMATCH(N180, ""PRIORITY: Low""), ""Low"", IF(REGEXMATCH(N180, ""PRIORITY: Medium""), ""Medium"", IF(REGEXMATCH(N180, ""PRIORITY: High""), ""High"", """")))
"),"")</f>
        <v/>
      </c>
      <c r="S180" s="27" t="str">
        <f>IFERROR(__xludf.DUMMYFUNCTION("IF(REGEXMATCH(N180, ""SKILL: Low""), ""Low"", IF(REGEXMATCH(N180, ""SKILL: Medium""), ""Medium"", IF(REGEXMATCH(N180, ""SKILL: High""), ""High"", """")))"),"")</f>
        <v/>
      </c>
      <c r="T180" s="27" t="str">
        <f>IFERROR(__xludf.DUMMYFUNCTION("IF(REGEXMATCH(N180, ""STATUS: Dev Complete - Awaiting QA""), ""Dev Complete - Awaiting QA"", IF(REGEXMATCH(N180, ""STATUS: Follow-Up Required""), ""Follow-Up Required"", IF(REGEXMATCH(N180, ""STATUS: In Progress""), ""In Progress"", IF(REGEXMATCH(N180, """&amp;"STATUS: In QA""), ""In QA"", IF(REGEXMATCH(N180, ""STATUS: Needs Customer Feedback""), ""Needs Customer Feedback"", IF(REGEXMATCH(N180, ""STATUS: QA Passed - Awaiting Release""), ""QA Passed - Awaiting Release"", IF(REGEXMATCH(N180, ""STATUS: Release to P"&amp;"rod""), ""Release to Prod"", """")))))))"),"")</f>
        <v/>
      </c>
    </row>
    <row r="181" hidden="1">
      <c r="A181" s="23" t="s">
        <v>82</v>
      </c>
      <c r="B181" s="12" t="s">
        <v>267</v>
      </c>
      <c r="C181" s="54">
        <v>176.0</v>
      </c>
      <c r="D181" s="55" t="s">
        <v>999</v>
      </c>
      <c r="E181" s="56" t="s">
        <v>173</v>
      </c>
      <c r="F181" s="54" t="s">
        <v>1000</v>
      </c>
      <c r="G181" s="57" t="str">
        <f t="shared" si="1"/>
        <v>18-Jun-2024</v>
      </c>
      <c r="H181" s="54" t="s">
        <v>254</v>
      </c>
      <c r="I181" s="54" t="s">
        <v>1001</v>
      </c>
      <c r="J181" s="27" t="str">
        <f t="shared" si="4"/>
        <v>11-Jul-2025</v>
      </c>
      <c r="K181" s="54" t="s">
        <v>1002</v>
      </c>
      <c r="L181" s="27" t="str">
        <f t="shared" si="5"/>
        <v>23-Jun-2024</v>
      </c>
      <c r="M181" s="23" t="s">
        <v>15</v>
      </c>
      <c r="N181" s="23" t="s">
        <v>177</v>
      </c>
      <c r="O181" s="24"/>
      <c r="P181" s="54">
        <v>0.0</v>
      </c>
      <c r="Q181" s="58" t="s">
        <v>1003</v>
      </c>
      <c r="R181" s="27" t="str">
        <f>IFERROR(__xludf.DUMMYFUNCTION("IF(REGEXMATCH(N181, ""PRIORITY: Low""), ""Low"", IF(REGEXMATCH(N181, ""PRIORITY: Medium""), ""Medium"", IF(REGEXMATCH(N181, ""PRIORITY: High""), ""High"", """")))
"),"")</f>
        <v/>
      </c>
      <c r="S181" s="27" t="str">
        <f>IFERROR(__xludf.DUMMYFUNCTION("IF(REGEXMATCH(N181, ""SKILL: Low""), ""Low"", IF(REGEXMATCH(N181, ""SKILL: Medium""), ""Medium"", IF(REGEXMATCH(N181, ""SKILL: High""), ""High"", """")))"),"")</f>
        <v/>
      </c>
      <c r="T181" s="27" t="str">
        <f>IFERROR(__xludf.DUMMYFUNCTION("IF(REGEXMATCH(N181, ""STATUS: Dev Complete - Awaiting QA""), ""Dev Complete - Awaiting QA"", IF(REGEXMATCH(N181, ""STATUS: Follow-Up Required""), ""Follow-Up Required"", IF(REGEXMATCH(N181, ""STATUS: In Progress""), ""In Progress"", IF(REGEXMATCH(N181, """&amp;"STATUS: In QA""), ""In QA"", IF(REGEXMATCH(N181, ""STATUS: Needs Customer Feedback""), ""Needs Customer Feedback"", IF(REGEXMATCH(N181, ""STATUS: QA Passed - Awaiting Release""), ""QA Passed - Awaiting Release"", IF(REGEXMATCH(N181, ""STATUS: Release to P"&amp;"rod""), ""Release to Prod"", """")))))))"),"")</f>
        <v/>
      </c>
    </row>
    <row r="182" hidden="1">
      <c r="A182" s="23" t="s">
        <v>82</v>
      </c>
      <c r="B182" s="12" t="s">
        <v>267</v>
      </c>
      <c r="C182" s="54">
        <v>175.0</v>
      </c>
      <c r="D182" s="55" t="s">
        <v>1004</v>
      </c>
      <c r="E182" s="56" t="s">
        <v>173</v>
      </c>
      <c r="F182" s="54" t="s">
        <v>1005</v>
      </c>
      <c r="G182" s="57" t="str">
        <f t="shared" si="1"/>
        <v>18-Jun-2024</v>
      </c>
      <c r="H182" s="54" t="s">
        <v>1006</v>
      </c>
      <c r="I182" s="54" t="s">
        <v>1001</v>
      </c>
      <c r="J182" s="27" t="str">
        <f t="shared" si="4"/>
        <v>11-Jul-2025</v>
      </c>
      <c r="K182" s="54" t="s">
        <v>1007</v>
      </c>
      <c r="L182" s="27" t="str">
        <f t="shared" si="5"/>
        <v>24-Jun-2024</v>
      </c>
      <c r="M182" s="23" t="s">
        <v>15</v>
      </c>
      <c r="N182" s="23" t="s">
        <v>177</v>
      </c>
      <c r="O182" s="24"/>
      <c r="P182" s="54">
        <v>0.0</v>
      </c>
      <c r="Q182" s="58" t="s">
        <v>1008</v>
      </c>
      <c r="R182" s="27" t="str">
        <f>IFERROR(__xludf.DUMMYFUNCTION("IF(REGEXMATCH(N182, ""PRIORITY: Low""), ""Low"", IF(REGEXMATCH(N182, ""PRIORITY: Medium""), ""Medium"", IF(REGEXMATCH(N182, ""PRIORITY: High""), ""High"", """")))
"),"")</f>
        <v/>
      </c>
      <c r="S182" s="27" t="str">
        <f>IFERROR(__xludf.DUMMYFUNCTION("IF(REGEXMATCH(N182, ""SKILL: Low""), ""Low"", IF(REGEXMATCH(N182, ""SKILL: Medium""), ""Medium"", IF(REGEXMATCH(N182, ""SKILL: High""), ""High"", """")))"),"")</f>
        <v/>
      </c>
      <c r="T182" s="27" t="str">
        <f>IFERROR(__xludf.DUMMYFUNCTION("IF(REGEXMATCH(N182, ""STATUS: Dev Complete - Awaiting QA""), ""Dev Complete - Awaiting QA"", IF(REGEXMATCH(N182, ""STATUS: Follow-Up Required""), ""Follow-Up Required"", IF(REGEXMATCH(N182, ""STATUS: In Progress""), ""In Progress"", IF(REGEXMATCH(N182, """&amp;"STATUS: In QA""), ""In QA"", IF(REGEXMATCH(N182, ""STATUS: Needs Customer Feedback""), ""Needs Customer Feedback"", IF(REGEXMATCH(N182, ""STATUS: QA Passed - Awaiting Release""), ""QA Passed - Awaiting Release"", IF(REGEXMATCH(N182, ""STATUS: Release to P"&amp;"rod""), ""Release to Prod"", """")))))))"),"")</f>
        <v/>
      </c>
    </row>
    <row r="183" hidden="1">
      <c r="A183" s="23" t="s">
        <v>82</v>
      </c>
      <c r="B183" s="12" t="s">
        <v>267</v>
      </c>
      <c r="C183" s="54">
        <v>174.0</v>
      </c>
      <c r="D183" s="55" t="s">
        <v>1009</v>
      </c>
      <c r="E183" s="56" t="s">
        <v>173</v>
      </c>
      <c r="F183" s="54" t="s">
        <v>1010</v>
      </c>
      <c r="G183" s="57" t="str">
        <f t="shared" si="1"/>
        <v>18-Jun-2024</v>
      </c>
      <c r="H183" s="54" t="s">
        <v>1006</v>
      </c>
      <c r="I183" s="54" t="s">
        <v>1011</v>
      </c>
      <c r="J183" s="27" t="str">
        <f t="shared" si="4"/>
        <v>11-Jul-2025</v>
      </c>
      <c r="K183" s="54" t="s">
        <v>1012</v>
      </c>
      <c r="L183" s="27" t="str">
        <f t="shared" si="5"/>
        <v>24-Jun-2024</v>
      </c>
      <c r="M183" s="23" t="s">
        <v>15</v>
      </c>
      <c r="N183" s="23" t="s">
        <v>177</v>
      </c>
      <c r="O183" s="24"/>
      <c r="P183" s="54">
        <v>0.0</v>
      </c>
      <c r="Q183" s="58" t="s">
        <v>1013</v>
      </c>
      <c r="R183" s="27" t="str">
        <f>IFERROR(__xludf.DUMMYFUNCTION("IF(REGEXMATCH(N183, ""PRIORITY: Low""), ""Low"", IF(REGEXMATCH(N183, ""PRIORITY: Medium""), ""Medium"", IF(REGEXMATCH(N183, ""PRIORITY: High""), ""High"", """")))
"),"")</f>
        <v/>
      </c>
      <c r="S183" s="27" t="str">
        <f>IFERROR(__xludf.DUMMYFUNCTION("IF(REGEXMATCH(N183, ""SKILL: Low""), ""Low"", IF(REGEXMATCH(N183, ""SKILL: Medium""), ""Medium"", IF(REGEXMATCH(N183, ""SKILL: High""), ""High"", """")))"),"")</f>
        <v/>
      </c>
      <c r="T183" s="27" t="str">
        <f>IFERROR(__xludf.DUMMYFUNCTION("IF(REGEXMATCH(N183, ""STATUS: Dev Complete - Awaiting QA""), ""Dev Complete - Awaiting QA"", IF(REGEXMATCH(N183, ""STATUS: Follow-Up Required""), ""Follow-Up Required"", IF(REGEXMATCH(N183, ""STATUS: In Progress""), ""In Progress"", IF(REGEXMATCH(N183, """&amp;"STATUS: In QA""), ""In QA"", IF(REGEXMATCH(N183, ""STATUS: Needs Customer Feedback""), ""Needs Customer Feedback"", IF(REGEXMATCH(N183, ""STATUS: QA Passed - Awaiting Release""), ""QA Passed - Awaiting Release"", IF(REGEXMATCH(N183, ""STATUS: Release to P"&amp;"rod""), ""Release to Prod"", """")))))))"),"")</f>
        <v/>
      </c>
    </row>
    <row r="184" hidden="1">
      <c r="A184" s="23" t="s">
        <v>82</v>
      </c>
      <c r="B184" s="12" t="s">
        <v>267</v>
      </c>
      <c r="C184" s="54">
        <v>173.0</v>
      </c>
      <c r="D184" s="55" t="s">
        <v>1014</v>
      </c>
      <c r="E184" s="56" t="s">
        <v>173</v>
      </c>
      <c r="F184" s="54" t="s">
        <v>1015</v>
      </c>
      <c r="G184" s="57" t="str">
        <f t="shared" si="1"/>
        <v>18-Jun-2024</v>
      </c>
      <c r="H184" s="54" t="s">
        <v>1006</v>
      </c>
      <c r="I184" s="54" t="s">
        <v>1016</v>
      </c>
      <c r="J184" s="27" t="str">
        <f t="shared" si="4"/>
        <v>11-Jul-2025</v>
      </c>
      <c r="K184" s="54" t="s">
        <v>1017</v>
      </c>
      <c r="L184" s="27" t="str">
        <f t="shared" si="5"/>
        <v>24-Jun-2024</v>
      </c>
      <c r="M184" s="23" t="s">
        <v>15</v>
      </c>
      <c r="N184" s="23" t="s">
        <v>177</v>
      </c>
      <c r="O184" s="24"/>
      <c r="P184" s="54">
        <v>0.0</v>
      </c>
      <c r="Q184" s="58" t="s">
        <v>1018</v>
      </c>
      <c r="R184" s="27" t="str">
        <f>IFERROR(__xludf.DUMMYFUNCTION("IF(REGEXMATCH(N184, ""PRIORITY: Low""), ""Low"", IF(REGEXMATCH(N184, ""PRIORITY: Medium""), ""Medium"", IF(REGEXMATCH(N184, ""PRIORITY: High""), ""High"", """")))
"),"")</f>
        <v/>
      </c>
      <c r="S184" s="27" t="str">
        <f>IFERROR(__xludf.DUMMYFUNCTION("IF(REGEXMATCH(N184, ""SKILL: Low""), ""Low"", IF(REGEXMATCH(N184, ""SKILL: Medium""), ""Medium"", IF(REGEXMATCH(N184, ""SKILL: High""), ""High"", """")))"),"")</f>
        <v/>
      </c>
      <c r="T184" s="27" t="str">
        <f>IFERROR(__xludf.DUMMYFUNCTION("IF(REGEXMATCH(N184, ""STATUS: Dev Complete - Awaiting QA""), ""Dev Complete - Awaiting QA"", IF(REGEXMATCH(N184, ""STATUS: Follow-Up Required""), ""Follow-Up Required"", IF(REGEXMATCH(N184, ""STATUS: In Progress""), ""In Progress"", IF(REGEXMATCH(N184, """&amp;"STATUS: In QA""), ""In QA"", IF(REGEXMATCH(N184, ""STATUS: Needs Customer Feedback""), ""Needs Customer Feedback"", IF(REGEXMATCH(N184, ""STATUS: QA Passed - Awaiting Release""), ""QA Passed - Awaiting Release"", IF(REGEXMATCH(N184, ""STATUS: Release to P"&amp;"rod""), ""Release to Prod"", """")))))))"),"")</f>
        <v/>
      </c>
    </row>
    <row r="185" hidden="1">
      <c r="A185" s="23" t="s">
        <v>82</v>
      </c>
      <c r="B185" s="12" t="s">
        <v>267</v>
      </c>
      <c r="C185" s="54">
        <v>172.0</v>
      </c>
      <c r="D185" s="55" t="s">
        <v>1019</v>
      </c>
      <c r="E185" s="56" t="s">
        <v>173</v>
      </c>
      <c r="F185" s="54" t="s">
        <v>1020</v>
      </c>
      <c r="G185" s="57" t="str">
        <f t="shared" si="1"/>
        <v>18-Jun-2024</v>
      </c>
      <c r="H185" s="54" t="s">
        <v>1006</v>
      </c>
      <c r="I185" s="54" t="s">
        <v>1016</v>
      </c>
      <c r="J185" s="27" t="str">
        <f t="shared" si="4"/>
        <v>11-Jul-2025</v>
      </c>
      <c r="K185" s="54" t="s">
        <v>1021</v>
      </c>
      <c r="L185" s="27" t="str">
        <f t="shared" si="5"/>
        <v>25-Jun-2024</v>
      </c>
      <c r="M185" s="23" t="s">
        <v>15</v>
      </c>
      <c r="N185" s="23" t="s">
        <v>177</v>
      </c>
      <c r="O185" s="23" t="s">
        <v>37</v>
      </c>
      <c r="P185" s="54">
        <v>0.0</v>
      </c>
      <c r="Q185" s="58" t="s">
        <v>1022</v>
      </c>
      <c r="R185" s="27" t="str">
        <f>IFERROR(__xludf.DUMMYFUNCTION("IF(REGEXMATCH(N185, ""PRIORITY: Low""), ""Low"", IF(REGEXMATCH(N185, ""PRIORITY: Medium""), ""Medium"", IF(REGEXMATCH(N185, ""PRIORITY: High""), ""High"", """")))
"),"")</f>
        <v/>
      </c>
      <c r="S185" s="27" t="str">
        <f>IFERROR(__xludf.DUMMYFUNCTION("IF(REGEXMATCH(N185, ""SKILL: Low""), ""Low"", IF(REGEXMATCH(N185, ""SKILL: Medium""), ""Medium"", IF(REGEXMATCH(N185, ""SKILL: High""), ""High"", """")))"),"")</f>
        <v/>
      </c>
      <c r="T185" s="27" t="str">
        <f>IFERROR(__xludf.DUMMYFUNCTION("IF(REGEXMATCH(N185, ""STATUS: Dev Complete - Awaiting QA""), ""Dev Complete - Awaiting QA"", IF(REGEXMATCH(N185, ""STATUS: Follow-Up Required""), ""Follow-Up Required"", IF(REGEXMATCH(N185, ""STATUS: In Progress""), ""In Progress"", IF(REGEXMATCH(N185, """&amp;"STATUS: In QA""), ""In QA"", IF(REGEXMATCH(N185, ""STATUS: Needs Customer Feedback""), ""Needs Customer Feedback"", IF(REGEXMATCH(N185, ""STATUS: QA Passed - Awaiting Release""), ""QA Passed - Awaiting Release"", IF(REGEXMATCH(N185, ""STATUS: Release to P"&amp;"rod""), ""Release to Prod"", """")))))))"),"")</f>
        <v/>
      </c>
    </row>
    <row r="186" hidden="1">
      <c r="A186" s="23" t="s">
        <v>82</v>
      </c>
      <c r="B186" s="12" t="s">
        <v>267</v>
      </c>
      <c r="C186" s="54">
        <v>171.0</v>
      </c>
      <c r="D186" s="55" t="s">
        <v>1023</v>
      </c>
      <c r="E186" s="56" t="s">
        <v>173</v>
      </c>
      <c r="F186" s="54" t="s">
        <v>1024</v>
      </c>
      <c r="G186" s="57" t="str">
        <f t="shared" si="1"/>
        <v>18-Jun-2024</v>
      </c>
      <c r="H186" s="54" t="s">
        <v>1006</v>
      </c>
      <c r="I186" s="54" t="s">
        <v>1025</v>
      </c>
      <c r="J186" s="27" t="str">
        <f t="shared" si="4"/>
        <v>11-Jul-2025</v>
      </c>
      <c r="K186" s="54" t="s">
        <v>1026</v>
      </c>
      <c r="L186" s="27" t="str">
        <f t="shared" si="5"/>
        <v>24-Jun-2024</v>
      </c>
      <c r="M186" s="23" t="s">
        <v>15</v>
      </c>
      <c r="N186" s="23" t="s">
        <v>177</v>
      </c>
      <c r="O186" s="24"/>
      <c r="P186" s="54">
        <v>0.0</v>
      </c>
      <c r="Q186" s="58" t="s">
        <v>1027</v>
      </c>
      <c r="R186" s="27" t="str">
        <f>IFERROR(__xludf.DUMMYFUNCTION("IF(REGEXMATCH(N186, ""PRIORITY: Low""), ""Low"", IF(REGEXMATCH(N186, ""PRIORITY: Medium""), ""Medium"", IF(REGEXMATCH(N186, ""PRIORITY: High""), ""High"", """")))
"),"")</f>
        <v/>
      </c>
      <c r="S186" s="27" t="str">
        <f>IFERROR(__xludf.DUMMYFUNCTION("IF(REGEXMATCH(N186, ""SKILL: Low""), ""Low"", IF(REGEXMATCH(N186, ""SKILL: Medium""), ""Medium"", IF(REGEXMATCH(N186, ""SKILL: High""), ""High"", """")))"),"")</f>
        <v/>
      </c>
      <c r="T186" s="27" t="str">
        <f>IFERROR(__xludf.DUMMYFUNCTION("IF(REGEXMATCH(N186, ""STATUS: Dev Complete - Awaiting QA""), ""Dev Complete - Awaiting QA"", IF(REGEXMATCH(N186, ""STATUS: Follow-Up Required""), ""Follow-Up Required"", IF(REGEXMATCH(N186, ""STATUS: In Progress""), ""In Progress"", IF(REGEXMATCH(N186, """&amp;"STATUS: In QA""), ""In QA"", IF(REGEXMATCH(N186, ""STATUS: Needs Customer Feedback""), ""Needs Customer Feedback"", IF(REGEXMATCH(N186, ""STATUS: QA Passed - Awaiting Release""), ""QA Passed - Awaiting Release"", IF(REGEXMATCH(N186, ""STATUS: Release to P"&amp;"rod""), ""Release to Prod"", """")))))))"),"")</f>
        <v/>
      </c>
    </row>
    <row r="187" hidden="1">
      <c r="A187" s="23" t="s">
        <v>82</v>
      </c>
      <c r="B187" s="12" t="s">
        <v>267</v>
      </c>
      <c r="C187" s="54">
        <v>170.0</v>
      </c>
      <c r="D187" s="55" t="s">
        <v>1028</v>
      </c>
      <c r="E187" s="56" t="s">
        <v>173</v>
      </c>
      <c r="F187" s="54" t="s">
        <v>1029</v>
      </c>
      <c r="G187" s="57" t="str">
        <f t="shared" si="1"/>
        <v>18-Jun-2024</v>
      </c>
      <c r="H187" s="54" t="s">
        <v>254</v>
      </c>
      <c r="I187" s="54" t="s">
        <v>1030</v>
      </c>
      <c r="J187" s="27" t="str">
        <f t="shared" si="4"/>
        <v>11-Jul-2025</v>
      </c>
      <c r="K187" s="54" t="s">
        <v>1031</v>
      </c>
      <c r="L187" s="27" t="str">
        <f t="shared" si="5"/>
        <v>24-Jun-2024</v>
      </c>
      <c r="M187" s="23" t="s">
        <v>15</v>
      </c>
      <c r="N187" s="23" t="s">
        <v>177</v>
      </c>
      <c r="O187" s="24"/>
      <c r="P187" s="54">
        <v>0.0</v>
      </c>
      <c r="Q187" s="58" t="s">
        <v>1032</v>
      </c>
      <c r="R187" s="27" t="str">
        <f>IFERROR(__xludf.DUMMYFUNCTION("IF(REGEXMATCH(N187, ""PRIORITY: Low""), ""Low"", IF(REGEXMATCH(N187, ""PRIORITY: Medium""), ""Medium"", IF(REGEXMATCH(N187, ""PRIORITY: High""), ""High"", """")))
"),"")</f>
        <v/>
      </c>
      <c r="S187" s="27" t="str">
        <f>IFERROR(__xludf.DUMMYFUNCTION("IF(REGEXMATCH(N187, ""SKILL: Low""), ""Low"", IF(REGEXMATCH(N187, ""SKILL: Medium""), ""Medium"", IF(REGEXMATCH(N187, ""SKILL: High""), ""High"", """")))"),"")</f>
        <v/>
      </c>
      <c r="T187" s="27" t="str">
        <f>IFERROR(__xludf.DUMMYFUNCTION("IF(REGEXMATCH(N187, ""STATUS: Dev Complete - Awaiting QA""), ""Dev Complete - Awaiting QA"", IF(REGEXMATCH(N187, ""STATUS: Follow-Up Required""), ""Follow-Up Required"", IF(REGEXMATCH(N187, ""STATUS: In Progress""), ""In Progress"", IF(REGEXMATCH(N187, """&amp;"STATUS: In QA""), ""In QA"", IF(REGEXMATCH(N187, ""STATUS: Needs Customer Feedback""), ""Needs Customer Feedback"", IF(REGEXMATCH(N187, ""STATUS: QA Passed - Awaiting Release""), ""QA Passed - Awaiting Release"", IF(REGEXMATCH(N187, ""STATUS: Release to P"&amp;"rod""), ""Release to Prod"", """")))))))"),"")</f>
        <v/>
      </c>
    </row>
    <row r="188" hidden="1">
      <c r="A188" s="23" t="s">
        <v>82</v>
      </c>
      <c r="B188" s="12" t="s">
        <v>267</v>
      </c>
      <c r="C188" s="54">
        <v>169.0</v>
      </c>
      <c r="D188" s="55" t="s">
        <v>1033</v>
      </c>
      <c r="E188" s="56" t="s">
        <v>173</v>
      </c>
      <c r="F188" s="54" t="s">
        <v>1034</v>
      </c>
      <c r="G188" s="57" t="str">
        <f t="shared" si="1"/>
        <v>18-Jun-2024</v>
      </c>
      <c r="H188" s="54" t="s">
        <v>254</v>
      </c>
      <c r="I188" s="54" t="s">
        <v>1035</v>
      </c>
      <c r="J188" s="27" t="str">
        <f t="shared" si="4"/>
        <v>11-Jul-2025</v>
      </c>
      <c r="K188" s="54" t="s">
        <v>1036</v>
      </c>
      <c r="L188" s="27" t="str">
        <f t="shared" si="5"/>
        <v>24-Jun-2024</v>
      </c>
      <c r="M188" s="23" t="s">
        <v>15</v>
      </c>
      <c r="N188" s="23" t="s">
        <v>177</v>
      </c>
      <c r="O188" s="24"/>
      <c r="P188" s="54">
        <v>0.0</v>
      </c>
      <c r="Q188" s="58" t="s">
        <v>1037</v>
      </c>
      <c r="R188" s="27" t="str">
        <f>IFERROR(__xludf.DUMMYFUNCTION("IF(REGEXMATCH(N188, ""PRIORITY: Low""), ""Low"", IF(REGEXMATCH(N188, ""PRIORITY: Medium""), ""Medium"", IF(REGEXMATCH(N188, ""PRIORITY: High""), ""High"", """")))
"),"")</f>
        <v/>
      </c>
      <c r="S188" s="27" t="str">
        <f>IFERROR(__xludf.DUMMYFUNCTION("IF(REGEXMATCH(N188, ""SKILL: Low""), ""Low"", IF(REGEXMATCH(N188, ""SKILL: Medium""), ""Medium"", IF(REGEXMATCH(N188, ""SKILL: High""), ""High"", """")))"),"")</f>
        <v/>
      </c>
      <c r="T188" s="27" t="str">
        <f>IFERROR(__xludf.DUMMYFUNCTION("IF(REGEXMATCH(N188, ""STATUS: Dev Complete - Awaiting QA""), ""Dev Complete - Awaiting QA"", IF(REGEXMATCH(N188, ""STATUS: Follow-Up Required""), ""Follow-Up Required"", IF(REGEXMATCH(N188, ""STATUS: In Progress""), ""In Progress"", IF(REGEXMATCH(N188, """&amp;"STATUS: In QA""), ""In QA"", IF(REGEXMATCH(N188, ""STATUS: Needs Customer Feedback""), ""Needs Customer Feedback"", IF(REGEXMATCH(N188, ""STATUS: QA Passed - Awaiting Release""), ""QA Passed - Awaiting Release"", IF(REGEXMATCH(N188, ""STATUS: Release to P"&amp;"rod""), ""Release to Prod"", """")))))))"),"")</f>
        <v/>
      </c>
    </row>
    <row r="189" hidden="1">
      <c r="A189" s="23" t="s">
        <v>82</v>
      </c>
      <c r="B189" s="12" t="s">
        <v>267</v>
      </c>
      <c r="C189" s="54">
        <v>165.0</v>
      </c>
      <c r="D189" s="55" t="s">
        <v>1038</v>
      </c>
      <c r="E189" s="56" t="s">
        <v>173</v>
      </c>
      <c r="F189" s="54" t="s">
        <v>1039</v>
      </c>
      <c r="G189" s="57" t="str">
        <f t="shared" si="1"/>
        <v>17-Jun-2024</v>
      </c>
      <c r="H189" s="54" t="s">
        <v>1006</v>
      </c>
      <c r="I189" s="54" t="s">
        <v>1040</v>
      </c>
      <c r="J189" s="27" t="str">
        <f t="shared" si="4"/>
        <v>11-Jul-2025</v>
      </c>
      <c r="K189" s="54" t="s">
        <v>1041</v>
      </c>
      <c r="L189" s="27" t="str">
        <f t="shared" si="5"/>
        <v>18-Jun-2024</v>
      </c>
      <c r="M189" s="23" t="s">
        <v>15</v>
      </c>
      <c r="N189" s="23" t="s">
        <v>177</v>
      </c>
      <c r="O189" s="24"/>
      <c r="P189" s="54">
        <v>0.0</v>
      </c>
      <c r="Q189" s="58" t="s">
        <v>1042</v>
      </c>
      <c r="R189" s="27" t="str">
        <f>IFERROR(__xludf.DUMMYFUNCTION("IF(REGEXMATCH(N189, ""PRIORITY: Low""), ""Low"", IF(REGEXMATCH(N189, ""PRIORITY: Medium""), ""Medium"", IF(REGEXMATCH(N189, ""PRIORITY: High""), ""High"", """")))
"),"")</f>
        <v/>
      </c>
      <c r="S189" s="27" t="str">
        <f>IFERROR(__xludf.DUMMYFUNCTION("IF(REGEXMATCH(N189, ""SKILL: Low""), ""Low"", IF(REGEXMATCH(N189, ""SKILL: Medium""), ""Medium"", IF(REGEXMATCH(N189, ""SKILL: High""), ""High"", """")))"),"")</f>
        <v/>
      </c>
      <c r="T189" s="27" t="str">
        <f>IFERROR(__xludf.DUMMYFUNCTION("IF(REGEXMATCH(N189, ""STATUS: Dev Complete - Awaiting QA""), ""Dev Complete - Awaiting QA"", IF(REGEXMATCH(N189, ""STATUS: Follow-Up Required""), ""Follow-Up Required"", IF(REGEXMATCH(N189, ""STATUS: In Progress""), ""In Progress"", IF(REGEXMATCH(N189, """&amp;"STATUS: In QA""), ""In QA"", IF(REGEXMATCH(N189, ""STATUS: Needs Customer Feedback""), ""Needs Customer Feedback"", IF(REGEXMATCH(N189, ""STATUS: QA Passed - Awaiting Release""), ""QA Passed - Awaiting Release"", IF(REGEXMATCH(N189, ""STATUS: Release to P"&amp;"rod""), ""Release to Prod"", """")))))))"),"")</f>
        <v/>
      </c>
    </row>
    <row r="190" hidden="1">
      <c r="A190" s="23" t="s">
        <v>82</v>
      </c>
      <c r="B190" s="12" t="s">
        <v>267</v>
      </c>
      <c r="C190" s="54">
        <v>164.0</v>
      </c>
      <c r="D190" s="55" t="s">
        <v>1043</v>
      </c>
      <c r="E190" s="56" t="s">
        <v>173</v>
      </c>
      <c r="F190" s="54" t="s">
        <v>1044</v>
      </c>
      <c r="G190" s="57" t="str">
        <f t="shared" si="1"/>
        <v>17-Jun-2024</v>
      </c>
      <c r="H190" s="54" t="s">
        <v>1006</v>
      </c>
      <c r="I190" s="54" t="s">
        <v>1045</v>
      </c>
      <c r="J190" s="27" t="str">
        <f t="shared" si="4"/>
        <v>11-Jul-2025</v>
      </c>
      <c r="K190" s="54" t="s">
        <v>1046</v>
      </c>
      <c r="L190" s="27" t="str">
        <f t="shared" si="5"/>
        <v>18-Jun-2024</v>
      </c>
      <c r="M190" s="23" t="s">
        <v>15</v>
      </c>
      <c r="N190" s="23" t="s">
        <v>177</v>
      </c>
      <c r="O190" s="24"/>
      <c r="P190" s="54">
        <v>0.0</v>
      </c>
      <c r="Q190" s="58" t="s">
        <v>1047</v>
      </c>
      <c r="R190" s="27" t="str">
        <f>IFERROR(__xludf.DUMMYFUNCTION("IF(REGEXMATCH(N190, ""PRIORITY: Low""), ""Low"", IF(REGEXMATCH(N190, ""PRIORITY: Medium""), ""Medium"", IF(REGEXMATCH(N190, ""PRIORITY: High""), ""High"", """")))
"),"")</f>
        <v/>
      </c>
      <c r="S190" s="27" t="str">
        <f>IFERROR(__xludf.DUMMYFUNCTION("IF(REGEXMATCH(N190, ""SKILL: Low""), ""Low"", IF(REGEXMATCH(N190, ""SKILL: Medium""), ""Medium"", IF(REGEXMATCH(N190, ""SKILL: High""), ""High"", """")))"),"")</f>
        <v/>
      </c>
      <c r="T190" s="27" t="str">
        <f>IFERROR(__xludf.DUMMYFUNCTION("IF(REGEXMATCH(N190, ""STATUS: Dev Complete - Awaiting QA""), ""Dev Complete - Awaiting QA"", IF(REGEXMATCH(N190, ""STATUS: Follow-Up Required""), ""Follow-Up Required"", IF(REGEXMATCH(N190, ""STATUS: In Progress""), ""In Progress"", IF(REGEXMATCH(N190, """&amp;"STATUS: In QA""), ""In QA"", IF(REGEXMATCH(N190, ""STATUS: Needs Customer Feedback""), ""Needs Customer Feedback"", IF(REGEXMATCH(N190, ""STATUS: QA Passed - Awaiting Release""), ""QA Passed - Awaiting Release"", IF(REGEXMATCH(N190, ""STATUS: Release to P"&amp;"rod""), ""Release to Prod"", """")))))))"),"")</f>
        <v/>
      </c>
    </row>
    <row r="191" hidden="1">
      <c r="A191" s="23" t="s">
        <v>82</v>
      </c>
      <c r="B191" s="12" t="s">
        <v>267</v>
      </c>
      <c r="C191" s="54">
        <v>163.0</v>
      </c>
      <c r="D191" s="55" t="s">
        <v>1048</v>
      </c>
      <c r="E191" s="56" t="s">
        <v>173</v>
      </c>
      <c r="F191" s="54" t="s">
        <v>1049</v>
      </c>
      <c r="G191" s="57" t="str">
        <f t="shared" si="1"/>
        <v>17-Jun-2024</v>
      </c>
      <c r="H191" s="54" t="s">
        <v>1006</v>
      </c>
      <c r="I191" s="54" t="s">
        <v>1050</v>
      </c>
      <c r="J191" s="27" t="str">
        <f t="shared" si="4"/>
        <v>11-Jul-2025</v>
      </c>
      <c r="K191" s="54" t="s">
        <v>1051</v>
      </c>
      <c r="L191" s="27" t="str">
        <f t="shared" si="5"/>
        <v>18-Jun-2024</v>
      </c>
      <c r="M191" s="23" t="s">
        <v>15</v>
      </c>
      <c r="N191" s="23" t="s">
        <v>177</v>
      </c>
      <c r="O191" s="24"/>
      <c r="P191" s="54">
        <v>0.0</v>
      </c>
      <c r="Q191" s="58" t="s">
        <v>1052</v>
      </c>
      <c r="R191" s="27" t="str">
        <f>IFERROR(__xludf.DUMMYFUNCTION("IF(REGEXMATCH(N191, ""PRIORITY: Low""), ""Low"", IF(REGEXMATCH(N191, ""PRIORITY: Medium""), ""Medium"", IF(REGEXMATCH(N191, ""PRIORITY: High""), ""High"", """")))
"),"")</f>
        <v/>
      </c>
      <c r="S191" s="27" t="str">
        <f>IFERROR(__xludf.DUMMYFUNCTION("IF(REGEXMATCH(N191, ""SKILL: Low""), ""Low"", IF(REGEXMATCH(N191, ""SKILL: Medium""), ""Medium"", IF(REGEXMATCH(N191, ""SKILL: High""), ""High"", """")))"),"")</f>
        <v/>
      </c>
      <c r="T191" s="27" t="str">
        <f>IFERROR(__xludf.DUMMYFUNCTION("IF(REGEXMATCH(N191, ""STATUS: Dev Complete - Awaiting QA""), ""Dev Complete - Awaiting QA"", IF(REGEXMATCH(N191, ""STATUS: Follow-Up Required""), ""Follow-Up Required"", IF(REGEXMATCH(N191, ""STATUS: In Progress""), ""In Progress"", IF(REGEXMATCH(N191, """&amp;"STATUS: In QA""), ""In QA"", IF(REGEXMATCH(N191, ""STATUS: Needs Customer Feedback""), ""Needs Customer Feedback"", IF(REGEXMATCH(N191, ""STATUS: QA Passed - Awaiting Release""), ""QA Passed - Awaiting Release"", IF(REGEXMATCH(N191, ""STATUS: Release to P"&amp;"rod""), ""Release to Prod"", """")))))))"),"")</f>
        <v/>
      </c>
    </row>
    <row r="192" hidden="1">
      <c r="A192" s="23" t="s">
        <v>82</v>
      </c>
      <c r="B192" s="12" t="s">
        <v>267</v>
      </c>
      <c r="C192" s="54">
        <v>162.0</v>
      </c>
      <c r="D192" s="55" t="s">
        <v>1053</v>
      </c>
      <c r="E192" s="56" t="s">
        <v>173</v>
      </c>
      <c r="F192" s="54" t="s">
        <v>1054</v>
      </c>
      <c r="G192" s="57" t="str">
        <f t="shared" si="1"/>
        <v>17-Jun-2024</v>
      </c>
      <c r="H192" s="54" t="s">
        <v>1006</v>
      </c>
      <c r="I192" s="54" t="s">
        <v>1050</v>
      </c>
      <c r="J192" s="27" t="str">
        <f t="shared" si="4"/>
        <v>11-Jul-2025</v>
      </c>
      <c r="K192" s="54" t="s">
        <v>1055</v>
      </c>
      <c r="L192" s="27" t="str">
        <f t="shared" si="5"/>
        <v>18-Jun-2024</v>
      </c>
      <c r="M192" s="23" t="s">
        <v>15</v>
      </c>
      <c r="N192" s="23" t="s">
        <v>177</v>
      </c>
      <c r="O192" s="24"/>
      <c r="P192" s="54">
        <v>0.0</v>
      </c>
      <c r="Q192" s="58" t="s">
        <v>1056</v>
      </c>
      <c r="R192" s="27" t="str">
        <f>IFERROR(__xludf.DUMMYFUNCTION("IF(REGEXMATCH(N192, ""PRIORITY: Low""), ""Low"", IF(REGEXMATCH(N192, ""PRIORITY: Medium""), ""Medium"", IF(REGEXMATCH(N192, ""PRIORITY: High""), ""High"", """")))
"),"")</f>
        <v/>
      </c>
      <c r="S192" s="27" t="str">
        <f>IFERROR(__xludf.DUMMYFUNCTION("IF(REGEXMATCH(N192, ""SKILL: Low""), ""Low"", IF(REGEXMATCH(N192, ""SKILL: Medium""), ""Medium"", IF(REGEXMATCH(N192, ""SKILL: High""), ""High"", """")))"),"")</f>
        <v/>
      </c>
      <c r="T192" s="27" t="str">
        <f>IFERROR(__xludf.DUMMYFUNCTION("IF(REGEXMATCH(N192, ""STATUS: Dev Complete - Awaiting QA""), ""Dev Complete - Awaiting QA"", IF(REGEXMATCH(N192, ""STATUS: Follow-Up Required""), ""Follow-Up Required"", IF(REGEXMATCH(N192, ""STATUS: In Progress""), ""In Progress"", IF(REGEXMATCH(N192, """&amp;"STATUS: In QA""), ""In QA"", IF(REGEXMATCH(N192, ""STATUS: Needs Customer Feedback""), ""Needs Customer Feedback"", IF(REGEXMATCH(N192, ""STATUS: QA Passed - Awaiting Release""), ""QA Passed - Awaiting Release"", IF(REGEXMATCH(N192, ""STATUS: Release to P"&amp;"rod""), ""Release to Prod"", """")))))))"),"")</f>
        <v/>
      </c>
    </row>
    <row r="193" hidden="1">
      <c r="A193" s="23" t="s">
        <v>82</v>
      </c>
      <c r="B193" s="12" t="s">
        <v>267</v>
      </c>
      <c r="C193" s="54">
        <v>161.0</v>
      </c>
      <c r="D193" s="55" t="s">
        <v>1057</v>
      </c>
      <c r="E193" s="56" t="s">
        <v>173</v>
      </c>
      <c r="F193" s="54" t="s">
        <v>1058</v>
      </c>
      <c r="G193" s="57" t="str">
        <f t="shared" si="1"/>
        <v>17-Jun-2024</v>
      </c>
      <c r="H193" s="54" t="s">
        <v>1006</v>
      </c>
      <c r="I193" s="54" t="s">
        <v>1059</v>
      </c>
      <c r="J193" s="27" t="str">
        <f t="shared" si="4"/>
        <v>11-Jul-2025</v>
      </c>
      <c r="K193" s="54" t="s">
        <v>1060</v>
      </c>
      <c r="L193" s="27" t="str">
        <f t="shared" si="5"/>
        <v>18-Jun-2024</v>
      </c>
      <c r="M193" s="23" t="s">
        <v>15</v>
      </c>
      <c r="N193" s="23" t="s">
        <v>177</v>
      </c>
      <c r="O193" s="24"/>
      <c r="P193" s="54">
        <v>0.0</v>
      </c>
      <c r="Q193" s="58" t="s">
        <v>1061</v>
      </c>
      <c r="R193" s="27" t="str">
        <f>IFERROR(__xludf.DUMMYFUNCTION("IF(REGEXMATCH(N193, ""PRIORITY: Low""), ""Low"", IF(REGEXMATCH(N193, ""PRIORITY: Medium""), ""Medium"", IF(REGEXMATCH(N193, ""PRIORITY: High""), ""High"", """")))
"),"")</f>
        <v/>
      </c>
      <c r="S193" s="27" t="str">
        <f>IFERROR(__xludf.DUMMYFUNCTION("IF(REGEXMATCH(N193, ""SKILL: Low""), ""Low"", IF(REGEXMATCH(N193, ""SKILL: Medium""), ""Medium"", IF(REGEXMATCH(N193, ""SKILL: High""), ""High"", """")))"),"")</f>
        <v/>
      </c>
      <c r="T193" s="27" t="str">
        <f>IFERROR(__xludf.DUMMYFUNCTION("IF(REGEXMATCH(N193, ""STATUS: Dev Complete - Awaiting QA""), ""Dev Complete - Awaiting QA"", IF(REGEXMATCH(N193, ""STATUS: Follow-Up Required""), ""Follow-Up Required"", IF(REGEXMATCH(N193, ""STATUS: In Progress""), ""In Progress"", IF(REGEXMATCH(N193, """&amp;"STATUS: In QA""), ""In QA"", IF(REGEXMATCH(N193, ""STATUS: Needs Customer Feedback""), ""Needs Customer Feedback"", IF(REGEXMATCH(N193, ""STATUS: QA Passed - Awaiting Release""), ""QA Passed - Awaiting Release"", IF(REGEXMATCH(N193, ""STATUS: Release to P"&amp;"rod""), ""Release to Prod"", """")))))))"),"")</f>
        <v/>
      </c>
    </row>
    <row r="194" hidden="1">
      <c r="A194" s="23" t="s">
        <v>82</v>
      </c>
      <c r="B194" s="12" t="s">
        <v>267</v>
      </c>
      <c r="C194" s="54">
        <v>160.0</v>
      </c>
      <c r="D194" s="55" t="s">
        <v>1062</v>
      </c>
      <c r="E194" s="56" t="s">
        <v>173</v>
      </c>
      <c r="F194" s="54" t="s">
        <v>1063</v>
      </c>
      <c r="G194" s="57" t="str">
        <f t="shared" si="1"/>
        <v>17-Jun-2024</v>
      </c>
      <c r="H194" s="54" t="s">
        <v>1006</v>
      </c>
      <c r="I194" s="54" t="s">
        <v>1064</v>
      </c>
      <c r="J194" s="27" t="str">
        <f t="shared" si="4"/>
        <v>11-Jul-2025</v>
      </c>
      <c r="K194" s="54" t="s">
        <v>1065</v>
      </c>
      <c r="L194" s="27" t="str">
        <f t="shared" si="5"/>
        <v>18-Jun-2024</v>
      </c>
      <c r="M194" s="23" t="s">
        <v>15</v>
      </c>
      <c r="N194" s="23" t="s">
        <v>177</v>
      </c>
      <c r="O194" s="24"/>
      <c r="P194" s="54">
        <v>0.0</v>
      </c>
      <c r="Q194" s="58" t="s">
        <v>1066</v>
      </c>
      <c r="R194" s="27" t="str">
        <f>IFERROR(__xludf.DUMMYFUNCTION("IF(REGEXMATCH(N194, ""PRIORITY: Low""), ""Low"", IF(REGEXMATCH(N194, ""PRIORITY: Medium""), ""Medium"", IF(REGEXMATCH(N194, ""PRIORITY: High""), ""High"", """")))
"),"")</f>
        <v/>
      </c>
      <c r="S194" s="27" t="str">
        <f>IFERROR(__xludf.DUMMYFUNCTION("IF(REGEXMATCH(N194, ""SKILL: Low""), ""Low"", IF(REGEXMATCH(N194, ""SKILL: Medium""), ""Medium"", IF(REGEXMATCH(N194, ""SKILL: High""), ""High"", """")))"),"")</f>
        <v/>
      </c>
      <c r="T194" s="27" t="str">
        <f>IFERROR(__xludf.DUMMYFUNCTION("IF(REGEXMATCH(N194, ""STATUS: Dev Complete - Awaiting QA""), ""Dev Complete - Awaiting QA"", IF(REGEXMATCH(N194, ""STATUS: Follow-Up Required""), ""Follow-Up Required"", IF(REGEXMATCH(N194, ""STATUS: In Progress""), ""In Progress"", IF(REGEXMATCH(N194, """&amp;"STATUS: In QA""), ""In QA"", IF(REGEXMATCH(N194, ""STATUS: Needs Customer Feedback""), ""Needs Customer Feedback"", IF(REGEXMATCH(N194, ""STATUS: QA Passed - Awaiting Release""), ""QA Passed - Awaiting Release"", IF(REGEXMATCH(N194, ""STATUS: Release to P"&amp;"rod""), ""Release to Prod"", """")))))))"),"")</f>
        <v/>
      </c>
    </row>
    <row r="195" hidden="1">
      <c r="A195" s="23" t="s">
        <v>82</v>
      </c>
      <c r="B195" s="12" t="s">
        <v>267</v>
      </c>
      <c r="C195" s="54">
        <v>159.0</v>
      </c>
      <c r="D195" s="55" t="s">
        <v>1067</v>
      </c>
      <c r="E195" s="56" t="s">
        <v>173</v>
      </c>
      <c r="F195" s="54" t="s">
        <v>1068</v>
      </c>
      <c r="G195" s="57" t="str">
        <f t="shared" si="1"/>
        <v>17-Jun-2024</v>
      </c>
      <c r="H195" s="54" t="s">
        <v>1006</v>
      </c>
      <c r="I195" s="54" t="s">
        <v>1064</v>
      </c>
      <c r="J195" s="27" t="str">
        <f t="shared" si="4"/>
        <v>11-Jul-2025</v>
      </c>
      <c r="K195" s="54" t="s">
        <v>1069</v>
      </c>
      <c r="L195" s="27" t="str">
        <f t="shared" si="5"/>
        <v>18-Jun-2024</v>
      </c>
      <c r="M195" s="23" t="s">
        <v>15</v>
      </c>
      <c r="N195" s="23" t="s">
        <v>177</v>
      </c>
      <c r="O195" s="24"/>
      <c r="P195" s="54">
        <v>0.0</v>
      </c>
      <c r="Q195" s="58" t="s">
        <v>1070</v>
      </c>
      <c r="R195" s="27" t="str">
        <f>IFERROR(__xludf.DUMMYFUNCTION("IF(REGEXMATCH(N195, ""PRIORITY: Low""), ""Low"", IF(REGEXMATCH(N195, ""PRIORITY: Medium""), ""Medium"", IF(REGEXMATCH(N195, ""PRIORITY: High""), ""High"", """")))
"),"")</f>
        <v/>
      </c>
      <c r="S195" s="27" t="str">
        <f>IFERROR(__xludf.DUMMYFUNCTION("IF(REGEXMATCH(N195, ""SKILL: Low""), ""Low"", IF(REGEXMATCH(N195, ""SKILL: Medium""), ""Medium"", IF(REGEXMATCH(N195, ""SKILL: High""), ""High"", """")))"),"")</f>
        <v/>
      </c>
      <c r="T195" s="27" t="str">
        <f>IFERROR(__xludf.DUMMYFUNCTION("IF(REGEXMATCH(N195, ""STATUS: Dev Complete - Awaiting QA""), ""Dev Complete - Awaiting QA"", IF(REGEXMATCH(N195, ""STATUS: Follow-Up Required""), ""Follow-Up Required"", IF(REGEXMATCH(N195, ""STATUS: In Progress""), ""In Progress"", IF(REGEXMATCH(N195, """&amp;"STATUS: In QA""), ""In QA"", IF(REGEXMATCH(N195, ""STATUS: Needs Customer Feedback""), ""Needs Customer Feedback"", IF(REGEXMATCH(N195, ""STATUS: QA Passed - Awaiting Release""), ""QA Passed - Awaiting Release"", IF(REGEXMATCH(N195, ""STATUS: Release to P"&amp;"rod""), ""Release to Prod"", """")))))))"),"")</f>
        <v/>
      </c>
    </row>
    <row r="196" hidden="1">
      <c r="A196" s="23" t="s">
        <v>82</v>
      </c>
      <c r="B196" s="12" t="s">
        <v>267</v>
      </c>
      <c r="C196" s="54">
        <v>158.0</v>
      </c>
      <c r="D196" s="55" t="s">
        <v>1071</v>
      </c>
      <c r="E196" s="56" t="s">
        <v>173</v>
      </c>
      <c r="F196" s="54" t="s">
        <v>1072</v>
      </c>
      <c r="G196" s="57" t="str">
        <f t="shared" si="1"/>
        <v>17-Jun-2024</v>
      </c>
      <c r="H196" s="54" t="s">
        <v>1006</v>
      </c>
      <c r="I196" s="54" t="s">
        <v>1073</v>
      </c>
      <c r="J196" s="27" t="str">
        <f t="shared" si="4"/>
        <v>11-Jul-2025</v>
      </c>
      <c r="K196" s="54" t="s">
        <v>1074</v>
      </c>
      <c r="L196" s="27" t="str">
        <f t="shared" si="5"/>
        <v>18-Jun-2024</v>
      </c>
      <c r="M196" s="23" t="s">
        <v>15</v>
      </c>
      <c r="N196" s="23" t="s">
        <v>177</v>
      </c>
      <c r="O196" s="24"/>
      <c r="P196" s="54">
        <v>0.0</v>
      </c>
      <c r="Q196" s="58" t="s">
        <v>1075</v>
      </c>
      <c r="R196" s="27" t="str">
        <f>IFERROR(__xludf.DUMMYFUNCTION("IF(REGEXMATCH(N196, ""PRIORITY: Low""), ""Low"", IF(REGEXMATCH(N196, ""PRIORITY: Medium""), ""Medium"", IF(REGEXMATCH(N196, ""PRIORITY: High""), ""High"", """")))
"),"")</f>
        <v/>
      </c>
      <c r="S196" s="27" t="str">
        <f>IFERROR(__xludf.DUMMYFUNCTION("IF(REGEXMATCH(N196, ""SKILL: Low""), ""Low"", IF(REGEXMATCH(N196, ""SKILL: Medium""), ""Medium"", IF(REGEXMATCH(N196, ""SKILL: High""), ""High"", """")))"),"")</f>
        <v/>
      </c>
      <c r="T196" s="27" t="str">
        <f>IFERROR(__xludf.DUMMYFUNCTION("IF(REGEXMATCH(N196, ""STATUS: Dev Complete - Awaiting QA""), ""Dev Complete - Awaiting QA"", IF(REGEXMATCH(N196, ""STATUS: Follow-Up Required""), ""Follow-Up Required"", IF(REGEXMATCH(N196, ""STATUS: In Progress""), ""In Progress"", IF(REGEXMATCH(N196, """&amp;"STATUS: In QA""), ""In QA"", IF(REGEXMATCH(N196, ""STATUS: Needs Customer Feedback""), ""Needs Customer Feedback"", IF(REGEXMATCH(N196, ""STATUS: QA Passed - Awaiting Release""), ""QA Passed - Awaiting Release"", IF(REGEXMATCH(N196, ""STATUS: Release to P"&amp;"rod""), ""Release to Prod"", """")))))))"),"")</f>
        <v/>
      </c>
    </row>
    <row r="197" hidden="1">
      <c r="A197" s="23" t="s">
        <v>82</v>
      </c>
      <c r="B197" s="12" t="s">
        <v>267</v>
      </c>
      <c r="C197" s="54">
        <v>157.0</v>
      </c>
      <c r="D197" s="55" t="s">
        <v>1076</v>
      </c>
      <c r="E197" s="56" t="s">
        <v>173</v>
      </c>
      <c r="F197" s="54" t="s">
        <v>1077</v>
      </c>
      <c r="G197" s="57" t="str">
        <f t="shared" si="1"/>
        <v>17-Jun-2024</v>
      </c>
      <c r="H197" s="54" t="s">
        <v>1006</v>
      </c>
      <c r="I197" s="54" t="s">
        <v>1078</v>
      </c>
      <c r="J197" s="27" t="str">
        <f t="shared" si="4"/>
        <v>11-Jul-2025</v>
      </c>
      <c r="K197" s="54" t="s">
        <v>1079</v>
      </c>
      <c r="L197" s="27" t="str">
        <f t="shared" si="5"/>
        <v>24-Jun-2024</v>
      </c>
      <c r="M197" s="23" t="s">
        <v>15</v>
      </c>
      <c r="N197" s="23" t="s">
        <v>177</v>
      </c>
      <c r="O197" s="24"/>
      <c r="P197" s="54">
        <v>0.0</v>
      </c>
      <c r="Q197" s="58" t="s">
        <v>1080</v>
      </c>
      <c r="R197" s="27" t="str">
        <f>IFERROR(__xludf.DUMMYFUNCTION("IF(REGEXMATCH(N197, ""PRIORITY: Low""), ""Low"", IF(REGEXMATCH(N197, ""PRIORITY: Medium""), ""Medium"", IF(REGEXMATCH(N197, ""PRIORITY: High""), ""High"", """")))
"),"")</f>
        <v/>
      </c>
      <c r="S197" s="27" t="str">
        <f>IFERROR(__xludf.DUMMYFUNCTION("IF(REGEXMATCH(N197, ""SKILL: Low""), ""Low"", IF(REGEXMATCH(N197, ""SKILL: Medium""), ""Medium"", IF(REGEXMATCH(N197, ""SKILL: High""), ""High"", """")))"),"")</f>
        <v/>
      </c>
      <c r="T197" s="27" t="str">
        <f>IFERROR(__xludf.DUMMYFUNCTION("IF(REGEXMATCH(N197, ""STATUS: Dev Complete - Awaiting QA""), ""Dev Complete - Awaiting QA"", IF(REGEXMATCH(N197, ""STATUS: Follow-Up Required""), ""Follow-Up Required"", IF(REGEXMATCH(N197, ""STATUS: In Progress""), ""In Progress"", IF(REGEXMATCH(N197, """&amp;"STATUS: In QA""), ""In QA"", IF(REGEXMATCH(N197, ""STATUS: Needs Customer Feedback""), ""Needs Customer Feedback"", IF(REGEXMATCH(N197, ""STATUS: QA Passed - Awaiting Release""), ""QA Passed - Awaiting Release"", IF(REGEXMATCH(N197, ""STATUS: Release to P"&amp;"rod""), ""Release to Prod"", """")))))))"),"")</f>
        <v/>
      </c>
    </row>
    <row r="198" hidden="1">
      <c r="A198" s="23" t="s">
        <v>82</v>
      </c>
      <c r="B198" s="12" t="s">
        <v>267</v>
      </c>
      <c r="C198" s="54">
        <v>154.0</v>
      </c>
      <c r="D198" s="55" t="s">
        <v>1081</v>
      </c>
      <c r="E198" s="56" t="s">
        <v>173</v>
      </c>
      <c r="F198" s="54" t="s">
        <v>1082</v>
      </c>
      <c r="G198" s="57" t="str">
        <f t="shared" si="1"/>
        <v>14-Jun-2024</v>
      </c>
      <c r="H198" s="54" t="s">
        <v>254</v>
      </c>
      <c r="I198" s="54" t="s">
        <v>1083</v>
      </c>
      <c r="J198" s="27" t="str">
        <f t="shared" si="4"/>
        <v>11-Jul-2025</v>
      </c>
      <c r="K198" s="54" t="s">
        <v>1084</v>
      </c>
      <c r="L198" s="27" t="str">
        <f t="shared" si="5"/>
        <v>24-Jun-2024</v>
      </c>
      <c r="M198" s="23" t="s">
        <v>15</v>
      </c>
      <c r="N198" s="23" t="s">
        <v>177</v>
      </c>
      <c r="O198" s="24"/>
      <c r="P198" s="54">
        <v>0.0</v>
      </c>
      <c r="Q198" s="58" t="s">
        <v>1085</v>
      </c>
      <c r="R198" s="27" t="str">
        <f>IFERROR(__xludf.DUMMYFUNCTION("IF(REGEXMATCH(N198, ""PRIORITY: Low""), ""Low"", IF(REGEXMATCH(N198, ""PRIORITY: Medium""), ""Medium"", IF(REGEXMATCH(N198, ""PRIORITY: High""), ""High"", """")))
"),"")</f>
        <v/>
      </c>
      <c r="S198" s="27" t="str">
        <f>IFERROR(__xludf.DUMMYFUNCTION("IF(REGEXMATCH(N198, ""SKILL: Low""), ""Low"", IF(REGEXMATCH(N198, ""SKILL: Medium""), ""Medium"", IF(REGEXMATCH(N198, ""SKILL: High""), ""High"", """")))"),"")</f>
        <v/>
      </c>
      <c r="T198" s="27" t="str">
        <f>IFERROR(__xludf.DUMMYFUNCTION("IF(REGEXMATCH(N198, ""STATUS: Dev Complete - Awaiting QA""), ""Dev Complete - Awaiting QA"", IF(REGEXMATCH(N198, ""STATUS: Follow-Up Required""), ""Follow-Up Required"", IF(REGEXMATCH(N198, ""STATUS: In Progress""), ""In Progress"", IF(REGEXMATCH(N198, """&amp;"STATUS: In QA""), ""In QA"", IF(REGEXMATCH(N198, ""STATUS: Needs Customer Feedback""), ""Needs Customer Feedback"", IF(REGEXMATCH(N198, ""STATUS: QA Passed - Awaiting Release""), ""QA Passed - Awaiting Release"", IF(REGEXMATCH(N198, ""STATUS: Release to P"&amp;"rod""), ""Release to Prod"", """")))))))"),"")</f>
        <v/>
      </c>
    </row>
    <row r="199" hidden="1">
      <c r="A199" s="23" t="s">
        <v>82</v>
      </c>
      <c r="B199" s="12" t="s">
        <v>267</v>
      </c>
      <c r="C199" s="54">
        <v>150.0</v>
      </c>
      <c r="D199" s="55" t="s">
        <v>1086</v>
      </c>
      <c r="E199" s="56" t="s">
        <v>173</v>
      </c>
      <c r="F199" s="54" t="s">
        <v>1087</v>
      </c>
      <c r="G199" s="57" t="str">
        <f t="shared" si="1"/>
        <v>14-Jun-2024</v>
      </c>
      <c r="H199" s="54" t="s">
        <v>254</v>
      </c>
      <c r="I199" s="54" t="s">
        <v>1088</v>
      </c>
      <c r="J199" s="27" t="str">
        <f t="shared" si="4"/>
        <v>11-Jul-2025</v>
      </c>
      <c r="K199" s="54" t="s">
        <v>1089</v>
      </c>
      <c r="L199" s="27" t="str">
        <f t="shared" si="5"/>
        <v>14-Jun-2024</v>
      </c>
      <c r="M199" s="23" t="s">
        <v>15</v>
      </c>
      <c r="N199" s="23" t="s">
        <v>177</v>
      </c>
      <c r="O199" s="24"/>
      <c r="P199" s="54">
        <v>0.0</v>
      </c>
      <c r="Q199" s="58" t="s">
        <v>1090</v>
      </c>
      <c r="R199" s="27" t="str">
        <f>IFERROR(__xludf.DUMMYFUNCTION("IF(REGEXMATCH(N199, ""PRIORITY: Low""), ""Low"", IF(REGEXMATCH(N199, ""PRIORITY: Medium""), ""Medium"", IF(REGEXMATCH(N199, ""PRIORITY: High""), ""High"", """")))
"),"")</f>
        <v/>
      </c>
      <c r="S199" s="27" t="str">
        <f>IFERROR(__xludf.DUMMYFUNCTION("IF(REGEXMATCH(N199, ""SKILL: Low""), ""Low"", IF(REGEXMATCH(N199, ""SKILL: Medium""), ""Medium"", IF(REGEXMATCH(N199, ""SKILL: High""), ""High"", """")))"),"")</f>
        <v/>
      </c>
      <c r="T199" s="27" t="str">
        <f>IFERROR(__xludf.DUMMYFUNCTION("IF(REGEXMATCH(N199, ""STATUS: Dev Complete - Awaiting QA""), ""Dev Complete - Awaiting QA"", IF(REGEXMATCH(N199, ""STATUS: Follow-Up Required""), ""Follow-Up Required"", IF(REGEXMATCH(N199, ""STATUS: In Progress""), ""In Progress"", IF(REGEXMATCH(N199, """&amp;"STATUS: In QA""), ""In QA"", IF(REGEXMATCH(N199, ""STATUS: Needs Customer Feedback""), ""Needs Customer Feedback"", IF(REGEXMATCH(N199, ""STATUS: QA Passed - Awaiting Release""), ""QA Passed - Awaiting Release"", IF(REGEXMATCH(N199, ""STATUS: Release to P"&amp;"rod""), ""Release to Prod"", """")))))))"),"")</f>
        <v/>
      </c>
    </row>
    <row r="200" hidden="1">
      <c r="A200" s="23" t="s">
        <v>82</v>
      </c>
      <c r="B200" s="12" t="s">
        <v>267</v>
      </c>
      <c r="C200" s="54">
        <v>149.0</v>
      </c>
      <c r="D200" s="55" t="s">
        <v>1091</v>
      </c>
      <c r="E200" s="56" t="s">
        <v>173</v>
      </c>
      <c r="F200" s="54" t="s">
        <v>1092</v>
      </c>
      <c r="G200" s="57" t="str">
        <f t="shared" si="1"/>
        <v>14-Jun-2024</v>
      </c>
      <c r="H200" s="54" t="s">
        <v>1006</v>
      </c>
      <c r="I200" s="54" t="s">
        <v>1088</v>
      </c>
      <c r="J200" s="27" t="str">
        <f t="shared" si="4"/>
        <v>11-Jul-2025</v>
      </c>
      <c r="K200" s="54" t="s">
        <v>1093</v>
      </c>
      <c r="L200" s="27" t="str">
        <f t="shared" si="5"/>
        <v>14-Jun-2024</v>
      </c>
      <c r="M200" s="23" t="s">
        <v>15</v>
      </c>
      <c r="N200" s="23" t="s">
        <v>177</v>
      </c>
      <c r="O200" s="24"/>
      <c r="P200" s="54">
        <v>0.0</v>
      </c>
      <c r="Q200" s="58" t="s">
        <v>1094</v>
      </c>
      <c r="R200" s="27" t="str">
        <f>IFERROR(__xludf.DUMMYFUNCTION("IF(REGEXMATCH(N200, ""PRIORITY: Low""), ""Low"", IF(REGEXMATCH(N200, ""PRIORITY: Medium""), ""Medium"", IF(REGEXMATCH(N200, ""PRIORITY: High""), ""High"", """")))
"),"")</f>
        <v/>
      </c>
      <c r="S200" s="27" t="str">
        <f>IFERROR(__xludf.DUMMYFUNCTION("IF(REGEXMATCH(N200, ""SKILL: Low""), ""Low"", IF(REGEXMATCH(N200, ""SKILL: Medium""), ""Medium"", IF(REGEXMATCH(N200, ""SKILL: High""), ""High"", """")))"),"")</f>
        <v/>
      </c>
      <c r="T200" s="27" t="str">
        <f>IFERROR(__xludf.DUMMYFUNCTION("IF(REGEXMATCH(N200, ""STATUS: Dev Complete - Awaiting QA""), ""Dev Complete - Awaiting QA"", IF(REGEXMATCH(N200, ""STATUS: Follow-Up Required""), ""Follow-Up Required"", IF(REGEXMATCH(N200, ""STATUS: In Progress""), ""In Progress"", IF(REGEXMATCH(N200, """&amp;"STATUS: In QA""), ""In QA"", IF(REGEXMATCH(N200, ""STATUS: Needs Customer Feedback""), ""Needs Customer Feedback"", IF(REGEXMATCH(N200, ""STATUS: QA Passed - Awaiting Release""), ""QA Passed - Awaiting Release"", IF(REGEXMATCH(N200, ""STATUS: Release to P"&amp;"rod""), ""Release to Prod"", """")))))))"),"")</f>
        <v/>
      </c>
    </row>
    <row r="201" hidden="1">
      <c r="A201" s="23" t="s">
        <v>82</v>
      </c>
      <c r="B201" s="12" t="s">
        <v>267</v>
      </c>
      <c r="C201" s="54">
        <v>148.0</v>
      </c>
      <c r="D201" s="55" t="s">
        <v>1095</v>
      </c>
      <c r="E201" s="56" t="s">
        <v>173</v>
      </c>
      <c r="F201" s="54" t="s">
        <v>1096</v>
      </c>
      <c r="G201" s="57" t="str">
        <f t="shared" si="1"/>
        <v>14-Jun-2024</v>
      </c>
      <c r="H201" s="54" t="s">
        <v>1006</v>
      </c>
      <c r="I201" s="54" t="s">
        <v>1097</v>
      </c>
      <c r="J201" s="27" t="str">
        <f t="shared" si="4"/>
        <v>11-Jul-2025</v>
      </c>
      <c r="K201" s="54" t="s">
        <v>1098</v>
      </c>
      <c r="L201" s="27" t="str">
        <f t="shared" si="5"/>
        <v>14-Jun-2024</v>
      </c>
      <c r="M201" s="23" t="s">
        <v>15</v>
      </c>
      <c r="N201" s="23" t="s">
        <v>177</v>
      </c>
      <c r="O201" s="24"/>
      <c r="P201" s="54">
        <v>0.0</v>
      </c>
      <c r="Q201" s="58" t="s">
        <v>1099</v>
      </c>
      <c r="R201" s="27" t="str">
        <f>IFERROR(__xludf.DUMMYFUNCTION("IF(REGEXMATCH(N201, ""PRIORITY: Low""), ""Low"", IF(REGEXMATCH(N201, ""PRIORITY: Medium""), ""Medium"", IF(REGEXMATCH(N201, ""PRIORITY: High""), ""High"", """")))
"),"")</f>
        <v/>
      </c>
      <c r="S201" s="27" t="str">
        <f>IFERROR(__xludf.DUMMYFUNCTION("IF(REGEXMATCH(N201, ""SKILL: Low""), ""Low"", IF(REGEXMATCH(N201, ""SKILL: Medium""), ""Medium"", IF(REGEXMATCH(N201, ""SKILL: High""), ""High"", """")))"),"")</f>
        <v/>
      </c>
      <c r="T201" s="27" t="str">
        <f>IFERROR(__xludf.DUMMYFUNCTION("IF(REGEXMATCH(N201, ""STATUS: Dev Complete - Awaiting QA""), ""Dev Complete - Awaiting QA"", IF(REGEXMATCH(N201, ""STATUS: Follow-Up Required""), ""Follow-Up Required"", IF(REGEXMATCH(N201, ""STATUS: In Progress""), ""In Progress"", IF(REGEXMATCH(N201, """&amp;"STATUS: In QA""), ""In QA"", IF(REGEXMATCH(N201, ""STATUS: Needs Customer Feedback""), ""Needs Customer Feedback"", IF(REGEXMATCH(N201, ""STATUS: QA Passed - Awaiting Release""), ""QA Passed - Awaiting Release"", IF(REGEXMATCH(N201, ""STATUS: Release to P"&amp;"rod""), ""Release to Prod"", """")))))))"),"")</f>
        <v/>
      </c>
    </row>
    <row r="202" hidden="1">
      <c r="A202" s="23" t="s">
        <v>82</v>
      </c>
      <c r="B202" s="12" t="s">
        <v>267</v>
      </c>
      <c r="C202" s="54">
        <v>144.0</v>
      </c>
      <c r="D202" s="55" t="s">
        <v>1100</v>
      </c>
      <c r="E202" s="56" t="s">
        <v>173</v>
      </c>
      <c r="F202" s="54" t="s">
        <v>1101</v>
      </c>
      <c r="G202" s="57" t="str">
        <f t="shared" si="1"/>
        <v>13-Jun-2024</v>
      </c>
      <c r="H202" s="54" t="s">
        <v>254</v>
      </c>
      <c r="I202" s="54" t="s">
        <v>1102</v>
      </c>
      <c r="J202" s="27" t="str">
        <f t="shared" si="4"/>
        <v>11-Jul-2025</v>
      </c>
      <c r="K202" s="54" t="s">
        <v>1103</v>
      </c>
      <c r="L202" s="27" t="str">
        <f t="shared" si="5"/>
        <v>24-Jun-2024</v>
      </c>
      <c r="M202" s="23" t="s">
        <v>15</v>
      </c>
      <c r="N202" s="23" t="s">
        <v>177</v>
      </c>
      <c r="O202" s="24"/>
      <c r="P202" s="54">
        <v>0.0</v>
      </c>
      <c r="Q202" s="58" t="s">
        <v>1104</v>
      </c>
      <c r="R202" s="27" t="str">
        <f>IFERROR(__xludf.DUMMYFUNCTION("IF(REGEXMATCH(N202, ""PRIORITY: Low""), ""Low"", IF(REGEXMATCH(N202, ""PRIORITY: Medium""), ""Medium"", IF(REGEXMATCH(N202, ""PRIORITY: High""), ""High"", """")))
"),"")</f>
        <v/>
      </c>
      <c r="S202" s="27" t="str">
        <f>IFERROR(__xludf.DUMMYFUNCTION("IF(REGEXMATCH(N202, ""SKILL: Low""), ""Low"", IF(REGEXMATCH(N202, ""SKILL: Medium""), ""Medium"", IF(REGEXMATCH(N202, ""SKILL: High""), ""High"", """")))"),"")</f>
        <v/>
      </c>
      <c r="T202" s="27" t="str">
        <f>IFERROR(__xludf.DUMMYFUNCTION("IF(REGEXMATCH(N202, ""STATUS: Dev Complete - Awaiting QA""), ""Dev Complete - Awaiting QA"", IF(REGEXMATCH(N202, ""STATUS: Follow-Up Required""), ""Follow-Up Required"", IF(REGEXMATCH(N202, ""STATUS: In Progress""), ""In Progress"", IF(REGEXMATCH(N202, """&amp;"STATUS: In QA""), ""In QA"", IF(REGEXMATCH(N202, ""STATUS: Needs Customer Feedback""), ""Needs Customer Feedback"", IF(REGEXMATCH(N202, ""STATUS: QA Passed - Awaiting Release""), ""QA Passed - Awaiting Release"", IF(REGEXMATCH(N202, ""STATUS: Release to P"&amp;"rod""), ""Release to Prod"", """")))))))"),"")</f>
        <v/>
      </c>
    </row>
    <row r="203" hidden="1">
      <c r="A203" s="23" t="s">
        <v>82</v>
      </c>
      <c r="B203" s="12" t="s">
        <v>267</v>
      </c>
      <c r="C203" s="54">
        <v>143.0</v>
      </c>
      <c r="D203" s="55" t="s">
        <v>1105</v>
      </c>
      <c r="E203" s="56" t="s">
        <v>173</v>
      </c>
      <c r="F203" s="54" t="s">
        <v>1106</v>
      </c>
      <c r="G203" s="57" t="str">
        <f t="shared" si="1"/>
        <v>13-Jun-2024</v>
      </c>
      <c r="H203" s="54" t="s">
        <v>254</v>
      </c>
      <c r="I203" s="54" t="s">
        <v>1107</v>
      </c>
      <c r="J203" s="27" t="str">
        <f t="shared" si="4"/>
        <v>11-Jul-2025</v>
      </c>
      <c r="K203" s="54" t="s">
        <v>1108</v>
      </c>
      <c r="L203" s="27" t="str">
        <f t="shared" si="5"/>
        <v>18-Jun-2024</v>
      </c>
      <c r="M203" s="23" t="s">
        <v>15</v>
      </c>
      <c r="N203" s="23" t="s">
        <v>177</v>
      </c>
      <c r="O203" s="24"/>
      <c r="P203" s="54">
        <v>0.0</v>
      </c>
      <c r="Q203" s="58" t="s">
        <v>1109</v>
      </c>
      <c r="R203" s="27" t="str">
        <f>IFERROR(__xludf.DUMMYFUNCTION("IF(REGEXMATCH(N203, ""PRIORITY: Low""), ""Low"", IF(REGEXMATCH(N203, ""PRIORITY: Medium""), ""Medium"", IF(REGEXMATCH(N203, ""PRIORITY: High""), ""High"", """")))
"),"")</f>
        <v/>
      </c>
      <c r="S203" s="27" t="str">
        <f>IFERROR(__xludf.DUMMYFUNCTION("IF(REGEXMATCH(N203, ""SKILL: Low""), ""Low"", IF(REGEXMATCH(N203, ""SKILL: Medium""), ""Medium"", IF(REGEXMATCH(N203, ""SKILL: High""), ""High"", """")))"),"")</f>
        <v/>
      </c>
      <c r="T203" s="27" t="str">
        <f>IFERROR(__xludf.DUMMYFUNCTION("IF(REGEXMATCH(N203, ""STATUS: Dev Complete - Awaiting QA""), ""Dev Complete - Awaiting QA"", IF(REGEXMATCH(N203, ""STATUS: Follow-Up Required""), ""Follow-Up Required"", IF(REGEXMATCH(N203, ""STATUS: In Progress""), ""In Progress"", IF(REGEXMATCH(N203, """&amp;"STATUS: In QA""), ""In QA"", IF(REGEXMATCH(N203, ""STATUS: Needs Customer Feedback""), ""Needs Customer Feedback"", IF(REGEXMATCH(N203, ""STATUS: QA Passed - Awaiting Release""), ""QA Passed - Awaiting Release"", IF(REGEXMATCH(N203, ""STATUS: Release to P"&amp;"rod""), ""Release to Prod"", """")))))))"),"")</f>
        <v/>
      </c>
    </row>
    <row r="204" hidden="1">
      <c r="A204" s="23" t="s">
        <v>82</v>
      </c>
      <c r="B204" s="12" t="s">
        <v>267</v>
      </c>
      <c r="C204" s="54">
        <v>142.0</v>
      </c>
      <c r="D204" s="55" t="s">
        <v>1110</v>
      </c>
      <c r="E204" s="56" t="s">
        <v>173</v>
      </c>
      <c r="F204" s="54" t="s">
        <v>1111</v>
      </c>
      <c r="G204" s="57" t="str">
        <f t="shared" si="1"/>
        <v>13-Jun-2024</v>
      </c>
      <c r="H204" s="54" t="s">
        <v>254</v>
      </c>
      <c r="I204" s="54" t="s">
        <v>1107</v>
      </c>
      <c r="J204" s="27" t="str">
        <f t="shared" si="4"/>
        <v>11-Jul-2025</v>
      </c>
      <c r="K204" s="54" t="s">
        <v>1112</v>
      </c>
      <c r="L204" s="27" t="str">
        <f t="shared" si="5"/>
        <v>13-Jun-2024</v>
      </c>
      <c r="M204" s="23" t="s">
        <v>15</v>
      </c>
      <c r="N204" s="23" t="s">
        <v>177</v>
      </c>
      <c r="O204" s="23" t="s">
        <v>136</v>
      </c>
      <c r="P204" s="54">
        <v>0.0</v>
      </c>
      <c r="Q204" s="58" t="s">
        <v>1113</v>
      </c>
      <c r="R204" s="27" t="str">
        <f>IFERROR(__xludf.DUMMYFUNCTION("IF(REGEXMATCH(N204, ""PRIORITY: Low""), ""Low"", IF(REGEXMATCH(N204, ""PRIORITY: Medium""), ""Medium"", IF(REGEXMATCH(N204, ""PRIORITY: High""), ""High"", """")))
"),"")</f>
        <v/>
      </c>
      <c r="S204" s="27" t="str">
        <f>IFERROR(__xludf.DUMMYFUNCTION("IF(REGEXMATCH(N204, ""SKILL: Low""), ""Low"", IF(REGEXMATCH(N204, ""SKILL: Medium""), ""Medium"", IF(REGEXMATCH(N204, ""SKILL: High""), ""High"", """")))"),"")</f>
        <v/>
      </c>
      <c r="T204" s="27" t="str">
        <f>IFERROR(__xludf.DUMMYFUNCTION("IF(REGEXMATCH(N204, ""STATUS: Dev Complete - Awaiting QA""), ""Dev Complete - Awaiting QA"", IF(REGEXMATCH(N204, ""STATUS: Follow-Up Required""), ""Follow-Up Required"", IF(REGEXMATCH(N204, ""STATUS: In Progress""), ""In Progress"", IF(REGEXMATCH(N204, """&amp;"STATUS: In QA""), ""In QA"", IF(REGEXMATCH(N204, ""STATUS: Needs Customer Feedback""), ""Needs Customer Feedback"", IF(REGEXMATCH(N204, ""STATUS: QA Passed - Awaiting Release""), ""QA Passed - Awaiting Release"", IF(REGEXMATCH(N204, ""STATUS: Release to P"&amp;"rod""), ""Release to Prod"", """")))))))"),"")</f>
        <v/>
      </c>
    </row>
    <row r="205" hidden="1">
      <c r="A205" s="23" t="s">
        <v>82</v>
      </c>
      <c r="B205" s="12" t="s">
        <v>267</v>
      </c>
      <c r="C205" s="54">
        <v>141.0</v>
      </c>
      <c r="D205" s="55" t="s">
        <v>1114</v>
      </c>
      <c r="E205" s="56" t="s">
        <v>173</v>
      </c>
      <c r="F205" s="54" t="s">
        <v>1115</v>
      </c>
      <c r="G205" s="57" t="str">
        <f t="shared" si="1"/>
        <v>13-Jun-2024</v>
      </c>
      <c r="H205" s="54" t="s">
        <v>254</v>
      </c>
      <c r="I205" s="54" t="s">
        <v>1116</v>
      </c>
      <c r="J205" s="27" t="str">
        <f t="shared" si="4"/>
        <v>11-Jul-2025</v>
      </c>
      <c r="K205" s="54" t="s">
        <v>1117</v>
      </c>
      <c r="L205" s="27" t="str">
        <f t="shared" si="5"/>
        <v>14-Jun-2024</v>
      </c>
      <c r="M205" s="23" t="s">
        <v>15</v>
      </c>
      <c r="N205" s="23" t="s">
        <v>177</v>
      </c>
      <c r="O205" s="24"/>
      <c r="P205" s="54">
        <v>0.0</v>
      </c>
      <c r="Q205" s="58" t="s">
        <v>1118</v>
      </c>
      <c r="R205" s="27" t="str">
        <f>IFERROR(__xludf.DUMMYFUNCTION("IF(REGEXMATCH(N205, ""PRIORITY: Low""), ""Low"", IF(REGEXMATCH(N205, ""PRIORITY: Medium""), ""Medium"", IF(REGEXMATCH(N205, ""PRIORITY: High""), ""High"", """")))
"),"")</f>
        <v/>
      </c>
      <c r="S205" s="27" t="str">
        <f>IFERROR(__xludf.DUMMYFUNCTION("IF(REGEXMATCH(N205, ""SKILL: Low""), ""Low"", IF(REGEXMATCH(N205, ""SKILL: Medium""), ""Medium"", IF(REGEXMATCH(N205, ""SKILL: High""), ""High"", """")))"),"")</f>
        <v/>
      </c>
      <c r="T205" s="27" t="str">
        <f>IFERROR(__xludf.DUMMYFUNCTION("IF(REGEXMATCH(N205, ""STATUS: Dev Complete - Awaiting QA""), ""Dev Complete - Awaiting QA"", IF(REGEXMATCH(N205, ""STATUS: Follow-Up Required""), ""Follow-Up Required"", IF(REGEXMATCH(N205, ""STATUS: In Progress""), ""In Progress"", IF(REGEXMATCH(N205, """&amp;"STATUS: In QA""), ""In QA"", IF(REGEXMATCH(N205, ""STATUS: Needs Customer Feedback""), ""Needs Customer Feedback"", IF(REGEXMATCH(N205, ""STATUS: QA Passed - Awaiting Release""), ""QA Passed - Awaiting Release"", IF(REGEXMATCH(N205, ""STATUS: Release to P"&amp;"rod""), ""Release to Prod"", """")))))))"),"")</f>
        <v/>
      </c>
    </row>
    <row r="206" hidden="1">
      <c r="A206" s="23" t="s">
        <v>82</v>
      </c>
      <c r="B206" s="12" t="s">
        <v>267</v>
      </c>
      <c r="C206" s="54">
        <v>140.0</v>
      </c>
      <c r="D206" s="55" t="s">
        <v>1119</v>
      </c>
      <c r="E206" s="56" t="s">
        <v>173</v>
      </c>
      <c r="F206" s="54" t="s">
        <v>1120</v>
      </c>
      <c r="G206" s="57" t="str">
        <f t="shared" si="1"/>
        <v>13-Jun-2024</v>
      </c>
      <c r="H206" s="54" t="s">
        <v>254</v>
      </c>
      <c r="I206" s="54" t="s">
        <v>1121</v>
      </c>
      <c r="J206" s="27" t="str">
        <f t="shared" si="4"/>
        <v>11-Jul-2025</v>
      </c>
      <c r="K206" s="54" t="s">
        <v>1122</v>
      </c>
      <c r="L206" s="27" t="str">
        <f t="shared" si="5"/>
        <v>18-Jun-2024</v>
      </c>
      <c r="M206" s="23" t="s">
        <v>15</v>
      </c>
      <c r="N206" s="23" t="s">
        <v>177</v>
      </c>
      <c r="O206" s="24"/>
      <c r="P206" s="54">
        <v>0.0</v>
      </c>
      <c r="Q206" s="58" t="s">
        <v>1123</v>
      </c>
      <c r="R206" s="27" t="str">
        <f>IFERROR(__xludf.DUMMYFUNCTION("IF(REGEXMATCH(N206, ""PRIORITY: Low""), ""Low"", IF(REGEXMATCH(N206, ""PRIORITY: Medium""), ""Medium"", IF(REGEXMATCH(N206, ""PRIORITY: High""), ""High"", """")))
"),"")</f>
        <v/>
      </c>
      <c r="S206" s="27" t="str">
        <f>IFERROR(__xludf.DUMMYFUNCTION("IF(REGEXMATCH(N206, ""SKILL: Low""), ""Low"", IF(REGEXMATCH(N206, ""SKILL: Medium""), ""Medium"", IF(REGEXMATCH(N206, ""SKILL: High""), ""High"", """")))"),"")</f>
        <v/>
      </c>
      <c r="T206" s="27" t="str">
        <f>IFERROR(__xludf.DUMMYFUNCTION("IF(REGEXMATCH(N206, ""STATUS: Dev Complete - Awaiting QA""), ""Dev Complete - Awaiting QA"", IF(REGEXMATCH(N206, ""STATUS: Follow-Up Required""), ""Follow-Up Required"", IF(REGEXMATCH(N206, ""STATUS: In Progress""), ""In Progress"", IF(REGEXMATCH(N206, """&amp;"STATUS: In QA""), ""In QA"", IF(REGEXMATCH(N206, ""STATUS: Needs Customer Feedback""), ""Needs Customer Feedback"", IF(REGEXMATCH(N206, ""STATUS: QA Passed - Awaiting Release""), ""QA Passed - Awaiting Release"", IF(REGEXMATCH(N206, ""STATUS: Release to P"&amp;"rod""), ""Release to Prod"", """")))))))"),"")</f>
        <v/>
      </c>
    </row>
    <row r="207" hidden="1">
      <c r="A207" s="23" t="s">
        <v>82</v>
      </c>
      <c r="B207" s="12" t="s">
        <v>267</v>
      </c>
      <c r="C207" s="54">
        <v>139.0</v>
      </c>
      <c r="D207" s="55" t="s">
        <v>1124</v>
      </c>
      <c r="E207" s="56" t="s">
        <v>173</v>
      </c>
      <c r="F207" s="54" t="s">
        <v>1125</v>
      </c>
      <c r="G207" s="57" t="str">
        <f t="shared" si="1"/>
        <v>13-Jun-2024</v>
      </c>
      <c r="H207" s="54" t="s">
        <v>254</v>
      </c>
      <c r="I207" s="54" t="s">
        <v>1126</v>
      </c>
      <c r="J207" s="27" t="str">
        <f t="shared" si="4"/>
        <v>11-Jul-2025</v>
      </c>
      <c r="K207" s="54" t="s">
        <v>1127</v>
      </c>
      <c r="L207" s="27" t="str">
        <f t="shared" si="5"/>
        <v>18-Jun-2024</v>
      </c>
      <c r="M207" s="23" t="s">
        <v>15</v>
      </c>
      <c r="N207" s="23" t="s">
        <v>177</v>
      </c>
      <c r="O207" s="24"/>
      <c r="P207" s="54">
        <v>0.0</v>
      </c>
      <c r="Q207" s="58" t="s">
        <v>1128</v>
      </c>
      <c r="R207" s="27" t="str">
        <f>IFERROR(__xludf.DUMMYFUNCTION("IF(REGEXMATCH(N207, ""PRIORITY: Low""), ""Low"", IF(REGEXMATCH(N207, ""PRIORITY: Medium""), ""Medium"", IF(REGEXMATCH(N207, ""PRIORITY: High""), ""High"", """")))
"),"")</f>
        <v/>
      </c>
      <c r="S207" s="27" t="str">
        <f>IFERROR(__xludf.DUMMYFUNCTION("IF(REGEXMATCH(N207, ""SKILL: Low""), ""Low"", IF(REGEXMATCH(N207, ""SKILL: Medium""), ""Medium"", IF(REGEXMATCH(N207, ""SKILL: High""), ""High"", """")))"),"")</f>
        <v/>
      </c>
      <c r="T207" s="27" t="str">
        <f>IFERROR(__xludf.DUMMYFUNCTION("IF(REGEXMATCH(N207, ""STATUS: Dev Complete - Awaiting QA""), ""Dev Complete - Awaiting QA"", IF(REGEXMATCH(N207, ""STATUS: Follow-Up Required""), ""Follow-Up Required"", IF(REGEXMATCH(N207, ""STATUS: In Progress""), ""In Progress"", IF(REGEXMATCH(N207, """&amp;"STATUS: In QA""), ""In QA"", IF(REGEXMATCH(N207, ""STATUS: Needs Customer Feedback""), ""Needs Customer Feedback"", IF(REGEXMATCH(N207, ""STATUS: QA Passed - Awaiting Release""), ""QA Passed - Awaiting Release"", IF(REGEXMATCH(N207, ""STATUS: Release to P"&amp;"rod""), ""Release to Prod"", """")))))))"),"")</f>
        <v/>
      </c>
    </row>
    <row r="208" hidden="1">
      <c r="A208" s="23" t="s">
        <v>82</v>
      </c>
      <c r="B208" s="12" t="s">
        <v>267</v>
      </c>
      <c r="C208" s="54">
        <v>132.0</v>
      </c>
      <c r="D208" s="55" t="s">
        <v>1129</v>
      </c>
      <c r="E208" s="56" t="s">
        <v>173</v>
      </c>
      <c r="F208" s="54" t="s">
        <v>1130</v>
      </c>
      <c r="G208" s="57" t="str">
        <f t="shared" si="1"/>
        <v>13-Jun-2024</v>
      </c>
      <c r="H208" s="54" t="s">
        <v>254</v>
      </c>
      <c r="I208" s="54" t="s">
        <v>1131</v>
      </c>
      <c r="J208" s="27" t="str">
        <f t="shared" si="4"/>
        <v>11-Jul-2025</v>
      </c>
      <c r="K208" s="54" t="s">
        <v>1132</v>
      </c>
      <c r="L208" s="27" t="str">
        <f t="shared" si="5"/>
        <v>24-Jun-2024</v>
      </c>
      <c r="M208" s="23" t="s">
        <v>15</v>
      </c>
      <c r="N208" s="23" t="s">
        <v>177</v>
      </c>
      <c r="O208" s="23" t="s">
        <v>37</v>
      </c>
      <c r="P208" s="54">
        <v>0.0</v>
      </c>
      <c r="Q208" s="58" t="s">
        <v>1133</v>
      </c>
      <c r="R208" s="27" t="str">
        <f>IFERROR(__xludf.DUMMYFUNCTION("IF(REGEXMATCH(N208, ""PRIORITY: Low""), ""Low"", IF(REGEXMATCH(N208, ""PRIORITY: Medium""), ""Medium"", IF(REGEXMATCH(N208, ""PRIORITY: High""), ""High"", """")))
"),"")</f>
        <v/>
      </c>
      <c r="S208" s="27" t="str">
        <f>IFERROR(__xludf.DUMMYFUNCTION("IF(REGEXMATCH(N208, ""SKILL: Low""), ""Low"", IF(REGEXMATCH(N208, ""SKILL: Medium""), ""Medium"", IF(REGEXMATCH(N208, ""SKILL: High""), ""High"", """")))"),"")</f>
        <v/>
      </c>
      <c r="T208" s="27" t="str">
        <f>IFERROR(__xludf.DUMMYFUNCTION("IF(REGEXMATCH(N208, ""STATUS: Dev Complete - Awaiting QA""), ""Dev Complete - Awaiting QA"", IF(REGEXMATCH(N208, ""STATUS: Follow-Up Required""), ""Follow-Up Required"", IF(REGEXMATCH(N208, ""STATUS: In Progress""), ""In Progress"", IF(REGEXMATCH(N208, """&amp;"STATUS: In QA""), ""In QA"", IF(REGEXMATCH(N208, ""STATUS: Needs Customer Feedback""), ""Needs Customer Feedback"", IF(REGEXMATCH(N208, ""STATUS: QA Passed - Awaiting Release""), ""QA Passed - Awaiting Release"", IF(REGEXMATCH(N208, ""STATUS: Release to P"&amp;"rod""), ""Release to Prod"", """")))))))"),"")</f>
        <v/>
      </c>
    </row>
    <row r="209" hidden="1">
      <c r="A209" s="23" t="s">
        <v>82</v>
      </c>
      <c r="B209" s="12" t="s">
        <v>267</v>
      </c>
      <c r="C209" s="54">
        <v>131.0</v>
      </c>
      <c r="D209" s="55" t="s">
        <v>1134</v>
      </c>
      <c r="E209" s="56" t="s">
        <v>173</v>
      </c>
      <c r="F209" s="54" t="s">
        <v>1135</v>
      </c>
      <c r="G209" s="57" t="str">
        <f t="shared" si="1"/>
        <v>13-Jun-2024</v>
      </c>
      <c r="H209" s="54" t="s">
        <v>254</v>
      </c>
      <c r="I209" s="54" t="s">
        <v>1136</v>
      </c>
      <c r="J209" s="27" t="str">
        <f t="shared" si="4"/>
        <v>11-Jul-2025</v>
      </c>
      <c r="K209" s="54" t="s">
        <v>1137</v>
      </c>
      <c r="L209" s="27" t="str">
        <f t="shared" si="5"/>
        <v>24-Jun-2024</v>
      </c>
      <c r="M209" s="23" t="s">
        <v>15</v>
      </c>
      <c r="N209" s="23" t="s">
        <v>177</v>
      </c>
      <c r="O209" s="23" t="s">
        <v>37</v>
      </c>
      <c r="P209" s="54">
        <v>0.0</v>
      </c>
      <c r="Q209" s="58" t="s">
        <v>1138</v>
      </c>
      <c r="R209" s="27" t="str">
        <f>IFERROR(__xludf.DUMMYFUNCTION("IF(REGEXMATCH(N209, ""PRIORITY: Low""), ""Low"", IF(REGEXMATCH(N209, ""PRIORITY: Medium""), ""Medium"", IF(REGEXMATCH(N209, ""PRIORITY: High""), ""High"", """")))
"),"")</f>
        <v/>
      </c>
      <c r="S209" s="27" t="str">
        <f>IFERROR(__xludf.DUMMYFUNCTION("IF(REGEXMATCH(N209, ""SKILL: Low""), ""Low"", IF(REGEXMATCH(N209, ""SKILL: Medium""), ""Medium"", IF(REGEXMATCH(N209, ""SKILL: High""), ""High"", """")))"),"")</f>
        <v/>
      </c>
      <c r="T209" s="27" t="str">
        <f>IFERROR(__xludf.DUMMYFUNCTION("IF(REGEXMATCH(N209, ""STATUS: Dev Complete - Awaiting QA""), ""Dev Complete - Awaiting QA"", IF(REGEXMATCH(N209, ""STATUS: Follow-Up Required""), ""Follow-Up Required"", IF(REGEXMATCH(N209, ""STATUS: In Progress""), ""In Progress"", IF(REGEXMATCH(N209, """&amp;"STATUS: In QA""), ""In QA"", IF(REGEXMATCH(N209, ""STATUS: Needs Customer Feedback""), ""Needs Customer Feedback"", IF(REGEXMATCH(N209, ""STATUS: QA Passed - Awaiting Release""), ""QA Passed - Awaiting Release"", IF(REGEXMATCH(N209, ""STATUS: Release to P"&amp;"rod""), ""Release to Prod"", """")))))))"),"")</f>
        <v/>
      </c>
    </row>
    <row r="210" hidden="1">
      <c r="A210" s="23" t="s">
        <v>82</v>
      </c>
      <c r="B210" s="12" t="s">
        <v>267</v>
      </c>
      <c r="C210" s="54">
        <v>130.0</v>
      </c>
      <c r="D210" s="55" t="s">
        <v>1139</v>
      </c>
      <c r="E210" s="56" t="s">
        <v>173</v>
      </c>
      <c r="F210" s="54" t="s">
        <v>1140</v>
      </c>
      <c r="G210" s="57" t="str">
        <f t="shared" si="1"/>
        <v>13-Jun-2024</v>
      </c>
      <c r="H210" s="54" t="s">
        <v>254</v>
      </c>
      <c r="I210" s="54" t="s">
        <v>1141</v>
      </c>
      <c r="J210" s="27" t="str">
        <f t="shared" si="4"/>
        <v>11-Jul-2025</v>
      </c>
      <c r="K210" s="54" t="s">
        <v>1142</v>
      </c>
      <c r="L210" s="27" t="str">
        <f t="shared" si="5"/>
        <v>24-Jun-2024</v>
      </c>
      <c r="M210" s="23" t="s">
        <v>15</v>
      </c>
      <c r="N210" s="23" t="s">
        <v>177</v>
      </c>
      <c r="O210" s="23" t="s">
        <v>37</v>
      </c>
      <c r="P210" s="54">
        <v>0.0</v>
      </c>
      <c r="Q210" s="58" t="s">
        <v>1143</v>
      </c>
      <c r="R210" s="27" t="str">
        <f>IFERROR(__xludf.DUMMYFUNCTION("IF(REGEXMATCH(N210, ""PRIORITY: Low""), ""Low"", IF(REGEXMATCH(N210, ""PRIORITY: Medium""), ""Medium"", IF(REGEXMATCH(N210, ""PRIORITY: High""), ""High"", """")))
"),"")</f>
        <v/>
      </c>
      <c r="S210" s="27" t="str">
        <f>IFERROR(__xludf.DUMMYFUNCTION("IF(REGEXMATCH(N210, ""SKILL: Low""), ""Low"", IF(REGEXMATCH(N210, ""SKILL: Medium""), ""Medium"", IF(REGEXMATCH(N210, ""SKILL: High""), ""High"", """")))"),"")</f>
        <v/>
      </c>
      <c r="T210" s="27" t="str">
        <f>IFERROR(__xludf.DUMMYFUNCTION("IF(REGEXMATCH(N210, ""STATUS: Dev Complete - Awaiting QA""), ""Dev Complete - Awaiting QA"", IF(REGEXMATCH(N210, ""STATUS: Follow-Up Required""), ""Follow-Up Required"", IF(REGEXMATCH(N210, ""STATUS: In Progress""), ""In Progress"", IF(REGEXMATCH(N210, """&amp;"STATUS: In QA""), ""In QA"", IF(REGEXMATCH(N210, ""STATUS: Needs Customer Feedback""), ""Needs Customer Feedback"", IF(REGEXMATCH(N210, ""STATUS: QA Passed - Awaiting Release""), ""QA Passed - Awaiting Release"", IF(REGEXMATCH(N210, ""STATUS: Release to P"&amp;"rod""), ""Release to Prod"", """")))))))"),"")</f>
        <v/>
      </c>
    </row>
    <row r="211" hidden="1">
      <c r="A211" s="23" t="s">
        <v>82</v>
      </c>
      <c r="B211" s="12" t="s">
        <v>267</v>
      </c>
      <c r="C211" s="54">
        <v>129.0</v>
      </c>
      <c r="D211" s="55" t="s">
        <v>1144</v>
      </c>
      <c r="E211" s="56" t="s">
        <v>173</v>
      </c>
      <c r="F211" s="54" t="s">
        <v>1145</v>
      </c>
      <c r="G211" s="57" t="str">
        <f t="shared" si="1"/>
        <v>12-Jun-2024</v>
      </c>
      <c r="H211" s="54" t="s">
        <v>254</v>
      </c>
      <c r="I211" s="54" t="s">
        <v>1141</v>
      </c>
      <c r="J211" s="27" t="str">
        <f t="shared" si="4"/>
        <v>11-Jul-2025</v>
      </c>
      <c r="K211" s="54" t="s">
        <v>1146</v>
      </c>
      <c r="L211" s="27" t="str">
        <f t="shared" si="5"/>
        <v>24-Jun-2024</v>
      </c>
      <c r="M211" s="23" t="s">
        <v>15</v>
      </c>
      <c r="N211" s="23" t="s">
        <v>177</v>
      </c>
      <c r="O211" s="23" t="s">
        <v>37</v>
      </c>
      <c r="P211" s="54">
        <v>0.0</v>
      </c>
      <c r="Q211" s="58" t="s">
        <v>1147</v>
      </c>
      <c r="R211" s="27" t="str">
        <f>IFERROR(__xludf.DUMMYFUNCTION("IF(REGEXMATCH(N211, ""PRIORITY: Low""), ""Low"", IF(REGEXMATCH(N211, ""PRIORITY: Medium""), ""Medium"", IF(REGEXMATCH(N211, ""PRIORITY: High""), ""High"", """")))
"),"")</f>
        <v/>
      </c>
      <c r="S211" s="27" t="str">
        <f>IFERROR(__xludf.DUMMYFUNCTION("IF(REGEXMATCH(N211, ""SKILL: Low""), ""Low"", IF(REGEXMATCH(N211, ""SKILL: Medium""), ""Medium"", IF(REGEXMATCH(N211, ""SKILL: High""), ""High"", """")))"),"")</f>
        <v/>
      </c>
      <c r="T211" s="27" t="str">
        <f>IFERROR(__xludf.DUMMYFUNCTION("IF(REGEXMATCH(N211, ""STATUS: Dev Complete - Awaiting QA""), ""Dev Complete - Awaiting QA"", IF(REGEXMATCH(N211, ""STATUS: Follow-Up Required""), ""Follow-Up Required"", IF(REGEXMATCH(N211, ""STATUS: In Progress""), ""In Progress"", IF(REGEXMATCH(N211, """&amp;"STATUS: In QA""), ""In QA"", IF(REGEXMATCH(N211, ""STATUS: Needs Customer Feedback""), ""Needs Customer Feedback"", IF(REGEXMATCH(N211, ""STATUS: QA Passed - Awaiting Release""), ""QA Passed - Awaiting Release"", IF(REGEXMATCH(N211, ""STATUS: Release to P"&amp;"rod""), ""Release to Prod"", """")))))))"),"")</f>
        <v/>
      </c>
    </row>
    <row r="212" hidden="1">
      <c r="A212" s="23" t="s">
        <v>82</v>
      </c>
      <c r="B212" s="12" t="s">
        <v>267</v>
      </c>
      <c r="C212" s="54">
        <v>128.0</v>
      </c>
      <c r="D212" s="55" t="s">
        <v>1148</v>
      </c>
      <c r="E212" s="56" t="s">
        <v>173</v>
      </c>
      <c r="F212" s="54" t="s">
        <v>1149</v>
      </c>
      <c r="G212" s="57" t="str">
        <f t="shared" si="1"/>
        <v>12-Jun-2024</v>
      </c>
      <c r="H212" s="54" t="s">
        <v>254</v>
      </c>
      <c r="I212" s="54" t="s">
        <v>1150</v>
      </c>
      <c r="J212" s="27" t="str">
        <f t="shared" si="4"/>
        <v>11-Jul-2025</v>
      </c>
      <c r="K212" s="54" t="s">
        <v>1151</v>
      </c>
      <c r="L212" s="27" t="str">
        <f t="shared" si="5"/>
        <v>24-Jun-2024</v>
      </c>
      <c r="M212" s="23" t="s">
        <v>15</v>
      </c>
      <c r="N212" s="23" t="s">
        <v>177</v>
      </c>
      <c r="O212" s="23" t="s">
        <v>37</v>
      </c>
      <c r="P212" s="54">
        <v>0.0</v>
      </c>
      <c r="Q212" s="58" t="s">
        <v>1152</v>
      </c>
      <c r="R212" s="27" t="str">
        <f>IFERROR(__xludf.DUMMYFUNCTION("IF(REGEXMATCH(N212, ""PRIORITY: Low""), ""Low"", IF(REGEXMATCH(N212, ""PRIORITY: Medium""), ""Medium"", IF(REGEXMATCH(N212, ""PRIORITY: High""), ""High"", """")))
"),"")</f>
        <v/>
      </c>
      <c r="S212" s="27" t="str">
        <f>IFERROR(__xludf.DUMMYFUNCTION("IF(REGEXMATCH(N212, ""SKILL: Low""), ""Low"", IF(REGEXMATCH(N212, ""SKILL: Medium""), ""Medium"", IF(REGEXMATCH(N212, ""SKILL: High""), ""High"", """")))"),"")</f>
        <v/>
      </c>
      <c r="T212" s="27" t="str">
        <f>IFERROR(__xludf.DUMMYFUNCTION("IF(REGEXMATCH(N212, ""STATUS: Dev Complete - Awaiting QA""), ""Dev Complete - Awaiting QA"", IF(REGEXMATCH(N212, ""STATUS: Follow-Up Required""), ""Follow-Up Required"", IF(REGEXMATCH(N212, ""STATUS: In Progress""), ""In Progress"", IF(REGEXMATCH(N212, """&amp;"STATUS: In QA""), ""In QA"", IF(REGEXMATCH(N212, ""STATUS: Needs Customer Feedback""), ""Needs Customer Feedback"", IF(REGEXMATCH(N212, ""STATUS: QA Passed - Awaiting Release""), ""QA Passed - Awaiting Release"", IF(REGEXMATCH(N212, ""STATUS: Release to P"&amp;"rod""), ""Release to Prod"", """")))))))"),"")</f>
        <v/>
      </c>
    </row>
    <row r="213" hidden="1">
      <c r="A213" s="23" t="s">
        <v>82</v>
      </c>
      <c r="B213" s="12" t="s">
        <v>267</v>
      </c>
      <c r="C213" s="54">
        <v>127.0</v>
      </c>
      <c r="D213" s="55" t="s">
        <v>1153</v>
      </c>
      <c r="E213" s="56" t="s">
        <v>173</v>
      </c>
      <c r="F213" s="54" t="s">
        <v>1154</v>
      </c>
      <c r="G213" s="57" t="str">
        <f t="shared" si="1"/>
        <v>12-Jun-2024</v>
      </c>
      <c r="H213" s="54" t="s">
        <v>254</v>
      </c>
      <c r="I213" s="54" t="s">
        <v>1155</v>
      </c>
      <c r="J213" s="27" t="str">
        <f t="shared" si="4"/>
        <v>11-Jul-2025</v>
      </c>
      <c r="K213" s="54" t="s">
        <v>1156</v>
      </c>
      <c r="L213" s="27" t="str">
        <f t="shared" si="5"/>
        <v>13-Jun-2024</v>
      </c>
      <c r="M213" s="23" t="s">
        <v>15</v>
      </c>
      <c r="N213" s="23" t="s">
        <v>177</v>
      </c>
      <c r="O213" s="24"/>
      <c r="P213" s="54">
        <v>1.0</v>
      </c>
      <c r="Q213" s="58" t="s">
        <v>1157</v>
      </c>
      <c r="R213" s="27" t="str">
        <f>IFERROR(__xludf.DUMMYFUNCTION("IF(REGEXMATCH(N213, ""PRIORITY: Low""), ""Low"", IF(REGEXMATCH(N213, ""PRIORITY: Medium""), ""Medium"", IF(REGEXMATCH(N213, ""PRIORITY: High""), ""High"", """")))
"),"")</f>
        <v/>
      </c>
      <c r="S213" s="27" t="str">
        <f>IFERROR(__xludf.DUMMYFUNCTION("IF(REGEXMATCH(N213, ""SKILL: Low""), ""Low"", IF(REGEXMATCH(N213, ""SKILL: Medium""), ""Medium"", IF(REGEXMATCH(N213, ""SKILL: High""), ""High"", """")))"),"")</f>
        <v/>
      </c>
      <c r="T213" s="27" t="str">
        <f>IFERROR(__xludf.DUMMYFUNCTION("IF(REGEXMATCH(N213, ""STATUS: Dev Complete - Awaiting QA""), ""Dev Complete - Awaiting QA"", IF(REGEXMATCH(N213, ""STATUS: Follow-Up Required""), ""Follow-Up Required"", IF(REGEXMATCH(N213, ""STATUS: In Progress""), ""In Progress"", IF(REGEXMATCH(N213, """&amp;"STATUS: In QA""), ""In QA"", IF(REGEXMATCH(N213, ""STATUS: Needs Customer Feedback""), ""Needs Customer Feedback"", IF(REGEXMATCH(N213, ""STATUS: QA Passed - Awaiting Release""), ""QA Passed - Awaiting Release"", IF(REGEXMATCH(N213, ""STATUS: Release to P"&amp;"rod""), ""Release to Prod"", """")))))))"),"")</f>
        <v/>
      </c>
    </row>
    <row r="214" hidden="1">
      <c r="A214" s="23" t="s">
        <v>82</v>
      </c>
      <c r="B214" s="12" t="s">
        <v>267</v>
      </c>
      <c r="C214" s="54">
        <v>126.0</v>
      </c>
      <c r="D214" s="55" t="s">
        <v>1158</v>
      </c>
      <c r="E214" s="56" t="s">
        <v>173</v>
      </c>
      <c r="F214" s="54" t="s">
        <v>1159</v>
      </c>
      <c r="G214" s="57" t="str">
        <f t="shared" si="1"/>
        <v>12-Jun-2024</v>
      </c>
      <c r="H214" s="54" t="s">
        <v>254</v>
      </c>
      <c r="I214" s="54" t="s">
        <v>1155</v>
      </c>
      <c r="J214" s="27" t="str">
        <f t="shared" si="4"/>
        <v>11-Jul-2025</v>
      </c>
      <c r="K214" s="54" t="s">
        <v>1160</v>
      </c>
      <c r="L214" s="27" t="str">
        <f t="shared" si="5"/>
        <v>13-Jun-2024</v>
      </c>
      <c r="M214" s="23" t="s">
        <v>15</v>
      </c>
      <c r="N214" s="23" t="s">
        <v>177</v>
      </c>
      <c r="O214" s="24"/>
      <c r="P214" s="54">
        <v>1.0</v>
      </c>
      <c r="Q214" s="58" t="s">
        <v>1161</v>
      </c>
      <c r="R214" s="27" t="str">
        <f>IFERROR(__xludf.DUMMYFUNCTION("IF(REGEXMATCH(N214, ""PRIORITY: Low""), ""Low"", IF(REGEXMATCH(N214, ""PRIORITY: Medium""), ""Medium"", IF(REGEXMATCH(N214, ""PRIORITY: High""), ""High"", """")))
"),"")</f>
        <v/>
      </c>
      <c r="S214" s="27" t="str">
        <f>IFERROR(__xludf.DUMMYFUNCTION("IF(REGEXMATCH(N214, ""SKILL: Low""), ""Low"", IF(REGEXMATCH(N214, ""SKILL: Medium""), ""Medium"", IF(REGEXMATCH(N214, ""SKILL: High""), ""High"", """")))"),"")</f>
        <v/>
      </c>
      <c r="T214" s="27" t="str">
        <f>IFERROR(__xludf.DUMMYFUNCTION("IF(REGEXMATCH(N214, ""STATUS: Dev Complete - Awaiting QA""), ""Dev Complete - Awaiting QA"", IF(REGEXMATCH(N214, ""STATUS: Follow-Up Required""), ""Follow-Up Required"", IF(REGEXMATCH(N214, ""STATUS: In Progress""), ""In Progress"", IF(REGEXMATCH(N214, """&amp;"STATUS: In QA""), ""In QA"", IF(REGEXMATCH(N214, ""STATUS: Needs Customer Feedback""), ""Needs Customer Feedback"", IF(REGEXMATCH(N214, ""STATUS: QA Passed - Awaiting Release""), ""QA Passed - Awaiting Release"", IF(REGEXMATCH(N214, ""STATUS: Release to P"&amp;"rod""), ""Release to Prod"", """")))))))"),"")</f>
        <v/>
      </c>
    </row>
    <row r="215" hidden="1">
      <c r="A215" s="23" t="s">
        <v>82</v>
      </c>
      <c r="B215" s="12" t="s">
        <v>267</v>
      </c>
      <c r="C215" s="54">
        <v>125.0</v>
      </c>
      <c r="D215" s="55" t="s">
        <v>1162</v>
      </c>
      <c r="E215" s="56" t="s">
        <v>173</v>
      </c>
      <c r="F215" s="54" t="s">
        <v>1163</v>
      </c>
      <c r="G215" s="57" t="str">
        <f t="shared" si="1"/>
        <v>12-Jun-2024</v>
      </c>
      <c r="H215" s="54" t="s">
        <v>254</v>
      </c>
      <c r="I215" s="54" t="s">
        <v>1164</v>
      </c>
      <c r="J215" s="27" t="str">
        <f t="shared" si="4"/>
        <v>11-Jul-2025</v>
      </c>
      <c r="K215" s="54" t="s">
        <v>1165</v>
      </c>
      <c r="L215" s="27" t="str">
        <f t="shared" si="5"/>
        <v>13-Jun-2024</v>
      </c>
      <c r="M215" s="23" t="s">
        <v>15</v>
      </c>
      <c r="N215" s="23" t="s">
        <v>177</v>
      </c>
      <c r="O215" s="24"/>
      <c r="P215" s="54">
        <v>0.0</v>
      </c>
      <c r="Q215" s="58" t="s">
        <v>1166</v>
      </c>
      <c r="R215" s="27" t="str">
        <f>IFERROR(__xludf.DUMMYFUNCTION("IF(REGEXMATCH(N215, ""PRIORITY: Low""), ""Low"", IF(REGEXMATCH(N215, ""PRIORITY: Medium""), ""Medium"", IF(REGEXMATCH(N215, ""PRIORITY: High""), ""High"", """")))
"),"")</f>
        <v/>
      </c>
      <c r="S215" s="27" t="str">
        <f>IFERROR(__xludf.DUMMYFUNCTION("IF(REGEXMATCH(N215, ""SKILL: Low""), ""Low"", IF(REGEXMATCH(N215, ""SKILL: Medium""), ""Medium"", IF(REGEXMATCH(N215, ""SKILL: High""), ""High"", """")))"),"")</f>
        <v/>
      </c>
      <c r="T215" s="27" t="str">
        <f>IFERROR(__xludf.DUMMYFUNCTION("IF(REGEXMATCH(N215, ""STATUS: Dev Complete - Awaiting QA""), ""Dev Complete - Awaiting QA"", IF(REGEXMATCH(N215, ""STATUS: Follow-Up Required""), ""Follow-Up Required"", IF(REGEXMATCH(N215, ""STATUS: In Progress""), ""In Progress"", IF(REGEXMATCH(N215, """&amp;"STATUS: In QA""), ""In QA"", IF(REGEXMATCH(N215, ""STATUS: Needs Customer Feedback""), ""Needs Customer Feedback"", IF(REGEXMATCH(N215, ""STATUS: QA Passed - Awaiting Release""), ""QA Passed - Awaiting Release"", IF(REGEXMATCH(N215, ""STATUS: Release to P"&amp;"rod""), ""Release to Prod"", """")))))))"),"")</f>
        <v/>
      </c>
    </row>
    <row r="216" hidden="1">
      <c r="A216" s="23" t="s">
        <v>82</v>
      </c>
      <c r="B216" s="12" t="s">
        <v>267</v>
      </c>
      <c r="C216" s="54">
        <v>124.0</v>
      </c>
      <c r="D216" s="55" t="s">
        <v>1167</v>
      </c>
      <c r="E216" s="56" t="s">
        <v>173</v>
      </c>
      <c r="F216" s="54" t="s">
        <v>1168</v>
      </c>
      <c r="G216" s="57" t="str">
        <f t="shared" si="1"/>
        <v>12-Jun-2024</v>
      </c>
      <c r="H216" s="54" t="s">
        <v>254</v>
      </c>
      <c r="I216" s="54" t="s">
        <v>1169</v>
      </c>
      <c r="J216" s="27" t="str">
        <f t="shared" si="4"/>
        <v>11-Jul-2025</v>
      </c>
      <c r="K216" s="54" t="s">
        <v>1170</v>
      </c>
      <c r="L216" s="27" t="str">
        <f t="shared" si="5"/>
        <v>13-Jun-2024</v>
      </c>
      <c r="M216" s="23" t="s">
        <v>15</v>
      </c>
      <c r="N216" s="23" t="s">
        <v>177</v>
      </c>
      <c r="O216" s="24"/>
      <c r="P216" s="54">
        <v>0.0</v>
      </c>
      <c r="Q216" s="58" t="s">
        <v>1171</v>
      </c>
      <c r="R216" s="27" t="str">
        <f>IFERROR(__xludf.DUMMYFUNCTION("IF(REGEXMATCH(N216, ""PRIORITY: Low""), ""Low"", IF(REGEXMATCH(N216, ""PRIORITY: Medium""), ""Medium"", IF(REGEXMATCH(N216, ""PRIORITY: High""), ""High"", """")))
"),"")</f>
        <v/>
      </c>
      <c r="S216" s="27" t="str">
        <f>IFERROR(__xludf.DUMMYFUNCTION("IF(REGEXMATCH(N216, ""SKILL: Low""), ""Low"", IF(REGEXMATCH(N216, ""SKILL: Medium""), ""Medium"", IF(REGEXMATCH(N216, ""SKILL: High""), ""High"", """")))"),"")</f>
        <v/>
      </c>
      <c r="T216" s="27" t="str">
        <f>IFERROR(__xludf.DUMMYFUNCTION("IF(REGEXMATCH(N216, ""STATUS: Dev Complete - Awaiting QA""), ""Dev Complete - Awaiting QA"", IF(REGEXMATCH(N216, ""STATUS: Follow-Up Required""), ""Follow-Up Required"", IF(REGEXMATCH(N216, ""STATUS: In Progress""), ""In Progress"", IF(REGEXMATCH(N216, """&amp;"STATUS: In QA""), ""In QA"", IF(REGEXMATCH(N216, ""STATUS: Needs Customer Feedback""), ""Needs Customer Feedback"", IF(REGEXMATCH(N216, ""STATUS: QA Passed - Awaiting Release""), ""QA Passed - Awaiting Release"", IF(REGEXMATCH(N216, ""STATUS: Release to P"&amp;"rod""), ""Release to Prod"", """")))))))"),"")</f>
        <v/>
      </c>
    </row>
    <row r="217" hidden="1">
      <c r="A217" s="23" t="s">
        <v>82</v>
      </c>
      <c r="B217" s="12" t="s">
        <v>267</v>
      </c>
      <c r="C217" s="54">
        <v>123.0</v>
      </c>
      <c r="D217" s="55" t="s">
        <v>1172</v>
      </c>
      <c r="E217" s="56" t="s">
        <v>173</v>
      </c>
      <c r="F217" s="54" t="s">
        <v>1173</v>
      </c>
      <c r="G217" s="57" t="str">
        <f t="shared" si="1"/>
        <v>12-Jun-2024</v>
      </c>
      <c r="H217" s="54" t="s">
        <v>254</v>
      </c>
      <c r="I217" s="54" t="s">
        <v>1169</v>
      </c>
      <c r="J217" s="27" t="str">
        <f t="shared" si="4"/>
        <v>11-Jul-2025</v>
      </c>
      <c r="K217" s="54" t="s">
        <v>1174</v>
      </c>
      <c r="L217" s="27" t="str">
        <f t="shared" si="5"/>
        <v>25-Jun-2024</v>
      </c>
      <c r="M217" s="23" t="s">
        <v>15</v>
      </c>
      <c r="N217" s="23" t="s">
        <v>177</v>
      </c>
      <c r="O217" s="23" t="s">
        <v>37</v>
      </c>
      <c r="P217" s="54">
        <v>0.0</v>
      </c>
      <c r="Q217" s="58" t="s">
        <v>1175</v>
      </c>
      <c r="R217" s="27" t="str">
        <f>IFERROR(__xludf.DUMMYFUNCTION("IF(REGEXMATCH(N217, ""PRIORITY: Low""), ""Low"", IF(REGEXMATCH(N217, ""PRIORITY: Medium""), ""Medium"", IF(REGEXMATCH(N217, ""PRIORITY: High""), ""High"", """")))
"),"")</f>
        <v/>
      </c>
      <c r="S217" s="27" t="str">
        <f>IFERROR(__xludf.DUMMYFUNCTION("IF(REGEXMATCH(N217, ""SKILL: Low""), ""Low"", IF(REGEXMATCH(N217, ""SKILL: Medium""), ""Medium"", IF(REGEXMATCH(N217, ""SKILL: High""), ""High"", """")))"),"")</f>
        <v/>
      </c>
      <c r="T217" s="27" t="str">
        <f>IFERROR(__xludf.DUMMYFUNCTION("IF(REGEXMATCH(N217, ""STATUS: Dev Complete - Awaiting QA""), ""Dev Complete - Awaiting QA"", IF(REGEXMATCH(N217, ""STATUS: Follow-Up Required""), ""Follow-Up Required"", IF(REGEXMATCH(N217, ""STATUS: In Progress""), ""In Progress"", IF(REGEXMATCH(N217, """&amp;"STATUS: In QA""), ""In QA"", IF(REGEXMATCH(N217, ""STATUS: Needs Customer Feedback""), ""Needs Customer Feedback"", IF(REGEXMATCH(N217, ""STATUS: QA Passed - Awaiting Release""), ""QA Passed - Awaiting Release"", IF(REGEXMATCH(N217, ""STATUS: Release to P"&amp;"rod""), ""Release to Prod"", """")))))))"),"")</f>
        <v/>
      </c>
    </row>
    <row r="218" hidden="1">
      <c r="A218" s="23" t="s">
        <v>82</v>
      </c>
      <c r="B218" s="12" t="s">
        <v>267</v>
      </c>
      <c r="C218" s="54">
        <v>122.0</v>
      </c>
      <c r="D218" s="55" t="s">
        <v>1176</v>
      </c>
      <c r="E218" s="56" t="s">
        <v>173</v>
      </c>
      <c r="F218" s="54" t="s">
        <v>1177</v>
      </c>
      <c r="G218" s="57" t="str">
        <f t="shared" si="1"/>
        <v>12-Jun-2024</v>
      </c>
      <c r="H218" s="54" t="s">
        <v>254</v>
      </c>
      <c r="I218" s="54" t="s">
        <v>1178</v>
      </c>
      <c r="J218" s="27" t="str">
        <f t="shared" si="4"/>
        <v>11-Jul-2025</v>
      </c>
      <c r="K218" s="54" t="s">
        <v>1179</v>
      </c>
      <c r="L218" s="27" t="str">
        <f t="shared" si="5"/>
        <v>24-Jun-2024</v>
      </c>
      <c r="M218" s="23" t="s">
        <v>15</v>
      </c>
      <c r="N218" s="23" t="s">
        <v>177</v>
      </c>
      <c r="O218" s="23" t="s">
        <v>37</v>
      </c>
      <c r="P218" s="54">
        <v>0.0</v>
      </c>
      <c r="Q218" s="58" t="s">
        <v>1180</v>
      </c>
      <c r="R218" s="27" t="str">
        <f>IFERROR(__xludf.DUMMYFUNCTION("IF(REGEXMATCH(N218, ""PRIORITY: Low""), ""Low"", IF(REGEXMATCH(N218, ""PRIORITY: Medium""), ""Medium"", IF(REGEXMATCH(N218, ""PRIORITY: High""), ""High"", """")))
"),"")</f>
        <v/>
      </c>
      <c r="S218" s="27" t="str">
        <f>IFERROR(__xludf.DUMMYFUNCTION("IF(REGEXMATCH(N218, ""SKILL: Low""), ""Low"", IF(REGEXMATCH(N218, ""SKILL: Medium""), ""Medium"", IF(REGEXMATCH(N218, ""SKILL: High""), ""High"", """")))"),"")</f>
        <v/>
      </c>
      <c r="T218" s="27" t="str">
        <f>IFERROR(__xludf.DUMMYFUNCTION("IF(REGEXMATCH(N218, ""STATUS: Dev Complete - Awaiting QA""), ""Dev Complete - Awaiting QA"", IF(REGEXMATCH(N218, ""STATUS: Follow-Up Required""), ""Follow-Up Required"", IF(REGEXMATCH(N218, ""STATUS: In Progress""), ""In Progress"", IF(REGEXMATCH(N218, """&amp;"STATUS: In QA""), ""In QA"", IF(REGEXMATCH(N218, ""STATUS: Needs Customer Feedback""), ""Needs Customer Feedback"", IF(REGEXMATCH(N218, ""STATUS: QA Passed - Awaiting Release""), ""QA Passed - Awaiting Release"", IF(REGEXMATCH(N218, ""STATUS: Release to P"&amp;"rod""), ""Release to Prod"", """")))))))"),"")</f>
        <v/>
      </c>
    </row>
    <row r="219" hidden="1">
      <c r="A219" s="23" t="s">
        <v>82</v>
      </c>
      <c r="B219" s="12" t="s">
        <v>267</v>
      </c>
      <c r="C219" s="54">
        <v>121.0</v>
      </c>
      <c r="D219" s="55" t="s">
        <v>1181</v>
      </c>
      <c r="E219" s="56" t="s">
        <v>173</v>
      </c>
      <c r="F219" s="54" t="s">
        <v>1182</v>
      </c>
      <c r="G219" s="57" t="str">
        <f t="shared" si="1"/>
        <v>12-Jun-2024</v>
      </c>
      <c r="H219" s="54" t="s">
        <v>254</v>
      </c>
      <c r="I219" s="54" t="s">
        <v>1183</v>
      </c>
      <c r="J219" s="27" t="str">
        <f t="shared" si="4"/>
        <v>11-Jul-2025</v>
      </c>
      <c r="K219" s="54" t="s">
        <v>1184</v>
      </c>
      <c r="L219" s="27" t="str">
        <f t="shared" si="5"/>
        <v>18-Jun-2024</v>
      </c>
      <c r="M219" s="23" t="s">
        <v>15</v>
      </c>
      <c r="N219" s="23" t="s">
        <v>177</v>
      </c>
      <c r="O219" s="24"/>
      <c r="P219" s="54">
        <v>0.0</v>
      </c>
      <c r="Q219" s="58" t="s">
        <v>1185</v>
      </c>
      <c r="R219" s="27" t="str">
        <f>IFERROR(__xludf.DUMMYFUNCTION("IF(REGEXMATCH(N219, ""PRIORITY: Low""), ""Low"", IF(REGEXMATCH(N219, ""PRIORITY: Medium""), ""Medium"", IF(REGEXMATCH(N219, ""PRIORITY: High""), ""High"", """")))
"),"")</f>
        <v/>
      </c>
      <c r="S219" s="27" t="str">
        <f>IFERROR(__xludf.DUMMYFUNCTION("IF(REGEXMATCH(N219, ""SKILL: Low""), ""Low"", IF(REGEXMATCH(N219, ""SKILL: Medium""), ""Medium"", IF(REGEXMATCH(N219, ""SKILL: High""), ""High"", """")))"),"")</f>
        <v/>
      </c>
      <c r="T219" s="27" t="str">
        <f>IFERROR(__xludf.DUMMYFUNCTION("IF(REGEXMATCH(N219, ""STATUS: Dev Complete - Awaiting QA""), ""Dev Complete - Awaiting QA"", IF(REGEXMATCH(N219, ""STATUS: Follow-Up Required""), ""Follow-Up Required"", IF(REGEXMATCH(N219, ""STATUS: In Progress""), ""In Progress"", IF(REGEXMATCH(N219, """&amp;"STATUS: In QA""), ""In QA"", IF(REGEXMATCH(N219, ""STATUS: Needs Customer Feedback""), ""Needs Customer Feedback"", IF(REGEXMATCH(N219, ""STATUS: QA Passed - Awaiting Release""), ""QA Passed - Awaiting Release"", IF(REGEXMATCH(N219, ""STATUS: Release to P"&amp;"rod""), ""Release to Prod"", """")))))))"),"")</f>
        <v/>
      </c>
    </row>
    <row r="220" hidden="1">
      <c r="A220" s="23" t="s">
        <v>82</v>
      </c>
      <c r="B220" s="12" t="s">
        <v>267</v>
      </c>
      <c r="C220" s="54">
        <v>120.0</v>
      </c>
      <c r="D220" s="55" t="s">
        <v>1186</v>
      </c>
      <c r="E220" s="56" t="s">
        <v>173</v>
      </c>
      <c r="F220" s="54" t="s">
        <v>1187</v>
      </c>
      <c r="G220" s="57" t="str">
        <f t="shared" si="1"/>
        <v>12-Jun-2024</v>
      </c>
      <c r="H220" s="54" t="s">
        <v>254</v>
      </c>
      <c r="I220" s="54" t="s">
        <v>1188</v>
      </c>
      <c r="J220" s="27" t="str">
        <f t="shared" si="4"/>
        <v>11-Jul-2025</v>
      </c>
      <c r="K220" s="54" t="s">
        <v>1189</v>
      </c>
      <c r="L220" s="27" t="str">
        <f t="shared" si="5"/>
        <v>24-Jun-2024</v>
      </c>
      <c r="M220" s="23" t="s">
        <v>15</v>
      </c>
      <c r="N220" s="23" t="s">
        <v>177</v>
      </c>
      <c r="O220" s="23" t="s">
        <v>37</v>
      </c>
      <c r="P220" s="54">
        <v>0.0</v>
      </c>
      <c r="Q220" s="58" t="s">
        <v>1190</v>
      </c>
      <c r="R220" s="27" t="str">
        <f>IFERROR(__xludf.DUMMYFUNCTION("IF(REGEXMATCH(N220, ""PRIORITY: Low""), ""Low"", IF(REGEXMATCH(N220, ""PRIORITY: Medium""), ""Medium"", IF(REGEXMATCH(N220, ""PRIORITY: High""), ""High"", """")))
"),"")</f>
        <v/>
      </c>
      <c r="S220" s="27" t="str">
        <f>IFERROR(__xludf.DUMMYFUNCTION("IF(REGEXMATCH(N220, ""SKILL: Low""), ""Low"", IF(REGEXMATCH(N220, ""SKILL: Medium""), ""Medium"", IF(REGEXMATCH(N220, ""SKILL: High""), ""High"", """")))"),"")</f>
        <v/>
      </c>
      <c r="T220" s="27" t="str">
        <f>IFERROR(__xludf.DUMMYFUNCTION("IF(REGEXMATCH(N220, ""STATUS: Dev Complete - Awaiting QA""), ""Dev Complete - Awaiting QA"", IF(REGEXMATCH(N220, ""STATUS: Follow-Up Required""), ""Follow-Up Required"", IF(REGEXMATCH(N220, ""STATUS: In Progress""), ""In Progress"", IF(REGEXMATCH(N220, """&amp;"STATUS: In QA""), ""In QA"", IF(REGEXMATCH(N220, ""STATUS: Needs Customer Feedback""), ""Needs Customer Feedback"", IF(REGEXMATCH(N220, ""STATUS: QA Passed - Awaiting Release""), ""QA Passed - Awaiting Release"", IF(REGEXMATCH(N220, ""STATUS: Release to P"&amp;"rod""), ""Release to Prod"", """")))))))"),"")</f>
        <v/>
      </c>
    </row>
    <row r="221" hidden="1">
      <c r="A221" s="23" t="s">
        <v>82</v>
      </c>
      <c r="B221" s="12" t="s">
        <v>267</v>
      </c>
      <c r="C221" s="54">
        <v>119.0</v>
      </c>
      <c r="D221" s="55" t="s">
        <v>1191</v>
      </c>
      <c r="E221" s="56" t="s">
        <v>173</v>
      </c>
      <c r="F221" s="54" t="s">
        <v>1192</v>
      </c>
      <c r="G221" s="57" t="str">
        <f t="shared" si="1"/>
        <v>12-Jun-2024</v>
      </c>
      <c r="H221" s="54" t="s">
        <v>254</v>
      </c>
      <c r="I221" s="54" t="s">
        <v>1188</v>
      </c>
      <c r="J221" s="27" t="str">
        <f t="shared" si="4"/>
        <v>11-Jul-2025</v>
      </c>
      <c r="K221" s="54" t="s">
        <v>1193</v>
      </c>
      <c r="L221" s="27" t="str">
        <f t="shared" si="5"/>
        <v>24-Jun-2024</v>
      </c>
      <c r="M221" s="23" t="s">
        <v>15</v>
      </c>
      <c r="N221" s="23" t="s">
        <v>177</v>
      </c>
      <c r="O221" s="23" t="s">
        <v>37</v>
      </c>
      <c r="P221" s="54">
        <v>0.0</v>
      </c>
      <c r="Q221" s="58" t="s">
        <v>1194</v>
      </c>
      <c r="R221" s="27" t="str">
        <f>IFERROR(__xludf.DUMMYFUNCTION("IF(REGEXMATCH(N221, ""PRIORITY: Low""), ""Low"", IF(REGEXMATCH(N221, ""PRIORITY: Medium""), ""Medium"", IF(REGEXMATCH(N221, ""PRIORITY: High""), ""High"", """")))
"),"")</f>
        <v/>
      </c>
      <c r="S221" s="27" t="str">
        <f>IFERROR(__xludf.DUMMYFUNCTION("IF(REGEXMATCH(N221, ""SKILL: Low""), ""Low"", IF(REGEXMATCH(N221, ""SKILL: Medium""), ""Medium"", IF(REGEXMATCH(N221, ""SKILL: High""), ""High"", """")))"),"")</f>
        <v/>
      </c>
      <c r="T221" s="27" t="str">
        <f>IFERROR(__xludf.DUMMYFUNCTION("IF(REGEXMATCH(N221, ""STATUS: Dev Complete - Awaiting QA""), ""Dev Complete - Awaiting QA"", IF(REGEXMATCH(N221, ""STATUS: Follow-Up Required""), ""Follow-Up Required"", IF(REGEXMATCH(N221, ""STATUS: In Progress""), ""In Progress"", IF(REGEXMATCH(N221, """&amp;"STATUS: In QA""), ""In QA"", IF(REGEXMATCH(N221, ""STATUS: Needs Customer Feedback""), ""Needs Customer Feedback"", IF(REGEXMATCH(N221, ""STATUS: QA Passed - Awaiting Release""), ""QA Passed - Awaiting Release"", IF(REGEXMATCH(N221, ""STATUS: Release to P"&amp;"rod""), ""Release to Prod"", """")))))))"),"")</f>
        <v/>
      </c>
    </row>
    <row r="222" hidden="1">
      <c r="A222" s="23" t="s">
        <v>82</v>
      </c>
      <c r="B222" s="12" t="s">
        <v>267</v>
      </c>
      <c r="C222" s="54">
        <v>118.0</v>
      </c>
      <c r="D222" s="55" t="s">
        <v>1195</v>
      </c>
      <c r="E222" s="56" t="s">
        <v>173</v>
      </c>
      <c r="F222" s="54" t="s">
        <v>1196</v>
      </c>
      <c r="G222" s="57" t="str">
        <f t="shared" si="1"/>
        <v>12-Jun-2024</v>
      </c>
      <c r="H222" s="54" t="s">
        <v>254</v>
      </c>
      <c r="I222" s="54" t="s">
        <v>1197</v>
      </c>
      <c r="J222" s="27" t="str">
        <f t="shared" si="4"/>
        <v>11-Jul-2025</v>
      </c>
      <c r="K222" s="54" t="s">
        <v>1198</v>
      </c>
      <c r="L222" s="27" t="str">
        <f t="shared" si="5"/>
        <v>13-Jun-2024</v>
      </c>
      <c r="M222" s="23" t="s">
        <v>15</v>
      </c>
      <c r="N222" s="23" t="s">
        <v>177</v>
      </c>
      <c r="O222" s="24"/>
      <c r="P222" s="54">
        <v>1.0</v>
      </c>
      <c r="Q222" s="58" t="s">
        <v>1199</v>
      </c>
      <c r="R222" s="27" t="str">
        <f>IFERROR(__xludf.DUMMYFUNCTION("IF(REGEXMATCH(N222, ""PRIORITY: Low""), ""Low"", IF(REGEXMATCH(N222, ""PRIORITY: Medium""), ""Medium"", IF(REGEXMATCH(N222, ""PRIORITY: High""), ""High"", """")))
"),"")</f>
        <v/>
      </c>
      <c r="S222" s="27" t="str">
        <f>IFERROR(__xludf.DUMMYFUNCTION("IF(REGEXMATCH(N222, ""SKILL: Low""), ""Low"", IF(REGEXMATCH(N222, ""SKILL: Medium""), ""Medium"", IF(REGEXMATCH(N222, ""SKILL: High""), ""High"", """")))"),"")</f>
        <v/>
      </c>
      <c r="T222" s="27" t="str">
        <f>IFERROR(__xludf.DUMMYFUNCTION("IF(REGEXMATCH(N222, ""STATUS: Dev Complete - Awaiting QA""), ""Dev Complete - Awaiting QA"", IF(REGEXMATCH(N222, ""STATUS: Follow-Up Required""), ""Follow-Up Required"", IF(REGEXMATCH(N222, ""STATUS: In Progress""), ""In Progress"", IF(REGEXMATCH(N222, """&amp;"STATUS: In QA""), ""In QA"", IF(REGEXMATCH(N222, ""STATUS: Needs Customer Feedback""), ""Needs Customer Feedback"", IF(REGEXMATCH(N222, ""STATUS: QA Passed - Awaiting Release""), ""QA Passed - Awaiting Release"", IF(REGEXMATCH(N222, ""STATUS: Release to P"&amp;"rod""), ""Release to Prod"", """")))))))"),"")</f>
        <v/>
      </c>
    </row>
    <row r="223" hidden="1">
      <c r="A223" s="23" t="s">
        <v>82</v>
      </c>
      <c r="B223" s="12" t="s">
        <v>267</v>
      </c>
      <c r="C223" s="54">
        <v>117.0</v>
      </c>
      <c r="D223" s="55" t="s">
        <v>1200</v>
      </c>
      <c r="E223" s="56" t="s">
        <v>173</v>
      </c>
      <c r="F223" s="54" t="s">
        <v>1201</v>
      </c>
      <c r="G223" s="57" t="str">
        <f t="shared" si="1"/>
        <v>12-Jun-2024</v>
      </c>
      <c r="H223" s="54" t="s">
        <v>254</v>
      </c>
      <c r="I223" s="54" t="s">
        <v>1202</v>
      </c>
      <c r="J223" s="27" t="str">
        <f t="shared" si="4"/>
        <v>11-Jul-2025</v>
      </c>
      <c r="K223" s="54" t="s">
        <v>1203</v>
      </c>
      <c r="L223" s="27" t="str">
        <f t="shared" si="5"/>
        <v>13-Jun-2024</v>
      </c>
      <c r="M223" s="23" t="s">
        <v>15</v>
      </c>
      <c r="N223" s="23" t="s">
        <v>177</v>
      </c>
      <c r="O223" s="24"/>
      <c r="P223" s="54">
        <v>0.0</v>
      </c>
      <c r="Q223" s="58" t="s">
        <v>1204</v>
      </c>
      <c r="R223" s="27" t="str">
        <f>IFERROR(__xludf.DUMMYFUNCTION("IF(REGEXMATCH(N223, ""PRIORITY: Low""), ""Low"", IF(REGEXMATCH(N223, ""PRIORITY: Medium""), ""Medium"", IF(REGEXMATCH(N223, ""PRIORITY: High""), ""High"", """")))
"),"")</f>
        <v/>
      </c>
      <c r="S223" s="27" t="str">
        <f>IFERROR(__xludf.DUMMYFUNCTION("IF(REGEXMATCH(N223, ""SKILL: Low""), ""Low"", IF(REGEXMATCH(N223, ""SKILL: Medium""), ""Medium"", IF(REGEXMATCH(N223, ""SKILL: High""), ""High"", """")))"),"")</f>
        <v/>
      </c>
      <c r="T223" s="27" t="str">
        <f>IFERROR(__xludf.DUMMYFUNCTION("IF(REGEXMATCH(N223, ""STATUS: Dev Complete - Awaiting QA""), ""Dev Complete - Awaiting QA"", IF(REGEXMATCH(N223, ""STATUS: Follow-Up Required""), ""Follow-Up Required"", IF(REGEXMATCH(N223, ""STATUS: In Progress""), ""In Progress"", IF(REGEXMATCH(N223, """&amp;"STATUS: In QA""), ""In QA"", IF(REGEXMATCH(N223, ""STATUS: Needs Customer Feedback""), ""Needs Customer Feedback"", IF(REGEXMATCH(N223, ""STATUS: QA Passed - Awaiting Release""), ""QA Passed - Awaiting Release"", IF(REGEXMATCH(N223, ""STATUS: Release to P"&amp;"rod""), ""Release to Prod"", """")))))))"),"")</f>
        <v/>
      </c>
    </row>
    <row r="224" hidden="1">
      <c r="A224" s="23" t="s">
        <v>82</v>
      </c>
      <c r="B224" s="12" t="s">
        <v>267</v>
      </c>
      <c r="C224" s="54">
        <v>116.0</v>
      </c>
      <c r="D224" s="55" t="s">
        <v>1205</v>
      </c>
      <c r="E224" s="56" t="s">
        <v>173</v>
      </c>
      <c r="F224" s="54" t="s">
        <v>1206</v>
      </c>
      <c r="G224" s="57" t="str">
        <f t="shared" si="1"/>
        <v>12-Jun-2024</v>
      </c>
      <c r="H224" s="54" t="s">
        <v>254</v>
      </c>
      <c r="I224" s="54" t="s">
        <v>1202</v>
      </c>
      <c r="J224" s="27" t="str">
        <f t="shared" si="4"/>
        <v>11-Jul-2025</v>
      </c>
      <c r="K224" s="54" t="s">
        <v>1207</v>
      </c>
      <c r="L224" s="27" t="str">
        <f t="shared" si="5"/>
        <v>13-Jun-2024</v>
      </c>
      <c r="M224" s="23" t="s">
        <v>15</v>
      </c>
      <c r="N224" s="23" t="s">
        <v>177</v>
      </c>
      <c r="O224" s="24"/>
      <c r="P224" s="54">
        <v>0.0</v>
      </c>
      <c r="Q224" s="58" t="s">
        <v>1208</v>
      </c>
      <c r="R224" s="27" t="str">
        <f>IFERROR(__xludf.DUMMYFUNCTION("IF(REGEXMATCH(N224, ""PRIORITY: Low""), ""Low"", IF(REGEXMATCH(N224, ""PRIORITY: Medium""), ""Medium"", IF(REGEXMATCH(N224, ""PRIORITY: High""), ""High"", """")))
"),"")</f>
        <v/>
      </c>
      <c r="S224" s="27" t="str">
        <f>IFERROR(__xludf.DUMMYFUNCTION("IF(REGEXMATCH(N224, ""SKILL: Low""), ""Low"", IF(REGEXMATCH(N224, ""SKILL: Medium""), ""Medium"", IF(REGEXMATCH(N224, ""SKILL: High""), ""High"", """")))"),"")</f>
        <v/>
      </c>
      <c r="T224" s="27" t="str">
        <f>IFERROR(__xludf.DUMMYFUNCTION("IF(REGEXMATCH(N224, ""STATUS: Dev Complete - Awaiting QA""), ""Dev Complete - Awaiting QA"", IF(REGEXMATCH(N224, ""STATUS: Follow-Up Required""), ""Follow-Up Required"", IF(REGEXMATCH(N224, ""STATUS: In Progress""), ""In Progress"", IF(REGEXMATCH(N224, """&amp;"STATUS: In QA""), ""In QA"", IF(REGEXMATCH(N224, ""STATUS: Needs Customer Feedback""), ""Needs Customer Feedback"", IF(REGEXMATCH(N224, ""STATUS: QA Passed - Awaiting Release""), ""QA Passed - Awaiting Release"", IF(REGEXMATCH(N224, ""STATUS: Release to P"&amp;"rod""), ""Release to Prod"", """")))))))"),"")</f>
        <v/>
      </c>
    </row>
    <row r="225" hidden="1">
      <c r="A225" s="23" t="s">
        <v>82</v>
      </c>
      <c r="B225" s="12" t="s">
        <v>267</v>
      </c>
      <c r="C225" s="54">
        <v>115.0</v>
      </c>
      <c r="D225" s="55" t="s">
        <v>1209</v>
      </c>
      <c r="E225" s="56" t="s">
        <v>173</v>
      </c>
      <c r="F225" s="54" t="s">
        <v>1210</v>
      </c>
      <c r="G225" s="57" t="str">
        <f t="shared" si="1"/>
        <v>12-Jun-2024</v>
      </c>
      <c r="H225" s="54" t="s">
        <v>254</v>
      </c>
      <c r="I225" s="54" t="s">
        <v>1211</v>
      </c>
      <c r="J225" s="27" t="str">
        <f t="shared" si="4"/>
        <v>11-Jul-2025</v>
      </c>
      <c r="K225" s="54" t="s">
        <v>1212</v>
      </c>
      <c r="L225" s="27" t="str">
        <f t="shared" si="5"/>
        <v>13-Jun-2024</v>
      </c>
      <c r="M225" s="23" t="s">
        <v>15</v>
      </c>
      <c r="N225" s="23" t="s">
        <v>177</v>
      </c>
      <c r="O225" s="24"/>
      <c r="P225" s="54">
        <v>0.0</v>
      </c>
      <c r="Q225" s="58" t="s">
        <v>1213</v>
      </c>
      <c r="R225" s="27" t="str">
        <f>IFERROR(__xludf.DUMMYFUNCTION("IF(REGEXMATCH(N225, ""PRIORITY: Low""), ""Low"", IF(REGEXMATCH(N225, ""PRIORITY: Medium""), ""Medium"", IF(REGEXMATCH(N225, ""PRIORITY: High""), ""High"", """")))
"),"")</f>
        <v/>
      </c>
      <c r="S225" s="27" t="str">
        <f>IFERROR(__xludf.DUMMYFUNCTION("IF(REGEXMATCH(N225, ""SKILL: Low""), ""Low"", IF(REGEXMATCH(N225, ""SKILL: Medium""), ""Medium"", IF(REGEXMATCH(N225, ""SKILL: High""), ""High"", """")))"),"")</f>
        <v/>
      </c>
      <c r="T225" s="27" t="str">
        <f>IFERROR(__xludf.DUMMYFUNCTION("IF(REGEXMATCH(N225, ""STATUS: Dev Complete - Awaiting QA""), ""Dev Complete - Awaiting QA"", IF(REGEXMATCH(N225, ""STATUS: Follow-Up Required""), ""Follow-Up Required"", IF(REGEXMATCH(N225, ""STATUS: In Progress""), ""In Progress"", IF(REGEXMATCH(N225, """&amp;"STATUS: In QA""), ""In QA"", IF(REGEXMATCH(N225, ""STATUS: Needs Customer Feedback""), ""Needs Customer Feedback"", IF(REGEXMATCH(N225, ""STATUS: QA Passed - Awaiting Release""), ""QA Passed - Awaiting Release"", IF(REGEXMATCH(N225, ""STATUS: Release to P"&amp;"rod""), ""Release to Prod"", """")))))))"),"")</f>
        <v/>
      </c>
    </row>
    <row r="226" hidden="1">
      <c r="A226" s="23" t="s">
        <v>82</v>
      </c>
      <c r="B226" s="12" t="s">
        <v>267</v>
      </c>
      <c r="C226" s="54">
        <v>114.0</v>
      </c>
      <c r="D226" s="55" t="s">
        <v>1214</v>
      </c>
      <c r="E226" s="56" t="s">
        <v>173</v>
      </c>
      <c r="F226" s="54" t="s">
        <v>1215</v>
      </c>
      <c r="G226" s="57" t="str">
        <f t="shared" si="1"/>
        <v>12-Jun-2024</v>
      </c>
      <c r="H226" s="54" t="s">
        <v>254</v>
      </c>
      <c r="I226" s="54" t="s">
        <v>1216</v>
      </c>
      <c r="J226" s="27" t="str">
        <f t="shared" si="4"/>
        <v>11-Jul-2025</v>
      </c>
      <c r="K226" s="54" t="s">
        <v>1217</v>
      </c>
      <c r="L226" s="27" t="str">
        <f t="shared" si="5"/>
        <v>13-Jun-2024</v>
      </c>
      <c r="M226" s="23" t="s">
        <v>15</v>
      </c>
      <c r="N226" s="23" t="s">
        <v>177</v>
      </c>
      <c r="O226" s="24"/>
      <c r="P226" s="54">
        <v>0.0</v>
      </c>
      <c r="Q226" s="58" t="s">
        <v>1218</v>
      </c>
      <c r="R226" s="27" t="str">
        <f>IFERROR(__xludf.DUMMYFUNCTION("IF(REGEXMATCH(N226, ""PRIORITY: Low""), ""Low"", IF(REGEXMATCH(N226, ""PRIORITY: Medium""), ""Medium"", IF(REGEXMATCH(N226, ""PRIORITY: High""), ""High"", """")))
"),"")</f>
        <v/>
      </c>
      <c r="S226" s="27" t="str">
        <f>IFERROR(__xludf.DUMMYFUNCTION("IF(REGEXMATCH(N226, ""SKILL: Low""), ""Low"", IF(REGEXMATCH(N226, ""SKILL: Medium""), ""Medium"", IF(REGEXMATCH(N226, ""SKILL: High""), ""High"", """")))"),"")</f>
        <v/>
      </c>
      <c r="T226" s="27" t="str">
        <f>IFERROR(__xludf.DUMMYFUNCTION("IF(REGEXMATCH(N226, ""STATUS: Dev Complete - Awaiting QA""), ""Dev Complete - Awaiting QA"", IF(REGEXMATCH(N226, ""STATUS: Follow-Up Required""), ""Follow-Up Required"", IF(REGEXMATCH(N226, ""STATUS: In Progress""), ""In Progress"", IF(REGEXMATCH(N226, """&amp;"STATUS: In QA""), ""In QA"", IF(REGEXMATCH(N226, ""STATUS: Needs Customer Feedback""), ""Needs Customer Feedback"", IF(REGEXMATCH(N226, ""STATUS: QA Passed - Awaiting Release""), ""QA Passed - Awaiting Release"", IF(REGEXMATCH(N226, ""STATUS: Release to P"&amp;"rod""), ""Release to Prod"", """")))))))"),"")</f>
        <v/>
      </c>
    </row>
    <row r="227" hidden="1">
      <c r="A227" s="23" t="s">
        <v>82</v>
      </c>
      <c r="B227" s="12" t="s">
        <v>267</v>
      </c>
      <c r="C227" s="54">
        <v>113.0</v>
      </c>
      <c r="D227" s="55" t="s">
        <v>1219</v>
      </c>
      <c r="E227" s="56" t="s">
        <v>173</v>
      </c>
      <c r="F227" s="54" t="s">
        <v>1220</v>
      </c>
      <c r="G227" s="57" t="str">
        <f t="shared" si="1"/>
        <v>12-Jun-2024</v>
      </c>
      <c r="H227" s="54" t="s">
        <v>254</v>
      </c>
      <c r="I227" s="54" t="s">
        <v>1216</v>
      </c>
      <c r="J227" s="27" t="str">
        <f t="shared" si="4"/>
        <v>11-Jul-2025</v>
      </c>
      <c r="K227" s="54" t="s">
        <v>1221</v>
      </c>
      <c r="L227" s="27" t="str">
        <f t="shared" si="5"/>
        <v>12-Jun-2024</v>
      </c>
      <c r="M227" s="23" t="s">
        <v>15</v>
      </c>
      <c r="N227" s="23" t="s">
        <v>177</v>
      </c>
      <c r="O227" s="24"/>
      <c r="P227" s="54">
        <v>1.0</v>
      </c>
      <c r="Q227" s="58" t="s">
        <v>1222</v>
      </c>
      <c r="R227" s="27" t="str">
        <f>IFERROR(__xludf.DUMMYFUNCTION("IF(REGEXMATCH(N227, ""PRIORITY: Low""), ""Low"", IF(REGEXMATCH(N227, ""PRIORITY: Medium""), ""Medium"", IF(REGEXMATCH(N227, ""PRIORITY: High""), ""High"", """")))
"),"")</f>
        <v/>
      </c>
      <c r="S227" s="27" t="str">
        <f>IFERROR(__xludf.DUMMYFUNCTION("IF(REGEXMATCH(N227, ""SKILL: Low""), ""Low"", IF(REGEXMATCH(N227, ""SKILL: Medium""), ""Medium"", IF(REGEXMATCH(N227, ""SKILL: High""), ""High"", """")))"),"")</f>
        <v/>
      </c>
      <c r="T227" s="27" t="str">
        <f>IFERROR(__xludf.DUMMYFUNCTION("IF(REGEXMATCH(N227, ""STATUS: Dev Complete - Awaiting QA""), ""Dev Complete - Awaiting QA"", IF(REGEXMATCH(N227, ""STATUS: Follow-Up Required""), ""Follow-Up Required"", IF(REGEXMATCH(N227, ""STATUS: In Progress""), ""In Progress"", IF(REGEXMATCH(N227, """&amp;"STATUS: In QA""), ""In QA"", IF(REGEXMATCH(N227, ""STATUS: Needs Customer Feedback""), ""Needs Customer Feedback"", IF(REGEXMATCH(N227, ""STATUS: QA Passed - Awaiting Release""), ""QA Passed - Awaiting Release"", IF(REGEXMATCH(N227, ""STATUS: Release to P"&amp;"rod""), ""Release to Prod"", """")))))))"),"")</f>
        <v/>
      </c>
    </row>
    <row r="228" hidden="1">
      <c r="A228" s="23" t="s">
        <v>82</v>
      </c>
      <c r="B228" s="12" t="s">
        <v>267</v>
      </c>
      <c r="C228" s="54">
        <v>112.0</v>
      </c>
      <c r="D228" s="55" t="s">
        <v>1223</v>
      </c>
      <c r="E228" s="56" t="s">
        <v>173</v>
      </c>
      <c r="F228" s="54" t="s">
        <v>1224</v>
      </c>
      <c r="G228" s="57" t="str">
        <f t="shared" si="1"/>
        <v>12-Jun-2024</v>
      </c>
      <c r="H228" s="54" t="s">
        <v>254</v>
      </c>
      <c r="I228" s="54" t="s">
        <v>1225</v>
      </c>
      <c r="J228" s="27" t="str">
        <f t="shared" si="4"/>
        <v>11-Jul-2025</v>
      </c>
      <c r="K228" s="54" t="s">
        <v>1226</v>
      </c>
      <c r="L228" s="27" t="str">
        <f t="shared" si="5"/>
        <v>12-Jun-2024</v>
      </c>
      <c r="M228" s="23" t="s">
        <v>15</v>
      </c>
      <c r="N228" s="23" t="s">
        <v>177</v>
      </c>
      <c r="O228" s="23" t="s">
        <v>136</v>
      </c>
      <c r="P228" s="54">
        <v>1.0</v>
      </c>
      <c r="Q228" s="58" t="s">
        <v>1227</v>
      </c>
      <c r="R228" s="27" t="str">
        <f>IFERROR(__xludf.DUMMYFUNCTION("IF(REGEXMATCH(N228, ""PRIORITY: Low""), ""Low"", IF(REGEXMATCH(N228, ""PRIORITY: Medium""), ""Medium"", IF(REGEXMATCH(N228, ""PRIORITY: High""), ""High"", """")))
"),"")</f>
        <v/>
      </c>
      <c r="S228" s="27" t="str">
        <f>IFERROR(__xludf.DUMMYFUNCTION("IF(REGEXMATCH(N228, ""SKILL: Low""), ""Low"", IF(REGEXMATCH(N228, ""SKILL: Medium""), ""Medium"", IF(REGEXMATCH(N228, ""SKILL: High""), ""High"", """")))"),"")</f>
        <v/>
      </c>
      <c r="T228" s="27" t="str">
        <f>IFERROR(__xludf.DUMMYFUNCTION("IF(REGEXMATCH(N228, ""STATUS: Dev Complete - Awaiting QA""), ""Dev Complete - Awaiting QA"", IF(REGEXMATCH(N228, ""STATUS: Follow-Up Required""), ""Follow-Up Required"", IF(REGEXMATCH(N228, ""STATUS: In Progress""), ""In Progress"", IF(REGEXMATCH(N228, """&amp;"STATUS: In QA""), ""In QA"", IF(REGEXMATCH(N228, ""STATUS: Needs Customer Feedback""), ""Needs Customer Feedback"", IF(REGEXMATCH(N228, ""STATUS: QA Passed - Awaiting Release""), ""QA Passed - Awaiting Release"", IF(REGEXMATCH(N228, ""STATUS: Release to P"&amp;"rod""), ""Release to Prod"", """")))))))"),"")</f>
        <v/>
      </c>
    </row>
    <row r="229" hidden="1">
      <c r="A229" s="23" t="s">
        <v>82</v>
      </c>
      <c r="B229" s="12" t="s">
        <v>267</v>
      </c>
      <c r="C229" s="54">
        <v>111.0</v>
      </c>
      <c r="D229" s="55" t="s">
        <v>1228</v>
      </c>
      <c r="E229" s="56" t="s">
        <v>173</v>
      </c>
      <c r="F229" s="54" t="s">
        <v>1229</v>
      </c>
      <c r="G229" s="57" t="str">
        <f t="shared" si="1"/>
        <v>12-Jun-2024</v>
      </c>
      <c r="H229" s="54" t="s">
        <v>254</v>
      </c>
      <c r="I229" s="54" t="s">
        <v>1230</v>
      </c>
      <c r="J229" s="27" t="str">
        <f t="shared" si="4"/>
        <v>11-Jul-2025</v>
      </c>
      <c r="K229" s="54" t="s">
        <v>1231</v>
      </c>
      <c r="L229" s="27" t="str">
        <f t="shared" si="5"/>
        <v>12-Jun-2024</v>
      </c>
      <c r="M229" s="23" t="s">
        <v>15</v>
      </c>
      <c r="N229" s="23" t="s">
        <v>177</v>
      </c>
      <c r="O229" s="24"/>
      <c r="P229" s="54">
        <v>1.0</v>
      </c>
      <c r="Q229" s="58" t="s">
        <v>1232</v>
      </c>
      <c r="R229" s="27" t="str">
        <f>IFERROR(__xludf.DUMMYFUNCTION("IF(REGEXMATCH(N229, ""PRIORITY: Low""), ""Low"", IF(REGEXMATCH(N229, ""PRIORITY: Medium""), ""Medium"", IF(REGEXMATCH(N229, ""PRIORITY: High""), ""High"", """")))
"),"")</f>
        <v/>
      </c>
      <c r="S229" s="27" t="str">
        <f>IFERROR(__xludf.DUMMYFUNCTION("IF(REGEXMATCH(N229, ""SKILL: Low""), ""Low"", IF(REGEXMATCH(N229, ""SKILL: Medium""), ""Medium"", IF(REGEXMATCH(N229, ""SKILL: High""), ""High"", """")))"),"")</f>
        <v/>
      </c>
      <c r="T229" s="27" t="str">
        <f>IFERROR(__xludf.DUMMYFUNCTION("IF(REGEXMATCH(N229, ""STATUS: Dev Complete - Awaiting QA""), ""Dev Complete - Awaiting QA"", IF(REGEXMATCH(N229, ""STATUS: Follow-Up Required""), ""Follow-Up Required"", IF(REGEXMATCH(N229, ""STATUS: In Progress""), ""In Progress"", IF(REGEXMATCH(N229, """&amp;"STATUS: In QA""), ""In QA"", IF(REGEXMATCH(N229, ""STATUS: Needs Customer Feedback""), ""Needs Customer Feedback"", IF(REGEXMATCH(N229, ""STATUS: QA Passed - Awaiting Release""), ""QA Passed - Awaiting Release"", IF(REGEXMATCH(N229, ""STATUS: Release to P"&amp;"rod""), ""Release to Prod"", """")))))))"),"")</f>
        <v/>
      </c>
    </row>
    <row r="230" hidden="1">
      <c r="A230" s="23" t="s">
        <v>82</v>
      </c>
      <c r="B230" s="12" t="s">
        <v>267</v>
      </c>
      <c r="C230" s="54">
        <v>110.0</v>
      </c>
      <c r="D230" s="55" t="s">
        <v>1233</v>
      </c>
      <c r="E230" s="56" t="s">
        <v>173</v>
      </c>
      <c r="F230" s="54" t="s">
        <v>1234</v>
      </c>
      <c r="G230" s="57" t="str">
        <f t="shared" si="1"/>
        <v>12-Jun-2024</v>
      </c>
      <c r="H230" s="54" t="s">
        <v>254</v>
      </c>
      <c r="I230" s="54" t="s">
        <v>1235</v>
      </c>
      <c r="J230" s="27" t="str">
        <f t="shared" si="4"/>
        <v>11-Jul-2025</v>
      </c>
      <c r="K230" s="54" t="s">
        <v>1236</v>
      </c>
      <c r="L230" s="27" t="str">
        <f t="shared" si="5"/>
        <v>12-Jun-2024</v>
      </c>
      <c r="M230" s="23" t="s">
        <v>15</v>
      </c>
      <c r="N230" s="23" t="s">
        <v>177</v>
      </c>
      <c r="O230" s="23" t="s">
        <v>136</v>
      </c>
      <c r="P230" s="54">
        <v>1.0</v>
      </c>
      <c r="Q230" s="58" t="s">
        <v>1237</v>
      </c>
      <c r="R230" s="27" t="str">
        <f>IFERROR(__xludf.DUMMYFUNCTION("IF(REGEXMATCH(N230, ""PRIORITY: Low""), ""Low"", IF(REGEXMATCH(N230, ""PRIORITY: Medium""), ""Medium"", IF(REGEXMATCH(N230, ""PRIORITY: High""), ""High"", """")))
"),"")</f>
        <v/>
      </c>
      <c r="S230" s="27" t="str">
        <f>IFERROR(__xludf.DUMMYFUNCTION("IF(REGEXMATCH(N230, ""SKILL: Low""), ""Low"", IF(REGEXMATCH(N230, ""SKILL: Medium""), ""Medium"", IF(REGEXMATCH(N230, ""SKILL: High""), ""High"", """")))"),"")</f>
        <v/>
      </c>
      <c r="T230" s="27" t="str">
        <f>IFERROR(__xludf.DUMMYFUNCTION("IF(REGEXMATCH(N230, ""STATUS: Dev Complete - Awaiting QA""), ""Dev Complete - Awaiting QA"", IF(REGEXMATCH(N230, ""STATUS: Follow-Up Required""), ""Follow-Up Required"", IF(REGEXMATCH(N230, ""STATUS: In Progress""), ""In Progress"", IF(REGEXMATCH(N230, """&amp;"STATUS: In QA""), ""In QA"", IF(REGEXMATCH(N230, ""STATUS: Needs Customer Feedback""), ""Needs Customer Feedback"", IF(REGEXMATCH(N230, ""STATUS: QA Passed - Awaiting Release""), ""QA Passed - Awaiting Release"", IF(REGEXMATCH(N230, ""STATUS: Release to P"&amp;"rod""), ""Release to Prod"", """")))))))"),"")</f>
        <v/>
      </c>
    </row>
    <row r="231" hidden="1">
      <c r="A231" s="23" t="s">
        <v>82</v>
      </c>
      <c r="B231" s="12" t="s">
        <v>267</v>
      </c>
      <c r="C231" s="54">
        <v>106.0</v>
      </c>
      <c r="D231" s="55" t="s">
        <v>1238</v>
      </c>
      <c r="E231" s="56" t="s">
        <v>173</v>
      </c>
      <c r="F231" s="54" t="s">
        <v>1239</v>
      </c>
      <c r="G231" s="57" t="str">
        <f t="shared" si="1"/>
        <v>12-Jun-2024</v>
      </c>
      <c r="H231" s="54" t="s">
        <v>136</v>
      </c>
      <c r="I231" s="54" t="s">
        <v>1240</v>
      </c>
      <c r="J231" s="27" t="str">
        <f t="shared" si="4"/>
        <v>11-Jul-2025</v>
      </c>
      <c r="K231" s="54" t="s">
        <v>1241</v>
      </c>
      <c r="L231" s="27" t="str">
        <f t="shared" si="5"/>
        <v>13-Jun-2024</v>
      </c>
      <c r="M231" s="23" t="s">
        <v>15</v>
      </c>
      <c r="N231" s="23" t="s">
        <v>177</v>
      </c>
      <c r="O231" s="24"/>
      <c r="P231" s="54">
        <v>0.0</v>
      </c>
      <c r="Q231" s="58" t="s">
        <v>1242</v>
      </c>
      <c r="R231" s="27" t="str">
        <f>IFERROR(__xludf.DUMMYFUNCTION("IF(REGEXMATCH(N231, ""PRIORITY: Low""), ""Low"", IF(REGEXMATCH(N231, ""PRIORITY: Medium""), ""Medium"", IF(REGEXMATCH(N231, ""PRIORITY: High""), ""High"", """")))
"),"")</f>
        <v/>
      </c>
      <c r="S231" s="27" t="str">
        <f>IFERROR(__xludf.DUMMYFUNCTION("IF(REGEXMATCH(N231, ""SKILL: Low""), ""Low"", IF(REGEXMATCH(N231, ""SKILL: Medium""), ""Medium"", IF(REGEXMATCH(N231, ""SKILL: High""), ""High"", """")))"),"")</f>
        <v/>
      </c>
      <c r="T231" s="27" t="str">
        <f>IFERROR(__xludf.DUMMYFUNCTION("IF(REGEXMATCH(N231, ""STATUS: Dev Complete - Awaiting QA""), ""Dev Complete - Awaiting QA"", IF(REGEXMATCH(N231, ""STATUS: Follow-Up Required""), ""Follow-Up Required"", IF(REGEXMATCH(N231, ""STATUS: In Progress""), ""In Progress"", IF(REGEXMATCH(N231, """&amp;"STATUS: In QA""), ""In QA"", IF(REGEXMATCH(N231, ""STATUS: Needs Customer Feedback""), ""Needs Customer Feedback"", IF(REGEXMATCH(N231, ""STATUS: QA Passed - Awaiting Release""), ""QA Passed - Awaiting Release"", IF(REGEXMATCH(N231, ""STATUS: Release to P"&amp;"rod""), ""Release to Prod"", """")))))))"),"")</f>
        <v/>
      </c>
    </row>
    <row r="232" hidden="1">
      <c r="A232" s="23" t="s">
        <v>82</v>
      </c>
      <c r="B232" s="12" t="s">
        <v>267</v>
      </c>
      <c r="C232" s="54">
        <v>101.0</v>
      </c>
      <c r="D232" s="55" t="s">
        <v>1243</v>
      </c>
      <c r="E232" s="56" t="s">
        <v>173</v>
      </c>
      <c r="F232" s="54" t="s">
        <v>1244</v>
      </c>
      <c r="G232" s="57" t="str">
        <f t="shared" si="1"/>
        <v>12-Jun-2024</v>
      </c>
      <c r="H232" s="54" t="s">
        <v>254</v>
      </c>
      <c r="I232" s="54" t="s">
        <v>1245</v>
      </c>
      <c r="J232" s="27" t="str">
        <f t="shared" si="4"/>
        <v>11-Jul-2025</v>
      </c>
      <c r="K232" s="54" t="s">
        <v>1246</v>
      </c>
      <c r="L232" s="27" t="str">
        <f t="shared" si="5"/>
        <v>12-Jun-2024</v>
      </c>
      <c r="M232" s="23" t="s">
        <v>15</v>
      </c>
      <c r="N232" s="23" t="s">
        <v>177</v>
      </c>
      <c r="O232" s="24"/>
      <c r="P232" s="54">
        <v>0.0</v>
      </c>
      <c r="Q232" s="58" t="s">
        <v>1247</v>
      </c>
      <c r="R232" s="27" t="str">
        <f>IFERROR(__xludf.DUMMYFUNCTION("IF(REGEXMATCH(N232, ""PRIORITY: Low""), ""Low"", IF(REGEXMATCH(N232, ""PRIORITY: Medium""), ""Medium"", IF(REGEXMATCH(N232, ""PRIORITY: High""), ""High"", """")))
"),"")</f>
        <v/>
      </c>
      <c r="S232" s="27" t="str">
        <f>IFERROR(__xludf.DUMMYFUNCTION("IF(REGEXMATCH(N232, ""SKILL: Low""), ""Low"", IF(REGEXMATCH(N232, ""SKILL: Medium""), ""Medium"", IF(REGEXMATCH(N232, ""SKILL: High""), ""High"", """")))"),"")</f>
        <v/>
      </c>
      <c r="T232" s="27" t="str">
        <f>IFERROR(__xludf.DUMMYFUNCTION("IF(REGEXMATCH(N232, ""STATUS: Dev Complete - Awaiting QA""), ""Dev Complete - Awaiting QA"", IF(REGEXMATCH(N232, ""STATUS: Follow-Up Required""), ""Follow-Up Required"", IF(REGEXMATCH(N232, ""STATUS: In Progress""), ""In Progress"", IF(REGEXMATCH(N232, """&amp;"STATUS: In QA""), ""In QA"", IF(REGEXMATCH(N232, ""STATUS: Needs Customer Feedback""), ""Needs Customer Feedback"", IF(REGEXMATCH(N232, ""STATUS: QA Passed - Awaiting Release""), ""QA Passed - Awaiting Release"", IF(REGEXMATCH(N232, ""STATUS: Release to P"&amp;"rod""), ""Release to Prod"", """")))))))"),"")</f>
        <v/>
      </c>
    </row>
    <row r="233" hidden="1">
      <c r="A233" s="23" t="s">
        <v>82</v>
      </c>
      <c r="B233" s="12" t="s">
        <v>267</v>
      </c>
      <c r="C233" s="54">
        <v>100.0</v>
      </c>
      <c r="D233" s="55" t="s">
        <v>1248</v>
      </c>
      <c r="E233" s="56" t="s">
        <v>173</v>
      </c>
      <c r="F233" s="54" t="s">
        <v>1249</v>
      </c>
      <c r="G233" s="57" t="str">
        <f t="shared" si="1"/>
        <v>11-Jun-2024</v>
      </c>
      <c r="H233" s="54" t="s">
        <v>254</v>
      </c>
      <c r="I233" s="54" t="s">
        <v>1250</v>
      </c>
      <c r="J233" s="27" t="str">
        <f t="shared" si="4"/>
        <v>11-Jul-2025</v>
      </c>
      <c r="K233" s="54" t="s">
        <v>1251</v>
      </c>
      <c r="L233" s="27" t="str">
        <f t="shared" si="5"/>
        <v>12-Jun-2024</v>
      </c>
      <c r="M233" s="23" t="s">
        <v>15</v>
      </c>
      <c r="N233" s="23" t="s">
        <v>177</v>
      </c>
      <c r="O233" s="24"/>
      <c r="P233" s="54">
        <v>0.0</v>
      </c>
      <c r="Q233" s="58" t="s">
        <v>1252</v>
      </c>
      <c r="R233" s="27" t="str">
        <f>IFERROR(__xludf.DUMMYFUNCTION("IF(REGEXMATCH(N233, ""PRIORITY: Low""), ""Low"", IF(REGEXMATCH(N233, ""PRIORITY: Medium""), ""Medium"", IF(REGEXMATCH(N233, ""PRIORITY: High""), ""High"", """")))
"),"")</f>
        <v/>
      </c>
      <c r="S233" s="27" t="str">
        <f>IFERROR(__xludf.DUMMYFUNCTION("IF(REGEXMATCH(N233, ""SKILL: Low""), ""Low"", IF(REGEXMATCH(N233, ""SKILL: Medium""), ""Medium"", IF(REGEXMATCH(N233, ""SKILL: High""), ""High"", """")))"),"")</f>
        <v/>
      </c>
      <c r="T233" s="27" t="str">
        <f>IFERROR(__xludf.DUMMYFUNCTION("IF(REGEXMATCH(N233, ""STATUS: Dev Complete - Awaiting QA""), ""Dev Complete - Awaiting QA"", IF(REGEXMATCH(N233, ""STATUS: Follow-Up Required""), ""Follow-Up Required"", IF(REGEXMATCH(N233, ""STATUS: In Progress""), ""In Progress"", IF(REGEXMATCH(N233, """&amp;"STATUS: In QA""), ""In QA"", IF(REGEXMATCH(N233, ""STATUS: Needs Customer Feedback""), ""Needs Customer Feedback"", IF(REGEXMATCH(N233, ""STATUS: QA Passed - Awaiting Release""), ""QA Passed - Awaiting Release"", IF(REGEXMATCH(N233, ""STATUS: Release to P"&amp;"rod""), ""Release to Prod"", """")))))))"),"")</f>
        <v/>
      </c>
    </row>
    <row r="234" hidden="1">
      <c r="A234" s="23" t="s">
        <v>82</v>
      </c>
      <c r="B234" s="12" t="s">
        <v>267</v>
      </c>
      <c r="C234" s="54">
        <v>99.0</v>
      </c>
      <c r="D234" s="55" t="s">
        <v>1253</v>
      </c>
      <c r="E234" s="56" t="s">
        <v>173</v>
      </c>
      <c r="F234" s="54" t="s">
        <v>1254</v>
      </c>
      <c r="G234" s="57" t="str">
        <f t="shared" si="1"/>
        <v>11-Jun-2024</v>
      </c>
      <c r="H234" s="54" t="s">
        <v>254</v>
      </c>
      <c r="I234" s="54" t="s">
        <v>1250</v>
      </c>
      <c r="J234" s="27" t="str">
        <f t="shared" si="4"/>
        <v>11-Jul-2025</v>
      </c>
      <c r="K234" s="54" t="s">
        <v>1255</v>
      </c>
      <c r="L234" s="27" t="str">
        <f t="shared" si="5"/>
        <v>12-Jun-2024</v>
      </c>
      <c r="M234" s="23" t="s">
        <v>15</v>
      </c>
      <c r="N234" s="23" t="s">
        <v>177</v>
      </c>
      <c r="O234" s="24"/>
      <c r="P234" s="54">
        <v>0.0</v>
      </c>
      <c r="Q234" s="58" t="s">
        <v>1256</v>
      </c>
      <c r="R234" s="27" t="str">
        <f>IFERROR(__xludf.DUMMYFUNCTION("IF(REGEXMATCH(N234, ""PRIORITY: Low""), ""Low"", IF(REGEXMATCH(N234, ""PRIORITY: Medium""), ""Medium"", IF(REGEXMATCH(N234, ""PRIORITY: High""), ""High"", """")))
"),"")</f>
        <v/>
      </c>
      <c r="S234" s="27" t="str">
        <f>IFERROR(__xludf.DUMMYFUNCTION("IF(REGEXMATCH(N234, ""SKILL: Low""), ""Low"", IF(REGEXMATCH(N234, ""SKILL: Medium""), ""Medium"", IF(REGEXMATCH(N234, ""SKILL: High""), ""High"", """")))"),"")</f>
        <v/>
      </c>
      <c r="T234" s="27" t="str">
        <f>IFERROR(__xludf.DUMMYFUNCTION("IF(REGEXMATCH(N234, ""STATUS: Dev Complete - Awaiting QA""), ""Dev Complete - Awaiting QA"", IF(REGEXMATCH(N234, ""STATUS: Follow-Up Required""), ""Follow-Up Required"", IF(REGEXMATCH(N234, ""STATUS: In Progress""), ""In Progress"", IF(REGEXMATCH(N234, """&amp;"STATUS: In QA""), ""In QA"", IF(REGEXMATCH(N234, ""STATUS: Needs Customer Feedback""), ""Needs Customer Feedback"", IF(REGEXMATCH(N234, ""STATUS: QA Passed - Awaiting Release""), ""QA Passed - Awaiting Release"", IF(REGEXMATCH(N234, ""STATUS: Release to P"&amp;"rod""), ""Release to Prod"", """")))))))"),"")</f>
        <v/>
      </c>
    </row>
    <row r="235" hidden="1">
      <c r="A235" s="23" t="s">
        <v>82</v>
      </c>
      <c r="B235" s="12" t="s">
        <v>267</v>
      </c>
      <c r="C235" s="54">
        <v>98.0</v>
      </c>
      <c r="D235" s="55" t="s">
        <v>1257</v>
      </c>
      <c r="E235" s="56" t="s">
        <v>173</v>
      </c>
      <c r="F235" s="54" t="s">
        <v>1258</v>
      </c>
      <c r="G235" s="57" t="str">
        <f t="shared" si="1"/>
        <v>11-Jun-2024</v>
      </c>
      <c r="H235" s="54" t="s">
        <v>254</v>
      </c>
      <c r="I235" s="54" t="s">
        <v>1259</v>
      </c>
      <c r="J235" s="27" t="str">
        <f t="shared" si="4"/>
        <v>11-Jul-2025</v>
      </c>
      <c r="K235" s="54" t="s">
        <v>1260</v>
      </c>
      <c r="L235" s="27" t="str">
        <f t="shared" si="5"/>
        <v>13-Jun-2024</v>
      </c>
      <c r="M235" s="23" t="s">
        <v>15</v>
      </c>
      <c r="N235" s="23" t="s">
        <v>177</v>
      </c>
      <c r="O235" s="23" t="s">
        <v>136</v>
      </c>
      <c r="P235" s="54">
        <v>0.0</v>
      </c>
      <c r="Q235" s="58" t="s">
        <v>1261</v>
      </c>
      <c r="R235" s="27" t="str">
        <f>IFERROR(__xludf.DUMMYFUNCTION("IF(REGEXMATCH(N235, ""PRIORITY: Low""), ""Low"", IF(REGEXMATCH(N235, ""PRIORITY: Medium""), ""Medium"", IF(REGEXMATCH(N235, ""PRIORITY: High""), ""High"", """")))
"),"")</f>
        <v/>
      </c>
      <c r="S235" s="27" t="str">
        <f>IFERROR(__xludf.DUMMYFUNCTION("IF(REGEXMATCH(N235, ""SKILL: Low""), ""Low"", IF(REGEXMATCH(N235, ""SKILL: Medium""), ""Medium"", IF(REGEXMATCH(N235, ""SKILL: High""), ""High"", """")))"),"")</f>
        <v/>
      </c>
      <c r="T235" s="27" t="str">
        <f>IFERROR(__xludf.DUMMYFUNCTION("IF(REGEXMATCH(N235, ""STATUS: Dev Complete - Awaiting QA""), ""Dev Complete - Awaiting QA"", IF(REGEXMATCH(N235, ""STATUS: Follow-Up Required""), ""Follow-Up Required"", IF(REGEXMATCH(N235, ""STATUS: In Progress""), ""In Progress"", IF(REGEXMATCH(N235, """&amp;"STATUS: In QA""), ""In QA"", IF(REGEXMATCH(N235, ""STATUS: Needs Customer Feedback""), ""Needs Customer Feedback"", IF(REGEXMATCH(N235, ""STATUS: QA Passed - Awaiting Release""), ""QA Passed - Awaiting Release"", IF(REGEXMATCH(N235, ""STATUS: Release to P"&amp;"rod""), ""Release to Prod"", """")))))))"),"")</f>
        <v/>
      </c>
    </row>
    <row r="236" hidden="1">
      <c r="A236" s="23" t="s">
        <v>82</v>
      </c>
      <c r="B236" s="12" t="s">
        <v>267</v>
      </c>
      <c r="C236" s="54">
        <v>97.0</v>
      </c>
      <c r="D236" s="55" t="s">
        <v>1262</v>
      </c>
      <c r="E236" s="56" t="s">
        <v>173</v>
      </c>
      <c r="F236" s="54" t="s">
        <v>1263</v>
      </c>
      <c r="G236" s="57" t="str">
        <f t="shared" si="1"/>
        <v>11-Jun-2024</v>
      </c>
      <c r="H236" s="54" t="s">
        <v>254</v>
      </c>
      <c r="I236" s="54" t="s">
        <v>1264</v>
      </c>
      <c r="J236" s="27" t="str">
        <f t="shared" si="4"/>
        <v>11-Jul-2025</v>
      </c>
      <c r="K236" s="54" t="s">
        <v>1265</v>
      </c>
      <c r="L236" s="27" t="str">
        <f t="shared" si="5"/>
        <v>13-Jun-2024</v>
      </c>
      <c r="M236" s="23" t="s">
        <v>15</v>
      </c>
      <c r="N236" s="23" t="s">
        <v>177</v>
      </c>
      <c r="O236" s="23" t="s">
        <v>136</v>
      </c>
      <c r="P236" s="54">
        <v>0.0</v>
      </c>
      <c r="Q236" s="58" t="s">
        <v>1266</v>
      </c>
      <c r="R236" s="27" t="str">
        <f>IFERROR(__xludf.DUMMYFUNCTION("IF(REGEXMATCH(N236, ""PRIORITY: Low""), ""Low"", IF(REGEXMATCH(N236, ""PRIORITY: Medium""), ""Medium"", IF(REGEXMATCH(N236, ""PRIORITY: High""), ""High"", """")))
"),"")</f>
        <v/>
      </c>
      <c r="S236" s="27" t="str">
        <f>IFERROR(__xludf.DUMMYFUNCTION("IF(REGEXMATCH(N236, ""SKILL: Low""), ""Low"", IF(REGEXMATCH(N236, ""SKILL: Medium""), ""Medium"", IF(REGEXMATCH(N236, ""SKILL: High""), ""High"", """")))"),"")</f>
        <v/>
      </c>
      <c r="T236" s="27" t="str">
        <f>IFERROR(__xludf.DUMMYFUNCTION("IF(REGEXMATCH(N236, ""STATUS: Dev Complete - Awaiting QA""), ""Dev Complete - Awaiting QA"", IF(REGEXMATCH(N236, ""STATUS: Follow-Up Required""), ""Follow-Up Required"", IF(REGEXMATCH(N236, ""STATUS: In Progress""), ""In Progress"", IF(REGEXMATCH(N236, """&amp;"STATUS: In QA""), ""In QA"", IF(REGEXMATCH(N236, ""STATUS: Needs Customer Feedback""), ""Needs Customer Feedback"", IF(REGEXMATCH(N236, ""STATUS: QA Passed - Awaiting Release""), ""QA Passed - Awaiting Release"", IF(REGEXMATCH(N236, ""STATUS: Release to P"&amp;"rod""), ""Release to Prod"", """")))))))"),"")</f>
        <v/>
      </c>
    </row>
    <row r="237" hidden="1">
      <c r="A237" s="23" t="s">
        <v>82</v>
      </c>
      <c r="B237" s="12" t="s">
        <v>267</v>
      </c>
      <c r="C237" s="54">
        <v>96.0</v>
      </c>
      <c r="D237" s="55" t="s">
        <v>1267</v>
      </c>
      <c r="E237" s="56" t="s">
        <v>173</v>
      </c>
      <c r="F237" s="54" t="s">
        <v>1268</v>
      </c>
      <c r="G237" s="57" t="str">
        <f t="shared" si="1"/>
        <v>11-Jun-2024</v>
      </c>
      <c r="H237" s="54" t="s">
        <v>254</v>
      </c>
      <c r="I237" s="54" t="s">
        <v>1264</v>
      </c>
      <c r="J237" s="27" t="str">
        <f t="shared" si="4"/>
        <v>11-Jul-2025</v>
      </c>
      <c r="K237" s="54" t="s">
        <v>1269</v>
      </c>
      <c r="L237" s="27" t="str">
        <f t="shared" si="5"/>
        <v>12-Jun-2024</v>
      </c>
      <c r="M237" s="23" t="s">
        <v>15</v>
      </c>
      <c r="N237" s="23" t="s">
        <v>177</v>
      </c>
      <c r="O237" s="24"/>
      <c r="P237" s="54">
        <v>0.0</v>
      </c>
      <c r="Q237" s="58" t="s">
        <v>1270</v>
      </c>
      <c r="R237" s="27" t="str">
        <f>IFERROR(__xludf.DUMMYFUNCTION("IF(REGEXMATCH(N237, ""PRIORITY: Low""), ""Low"", IF(REGEXMATCH(N237, ""PRIORITY: Medium""), ""Medium"", IF(REGEXMATCH(N237, ""PRIORITY: High""), ""High"", """")))
"),"")</f>
        <v/>
      </c>
      <c r="S237" s="27" t="str">
        <f>IFERROR(__xludf.DUMMYFUNCTION("IF(REGEXMATCH(N237, ""SKILL: Low""), ""Low"", IF(REGEXMATCH(N237, ""SKILL: Medium""), ""Medium"", IF(REGEXMATCH(N237, ""SKILL: High""), ""High"", """")))"),"")</f>
        <v/>
      </c>
      <c r="T237" s="27" t="str">
        <f>IFERROR(__xludf.DUMMYFUNCTION("IF(REGEXMATCH(N237, ""STATUS: Dev Complete - Awaiting QA""), ""Dev Complete - Awaiting QA"", IF(REGEXMATCH(N237, ""STATUS: Follow-Up Required""), ""Follow-Up Required"", IF(REGEXMATCH(N237, ""STATUS: In Progress""), ""In Progress"", IF(REGEXMATCH(N237, """&amp;"STATUS: In QA""), ""In QA"", IF(REGEXMATCH(N237, ""STATUS: Needs Customer Feedback""), ""Needs Customer Feedback"", IF(REGEXMATCH(N237, ""STATUS: QA Passed - Awaiting Release""), ""QA Passed - Awaiting Release"", IF(REGEXMATCH(N237, ""STATUS: Release to P"&amp;"rod""), ""Release to Prod"", """")))))))"),"")</f>
        <v/>
      </c>
    </row>
    <row r="238" hidden="1">
      <c r="A238" s="23" t="s">
        <v>82</v>
      </c>
      <c r="B238" s="12" t="s">
        <v>267</v>
      </c>
      <c r="C238" s="54">
        <v>95.0</v>
      </c>
      <c r="D238" s="55" t="s">
        <v>1271</v>
      </c>
      <c r="E238" s="56" t="s">
        <v>173</v>
      </c>
      <c r="F238" s="54" t="s">
        <v>1272</v>
      </c>
      <c r="G238" s="57" t="str">
        <f t="shared" si="1"/>
        <v>11-Jun-2024</v>
      </c>
      <c r="H238" s="54" t="s">
        <v>254</v>
      </c>
      <c r="I238" s="54" t="s">
        <v>1273</v>
      </c>
      <c r="J238" s="27" t="str">
        <f t="shared" si="4"/>
        <v>11-Jul-2025</v>
      </c>
      <c r="K238" s="54" t="s">
        <v>1274</v>
      </c>
      <c r="L238" s="27" t="str">
        <f t="shared" si="5"/>
        <v>12-Jun-2024</v>
      </c>
      <c r="M238" s="23" t="s">
        <v>15</v>
      </c>
      <c r="N238" s="23" t="s">
        <v>177</v>
      </c>
      <c r="O238" s="24"/>
      <c r="P238" s="54">
        <v>0.0</v>
      </c>
      <c r="Q238" s="58" t="s">
        <v>1275</v>
      </c>
      <c r="R238" s="27" t="str">
        <f>IFERROR(__xludf.DUMMYFUNCTION("IF(REGEXMATCH(N238, ""PRIORITY: Low""), ""Low"", IF(REGEXMATCH(N238, ""PRIORITY: Medium""), ""Medium"", IF(REGEXMATCH(N238, ""PRIORITY: High""), ""High"", """")))
"),"")</f>
        <v/>
      </c>
      <c r="S238" s="27" t="str">
        <f>IFERROR(__xludf.DUMMYFUNCTION("IF(REGEXMATCH(N238, ""SKILL: Low""), ""Low"", IF(REGEXMATCH(N238, ""SKILL: Medium""), ""Medium"", IF(REGEXMATCH(N238, ""SKILL: High""), ""High"", """")))"),"")</f>
        <v/>
      </c>
      <c r="T238" s="27" t="str">
        <f>IFERROR(__xludf.DUMMYFUNCTION("IF(REGEXMATCH(N238, ""STATUS: Dev Complete - Awaiting QA""), ""Dev Complete - Awaiting QA"", IF(REGEXMATCH(N238, ""STATUS: Follow-Up Required""), ""Follow-Up Required"", IF(REGEXMATCH(N238, ""STATUS: In Progress""), ""In Progress"", IF(REGEXMATCH(N238, """&amp;"STATUS: In QA""), ""In QA"", IF(REGEXMATCH(N238, ""STATUS: Needs Customer Feedback""), ""Needs Customer Feedback"", IF(REGEXMATCH(N238, ""STATUS: QA Passed - Awaiting Release""), ""QA Passed - Awaiting Release"", IF(REGEXMATCH(N238, ""STATUS: Release to P"&amp;"rod""), ""Release to Prod"", """")))))))"),"")</f>
        <v/>
      </c>
    </row>
    <row r="239" hidden="1">
      <c r="A239" s="23" t="s">
        <v>82</v>
      </c>
      <c r="B239" s="12" t="s">
        <v>267</v>
      </c>
      <c r="C239" s="54">
        <v>94.0</v>
      </c>
      <c r="D239" s="55" t="s">
        <v>1276</v>
      </c>
      <c r="E239" s="56" t="s">
        <v>173</v>
      </c>
      <c r="F239" s="54" t="s">
        <v>1277</v>
      </c>
      <c r="G239" s="57" t="str">
        <f t="shared" si="1"/>
        <v>11-Jun-2024</v>
      </c>
      <c r="H239" s="54" t="s">
        <v>254</v>
      </c>
      <c r="I239" s="54" t="s">
        <v>1278</v>
      </c>
      <c r="J239" s="27" t="str">
        <f t="shared" si="4"/>
        <v>11-Jul-2025</v>
      </c>
      <c r="K239" s="54" t="s">
        <v>1279</v>
      </c>
      <c r="L239" s="27" t="str">
        <f t="shared" si="5"/>
        <v>12-Jun-2024</v>
      </c>
      <c r="M239" s="23" t="s">
        <v>15</v>
      </c>
      <c r="N239" s="23" t="s">
        <v>177</v>
      </c>
      <c r="O239" s="24"/>
      <c r="P239" s="54">
        <v>0.0</v>
      </c>
      <c r="Q239" s="58" t="s">
        <v>1280</v>
      </c>
      <c r="R239" s="27" t="str">
        <f>IFERROR(__xludf.DUMMYFUNCTION("IF(REGEXMATCH(N239, ""PRIORITY: Low""), ""Low"", IF(REGEXMATCH(N239, ""PRIORITY: Medium""), ""Medium"", IF(REGEXMATCH(N239, ""PRIORITY: High""), ""High"", """")))
"),"")</f>
        <v/>
      </c>
      <c r="S239" s="27" t="str">
        <f>IFERROR(__xludf.DUMMYFUNCTION("IF(REGEXMATCH(N239, ""SKILL: Low""), ""Low"", IF(REGEXMATCH(N239, ""SKILL: Medium""), ""Medium"", IF(REGEXMATCH(N239, ""SKILL: High""), ""High"", """")))"),"")</f>
        <v/>
      </c>
      <c r="T239" s="27" t="str">
        <f>IFERROR(__xludf.DUMMYFUNCTION("IF(REGEXMATCH(N239, ""STATUS: Dev Complete - Awaiting QA""), ""Dev Complete - Awaiting QA"", IF(REGEXMATCH(N239, ""STATUS: Follow-Up Required""), ""Follow-Up Required"", IF(REGEXMATCH(N239, ""STATUS: In Progress""), ""In Progress"", IF(REGEXMATCH(N239, """&amp;"STATUS: In QA""), ""In QA"", IF(REGEXMATCH(N239, ""STATUS: Needs Customer Feedback""), ""Needs Customer Feedback"", IF(REGEXMATCH(N239, ""STATUS: QA Passed - Awaiting Release""), ""QA Passed - Awaiting Release"", IF(REGEXMATCH(N239, ""STATUS: Release to P"&amp;"rod""), ""Release to Prod"", """")))))))"),"")</f>
        <v/>
      </c>
    </row>
    <row r="240" hidden="1">
      <c r="A240" s="23" t="s">
        <v>82</v>
      </c>
      <c r="B240" s="12" t="s">
        <v>267</v>
      </c>
      <c r="C240" s="54">
        <v>91.0</v>
      </c>
      <c r="D240" s="55" t="s">
        <v>1281</v>
      </c>
      <c r="E240" s="56" t="s">
        <v>173</v>
      </c>
      <c r="F240" s="54" t="s">
        <v>1282</v>
      </c>
      <c r="G240" s="57" t="str">
        <f t="shared" si="1"/>
        <v>10-Jun-2024</v>
      </c>
      <c r="H240" s="54" t="s">
        <v>254</v>
      </c>
      <c r="I240" s="54" t="s">
        <v>1283</v>
      </c>
      <c r="J240" s="27" t="str">
        <f t="shared" si="4"/>
        <v>11-Jul-2025</v>
      </c>
      <c r="K240" s="54" t="s">
        <v>1284</v>
      </c>
      <c r="L240" s="27" t="str">
        <f t="shared" si="5"/>
        <v>12-Jun-2024</v>
      </c>
      <c r="M240" s="23" t="s">
        <v>15</v>
      </c>
      <c r="N240" s="23" t="s">
        <v>177</v>
      </c>
      <c r="O240" s="24"/>
      <c r="P240" s="54">
        <v>0.0</v>
      </c>
      <c r="Q240" s="58" t="s">
        <v>1285</v>
      </c>
      <c r="R240" s="27" t="str">
        <f>IFERROR(__xludf.DUMMYFUNCTION("IF(REGEXMATCH(N240, ""PRIORITY: Low""), ""Low"", IF(REGEXMATCH(N240, ""PRIORITY: Medium""), ""Medium"", IF(REGEXMATCH(N240, ""PRIORITY: High""), ""High"", """")))
"),"")</f>
        <v/>
      </c>
      <c r="S240" s="27" t="str">
        <f>IFERROR(__xludf.DUMMYFUNCTION("IF(REGEXMATCH(N240, ""SKILL: Low""), ""Low"", IF(REGEXMATCH(N240, ""SKILL: Medium""), ""Medium"", IF(REGEXMATCH(N240, ""SKILL: High""), ""High"", """")))"),"")</f>
        <v/>
      </c>
      <c r="T240" s="27" t="str">
        <f>IFERROR(__xludf.DUMMYFUNCTION("IF(REGEXMATCH(N240, ""STATUS: Dev Complete - Awaiting QA""), ""Dev Complete - Awaiting QA"", IF(REGEXMATCH(N240, ""STATUS: Follow-Up Required""), ""Follow-Up Required"", IF(REGEXMATCH(N240, ""STATUS: In Progress""), ""In Progress"", IF(REGEXMATCH(N240, """&amp;"STATUS: In QA""), ""In QA"", IF(REGEXMATCH(N240, ""STATUS: Needs Customer Feedback""), ""Needs Customer Feedback"", IF(REGEXMATCH(N240, ""STATUS: QA Passed - Awaiting Release""), ""QA Passed - Awaiting Release"", IF(REGEXMATCH(N240, ""STATUS: Release to P"&amp;"rod""), ""Release to Prod"", """")))))))"),"")</f>
        <v/>
      </c>
    </row>
    <row r="241" hidden="1">
      <c r="A241" s="23" t="s">
        <v>82</v>
      </c>
      <c r="B241" s="12" t="s">
        <v>267</v>
      </c>
      <c r="C241" s="54">
        <v>90.0</v>
      </c>
      <c r="D241" s="55" t="s">
        <v>1286</v>
      </c>
      <c r="E241" s="56" t="s">
        <v>173</v>
      </c>
      <c r="F241" s="54" t="s">
        <v>1287</v>
      </c>
      <c r="G241" s="57" t="str">
        <f t="shared" si="1"/>
        <v>10-Jun-2024</v>
      </c>
      <c r="H241" s="54" t="s">
        <v>1006</v>
      </c>
      <c r="I241" s="54" t="s">
        <v>1288</v>
      </c>
      <c r="J241" s="27" t="str">
        <f t="shared" si="4"/>
        <v>11-Jul-2025</v>
      </c>
      <c r="K241" s="54" t="s">
        <v>1289</v>
      </c>
      <c r="L241" s="27" t="str">
        <f t="shared" si="5"/>
        <v>12-Jun-2024</v>
      </c>
      <c r="M241" s="23" t="s">
        <v>15</v>
      </c>
      <c r="N241" s="23" t="s">
        <v>177</v>
      </c>
      <c r="O241" s="24"/>
      <c r="P241" s="54">
        <v>1.0</v>
      </c>
      <c r="Q241" s="58" t="s">
        <v>1290</v>
      </c>
      <c r="R241" s="27" t="str">
        <f>IFERROR(__xludf.DUMMYFUNCTION("IF(REGEXMATCH(N241, ""PRIORITY: Low""), ""Low"", IF(REGEXMATCH(N241, ""PRIORITY: Medium""), ""Medium"", IF(REGEXMATCH(N241, ""PRIORITY: High""), ""High"", """")))
"),"")</f>
        <v/>
      </c>
      <c r="S241" s="27" t="str">
        <f>IFERROR(__xludf.DUMMYFUNCTION("IF(REGEXMATCH(N241, ""SKILL: Low""), ""Low"", IF(REGEXMATCH(N241, ""SKILL: Medium""), ""Medium"", IF(REGEXMATCH(N241, ""SKILL: High""), ""High"", """")))"),"")</f>
        <v/>
      </c>
      <c r="T241" s="27" t="str">
        <f>IFERROR(__xludf.DUMMYFUNCTION("IF(REGEXMATCH(N241, ""STATUS: Dev Complete - Awaiting QA""), ""Dev Complete - Awaiting QA"", IF(REGEXMATCH(N241, ""STATUS: Follow-Up Required""), ""Follow-Up Required"", IF(REGEXMATCH(N241, ""STATUS: In Progress""), ""In Progress"", IF(REGEXMATCH(N241, """&amp;"STATUS: In QA""), ""In QA"", IF(REGEXMATCH(N241, ""STATUS: Needs Customer Feedback""), ""Needs Customer Feedback"", IF(REGEXMATCH(N241, ""STATUS: QA Passed - Awaiting Release""), ""QA Passed - Awaiting Release"", IF(REGEXMATCH(N241, ""STATUS: Release to P"&amp;"rod""), ""Release to Prod"", """")))))))"),"")</f>
        <v/>
      </c>
    </row>
    <row r="242" hidden="1">
      <c r="A242" s="23" t="s">
        <v>82</v>
      </c>
      <c r="B242" s="12" t="s">
        <v>267</v>
      </c>
      <c r="C242" s="54">
        <v>88.0</v>
      </c>
      <c r="D242" s="55" t="s">
        <v>1291</v>
      </c>
      <c r="E242" s="56" t="s">
        <v>173</v>
      </c>
      <c r="F242" s="54" t="s">
        <v>1292</v>
      </c>
      <c r="G242" s="57" t="str">
        <f t="shared" si="1"/>
        <v>10-Jun-2024</v>
      </c>
      <c r="H242" s="54" t="s">
        <v>254</v>
      </c>
      <c r="I242" s="54" t="s">
        <v>1293</v>
      </c>
      <c r="J242" s="27" t="str">
        <f t="shared" si="4"/>
        <v>11-Jul-2025</v>
      </c>
      <c r="K242" s="54" t="s">
        <v>1294</v>
      </c>
      <c r="L242" s="27" t="str">
        <f t="shared" si="5"/>
        <v>24-Jun-2024</v>
      </c>
      <c r="M242" s="23" t="s">
        <v>15</v>
      </c>
      <c r="N242" s="23" t="s">
        <v>177</v>
      </c>
      <c r="O242" s="24"/>
      <c r="P242" s="54">
        <v>0.0</v>
      </c>
      <c r="Q242" s="58" t="s">
        <v>1295</v>
      </c>
      <c r="R242" s="27" t="str">
        <f>IFERROR(__xludf.DUMMYFUNCTION("IF(REGEXMATCH(N242, ""PRIORITY: Low""), ""Low"", IF(REGEXMATCH(N242, ""PRIORITY: Medium""), ""Medium"", IF(REGEXMATCH(N242, ""PRIORITY: High""), ""High"", """")))
"),"")</f>
        <v/>
      </c>
      <c r="S242" s="27" t="str">
        <f>IFERROR(__xludf.DUMMYFUNCTION("IF(REGEXMATCH(N242, ""SKILL: Low""), ""Low"", IF(REGEXMATCH(N242, ""SKILL: Medium""), ""Medium"", IF(REGEXMATCH(N242, ""SKILL: High""), ""High"", """")))"),"")</f>
        <v/>
      </c>
      <c r="T242" s="27" t="str">
        <f>IFERROR(__xludf.DUMMYFUNCTION("IF(REGEXMATCH(N242, ""STATUS: Dev Complete - Awaiting QA""), ""Dev Complete - Awaiting QA"", IF(REGEXMATCH(N242, ""STATUS: Follow-Up Required""), ""Follow-Up Required"", IF(REGEXMATCH(N242, ""STATUS: In Progress""), ""In Progress"", IF(REGEXMATCH(N242, """&amp;"STATUS: In QA""), ""In QA"", IF(REGEXMATCH(N242, ""STATUS: Needs Customer Feedback""), ""Needs Customer Feedback"", IF(REGEXMATCH(N242, ""STATUS: QA Passed - Awaiting Release""), ""QA Passed - Awaiting Release"", IF(REGEXMATCH(N242, ""STATUS: Release to P"&amp;"rod""), ""Release to Prod"", """")))))))"),"")</f>
        <v/>
      </c>
    </row>
    <row r="243" hidden="1">
      <c r="A243" s="23" t="s">
        <v>82</v>
      </c>
      <c r="B243" s="12" t="s">
        <v>267</v>
      </c>
      <c r="C243" s="54">
        <v>84.0</v>
      </c>
      <c r="D243" s="55" t="s">
        <v>1296</v>
      </c>
      <c r="E243" s="56" t="s">
        <v>173</v>
      </c>
      <c r="F243" s="54" t="s">
        <v>1297</v>
      </c>
      <c r="G243" s="57" t="str">
        <f t="shared" si="1"/>
        <v>10-Jun-2024</v>
      </c>
      <c r="H243" s="54" t="s">
        <v>136</v>
      </c>
      <c r="I243" s="54" t="s">
        <v>1298</v>
      </c>
      <c r="J243" s="27" t="str">
        <f t="shared" si="4"/>
        <v>11-Jul-2025</v>
      </c>
      <c r="K243" s="54" t="s">
        <v>1299</v>
      </c>
      <c r="L243" s="27" t="str">
        <f t="shared" si="5"/>
        <v>12-Jun-2024</v>
      </c>
      <c r="M243" s="23" t="s">
        <v>15</v>
      </c>
      <c r="N243" s="23" t="s">
        <v>177</v>
      </c>
      <c r="O243" s="24"/>
      <c r="P243" s="54">
        <v>0.0</v>
      </c>
      <c r="Q243" s="58" t="s">
        <v>1300</v>
      </c>
      <c r="R243" s="27" t="str">
        <f>IFERROR(__xludf.DUMMYFUNCTION("IF(REGEXMATCH(N243, ""PRIORITY: Low""), ""Low"", IF(REGEXMATCH(N243, ""PRIORITY: Medium""), ""Medium"", IF(REGEXMATCH(N243, ""PRIORITY: High""), ""High"", """")))
"),"")</f>
        <v/>
      </c>
      <c r="S243" s="27" t="str">
        <f>IFERROR(__xludf.DUMMYFUNCTION("IF(REGEXMATCH(N243, ""SKILL: Low""), ""Low"", IF(REGEXMATCH(N243, ""SKILL: Medium""), ""Medium"", IF(REGEXMATCH(N243, ""SKILL: High""), ""High"", """")))"),"")</f>
        <v/>
      </c>
      <c r="T243" s="27" t="str">
        <f>IFERROR(__xludf.DUMMYFUNCTION("IF(REGEXMATCH(N243, ""STATUS: Dev Complete - Awaiting QA""), ""Dev Complete - Awaiting QA"", IF(REGEXMATCH(N243, ""STATUS: Follow-Up Required""), ""Follow-Up Required"", IF(REGEXMATCH(N243, ""STATUS: In Progress""), ""In Progress"", IF(REGEXMATCH(N243, """&amp;"STATUS: In QA""), ""In QA"", IF(REGEXMATCH(N243, ""STATUS: Needs Customer Feedback""), ""Needs Customer Feedback"", IF(REGEXMATCH(N243, ""STATUS: QA Passed - Awaiting Release""), ""QA Passed - Awaiting Release"", IF(REGEXMATCH(N243, ""STATUS: Release to P"&amp;"rod""), ""Release to Prod"", """")))))))"),"")</f>
        <v/>
      </c>
    </row>
    <row r="244" hidden="1">
      <c r="A244" s="23" t="s">
        <v>82</v>
      </c>
      <c r="B244" s="12" t="s">
        <v>267</v>
      </c>
      <c r="C244" s="54">
        <v>82.0</v>
      </c>
      <c r="D244" s="55" t="s">
        <v>1301</v>
      </c>
      <c r="E244" s="56" t="s">
        <v>173</v>
      </c>
      <c r="F244" s="54" t="s">
        <v>1302</v>
      </c>
      <c r="G244" s="57" t="str">
        <f t="shared" si="1"/>
        <v>09-Jun-2024</v>
      </c>
      <c r="H244" s="54" t="s">
        <v>254</v>
      </c>
      <c r="I244" s="54" t="s">
        <v>1303</v>
      </c>
      <c r="J244" s="27" t="str">
        <f t="shared" si="4"/>
        <v>11-Jul-2025</v>
      </c>
      <c r="K244" s="54" t="s">
        <v>1304</v>
      </c>
      <c r="L244" s="27" t="str">
        <f t="shared" si="5"/>
        <v>12-Jun-2024</v>
      </c>
      <c r="M244" s="23" t="s">
        <v>15</v>
      </c>
      <c r="N244" s="23" t="s">
        <v>177</v>
      </c>
      <c r="O244" s="24"/>
      <c r="P244" s="54">
        <v>0.0</v>
      </c>
      <c r="Q244" s="58" t="s">
        <v>1305</v>
      </c>
      <c r="R244" s="27" t="str">
        <f>IFERROR(__xludf.DUMMYFUNCTION("IF(REGEXMATCH(N244, ""PRIORITY: Low""), ""Low"", IF(REGEXMATCH(N244, ""PRIORITY: Medium""), ""Medium"", IF(REGEXMATCH(N244, ""PRIORITY: High""), ""High"", """")))
"),"")</f>
        <v/>
      </c>
      <c r="S244" s="27" t="str">
        <f>IFERROR(__xludf.DUMMYFUNCTION("IF(REGEXMATCH(N244, ""SKILL: Low""), ""Low"", IF(REGEXMATCH(N244, ""SKILL: Medium""), ""Medium"", IF(REGEXMATCH(N244, ""SKILL: High""), ""High"", """")))"),"")</f>
        <v/>
      </c>
      <c r="T244" s="27" t="str">
        <f>IFERROR(__xludf.DUMMYFUNCTION("IF(REGEXMATCH(N244, ""STATUS: Dev Complete - Awaiting QA""), ""Dev Complete - Awaiting QA"", IF(REGEXMATCH(N244, ""STATUS: Follow-Up Required""), ""Follow-Up Required"", IF(REGEXMATCH(N244, ""STATUS: In Progress""), ""In Progress"", IF(REGEXMATCH(N244, """&amp;"STATUS: In QA""), ""In QA"", IF(REGEXMATCH(N244, ""STATUS: Needs Customer Feedback""), ""Needs Customer Feedback"", IF(REGEXMATCH(N244, ""STATUS: QA Passed - Awaiting Release""), ""QA Passed - Awaiting Release"", IF(REGEXMATCH(N244, ""STATUS: Release to P"&amp;"rod""), ""Release to Prod"", """")))))))"),"")</f>
        <v/>
      </c>
    </row>
    <row r="245" hidden="1">
      <c r="A245" s="23" t="s">
        <v>82</v>
      </c>
      <c r="B245" s="12" t="s">
        <v>267</v>
      </c>
      <c r="C245" s="54">
        <v>81.0</v>
      </c>
      <c r="D245" s="55" t="s">
        <v>1306</v>
      </c>
      <c r="E245" s="56" t="s">
        <v>173</v>
      </c>
      <c r="F245" s="54" t="s">
        <v>1307</v>
      </c>
      <c r="G245" s="57" t="str">
        <f t="shared" si="1"/>
        <v>09-Jun-2024</v>
      </c>
      <c r="H245" s="54" t="s">
        <v>254</v>
      </c>
      <c r="I245" s="54" t="s">
        <v>1303</v>
      </c>
      <c r="J245" s="27" t="str">
        <f t="shared" si="4"/>
        <v>11-Jul-2025</v>
      </c>
      <c r="K245" s="54" t="s">
        <v>1308</v>
      </c>
      <c r="L245" s="27" t="str">
        <f t="shared" si="5"/>
        <v>10-Jun-2024</v>
      </c>
      <c r="M245" s="23" t="s">
        <v>15</v>
      </c>
      <c r="N245" s="23" t="s">
        <v>177</v>
      </c>
      <c r="O245" s="24"/>
      <c r="P245" s="54">
        <v>1.0</v>
      </c>
      <c r="Q245" s="58" t="s">
        <v>1309</v>
      </c>
      <c r="R245" s="27" t="str">
        <f>IFERROR(__xludf.DUMMYFUNCTION("IF(REGEXMATCH(N245, ""PRIORITY: Low""), ""Low"", IF(REGEXMATCH(N245, ""PRIORITY: Medium""), ""Medium"", IF(REGEXMATCH(N245, ""PRIORITY: High""), ""High"", """")))
"),"")</f>
        <v/>
      </c>
      <c r="S245" s="27" t="str">
        <f>IFERROR(__xludf.DUMMYFUNCTION("IF(REGEXMATCH(N245, ""SKILL: Low""), ""Low"", IF(REGEXMATCH(N245, ""SKILL: Medium""), ""Medium"", IF(REGEXMATCH(N245, ""SKILL: High""), ""High"", """")))"),"")</f>
        <v/>
      </c>
      <c r="T245" s="27" t="str">
        <f>IFERROR(__xludf.DUMMYFUNCTION("IF(REGEXMATCH(N245, ""STATUS: Dev Complete - Awaiting QA""), ""Dev Complete - Awaiting QA"", IF(REGEXMATCH(N245, ""STATUS: Follow-Up Required""), ""Follow-Up Required"", IF(REGEXMATCH(N245, ""STATUS: In Progress""), ""In Progress"", IF(REGEXMATCH(N245, """&amp;"STATUS: In QA""), ""In QA"", IF(REGEXMATCH(N245, ""STATUS: Needs Customer Feedback""), ""Needs Customer Feedback"", IF(REGEXMATCH(N245, ""STATUS: QA Passed - Awaiting Release""), ""QA Passed - Awaiting Release"", IF(REGEXMATCH(N245, ""STATUS: Release to P"&amp;"rod""), ""Release to Prod"", """")))))))"),"")</f>
        <v/>
      </c>
    </row>
    <row r="246" hidden="1">
      <c r="A246" s="23" t="s">
        <v>82</v>
      </c>
      <c r="B246" s="12" t="s">
        <v>267</v>
      </c>
      <c r="C246" s="54">
        <v>80.0</v>
      </c>
      <c r="D246" s="55" t="s">
        <v>1310</v>
      </c>
      <c r="E246" s="56" t="s">
        <v>173</v>
      </c>
      <c r="F246" s="54" t="s">
        <v>1311</v>
      </c>
      <c r="G246" s="57" t="str">
        <f t="shared" si="1"/>
        <v>09-Jun-2024</v>
      </c>
      <c r="H246" s="54" t="s">
        <v>254</v>
      </c>
      <c r="I246" s="54" t="s">
        <v>1312</v>
      </c>
      <c r="J246" s="27" t="str">
        <f t="shared" si="4"/>
        <v>11-Jul-2025</v>
      </c>
      <c r="K246" s="54" t="s">
        <v>1313</v>
      </c>
      <c r="L246" s="27" t="str">
        <f t="shared" si="5"/>
        <v>11-Jun-2024</v>
      </c>
      <c r="M246" s="23" t="s">
        <v>15</v>
      </c>
      <c r="N246" s="23" t="s">
        <v>177</v>
      </c>
      <c r="O246" s="24"/>
      <c r="P246" s="54">
        <v>0.0</v>
      </c>
      <c r="Q246" s="58" t="s">
        <v>1314</v>
      </c>
      <c r="R246" s="27" t="str">
        <f>IFERROR(__xludf.DUMMYFUNCTION("IF(REGEXMATCH(N246, ""PRIORITY: Low""), ""Low"", IF(REGEXMATCH(N246, ""PRIORITY: Medium""), ""Medium"", IF(REGEXMATCH(N246, ""PRIORITY: High""), ""High"", """")))
"),"")</f>
        <v/>
      </c>
      <c r="S246" s="27" t="str">
        <f>IFERROR(__xludf.DUMMYFUNCTION("IF(REGEXMATCH(N246, ""SKILL: Low""), ""Low"", IF(REGEXMATCH(N246, ""SKILL: Medium""), ""Medium"", IF(REGEXMATCH(N246, ""SKILL: High""), ""High"", """")))"),"")</f>
        <v/>
      </c>
      <c r="T246" s="27" t="str">
        <f>IFERROR(__xludf.DUMMYFUNCTION("IF(REGEXMATCH(N246, ""STATUS: Dev Complete - Awaiting QA""), ""Dev Complete - Awaiting QA"", IF(REGEXMATCH(N246, ""STATUS: Follow-Up Required""), ""Follow-Up Required"", IF(REGEXMATCH(N246, ""STATUS: In Progress""), ""In Progress"", IF(REGEXMATCH(N246, """&amp;"STATUS: In QA""), ""In QA"", IF(REGEXMATCH(N246, ""STATUS: Needs Customer Feedback""), ""Needs Customer Feedback"", IF(REGEXMATCH(N246, ""STATUS: QA Passed - Awaiting Release""), ""QA Passed - Awaiting Release"", IF(REGEXMATCH(N246, ""STATUS: Release to P"&amp;"rod""), ""Release to Prod"", """")))))))"),"")</f>
        <v/>
      </c>
    </row>
    <row r="247" hidden="1">
      <c r="A247" s="23" t="s">
        <v>82</v>
      </c>
      <c r="B247" s="12" t="s">
        <v>267</v>
      </c>
      <c r="C247" s="54">
        <v>79.0</v>
      </c>
      <c r="D247" s="55" t="s">
        <v>1315</v>
      </c>
      <c r="E247" s="56" t="s">
        <v>173</v>
      </c>
      <c r="F247" s="54" t="s">
        <v>1316</v>
      </c>
      <c r="G247" s="57" t="str">
        <f t="shared" si="1"/>
        <v>09-Jun-2024</v>
      </c>
      <c r="H247" s="54" t="s">
        <v>254</v>
      </c>
      <c r="I247" s="54" t="s">
        <v>1317</v>
      </c>
      <c r="J247" s="27" t="str">
        <f t="shared" si="4"/>
        <v>11-Jul-2025</v>
      </c>
      <c r="K247" s="54" t="s">
        <v>1318</v>
      </c>
      <c r="L247" s="27" t="str">
        <f t="shared" si="5"/>
        <v>10-Jun-2024</v>
      </c>
      <c r="M247" s="23" t="s">
        <v>15</v>
      </c>
      <c r="N247" s="23" t="s">
        <v>177</v>
      </c>
      <c r="O247" s="24"/>
      <c r="P247" s="54">
        <v>1.0</v>
      </c>
      <c r="Q247" s="58" t="s">
        <v>1319</v>
      </c>
      <c r="R247" s="27" t="str">
        <f>IFERROR(__xludf.DUMMYFUNCTION("IF(REGEXMATCH(N247, ""PRIORITY: Low""), ""Low"", IF(REGEXMATCH(N247, ""PRIORITY: Medium""), ""Medium"", IF(REGEXMATCH(N247, ""PRIORITY: High""), ""High"", """")))
"),"")</f>
        <v/>
      </c>
      <c r="S247" s="27" t="str">
        <f>IFERROR(__xludf.DUMMYFUNCTION("IF(REGEXMATCH(N247, ""SKILL: Low""), ""Low"", IF(REGEXMATCH(N247, ""SKILL: Medium""), ""Medium"", IF(REGEXMATCH(N247, ""SKILL: High""), ""High"", """")))"),"")</f>
        <v/>
      </c>
      <c r="T247" s="27" t="str">
        <f>IFERROR(__xludf.DUMMYFUNCTION("IF(REGEXMATCH(N247, ""STATUS: Dev Complete - Awaiting QA""), ""Dev Complete - Awaiting QA"", IF(REGEXMATCH(N247, ""STATUS: Follow-Up Required""), ""Follow-Up Required"", IF(REGEXMATCH(N247, ""STATUS: In Progress""), ""In Progress"", IF(REGEXMATCH(N247, """&amp;"STATUS: In QA""), ""In QA"", IF(REGEXMATCH(N247, ""STATUS: Needs Customer Feedback""), ""Needs Customer Feedback"", IF(REGEXMATCH(N247, ""STATUS: QA Passed - Awaiting Release""), ""QA Passed - Awaiting Release"", IF(REGEXMATCH(N247, ""STATUS: Release to P"&amp;"rod""), ""Release to Prod"", """")))))))"),"")</f>
        <v/>
      </c>
    </row>
    <row r="248" hidden="1">
      <c r="A248" s="23" t="s">
        <v>82</v>
      </c>
      <c r="B248" s="12" t="s">
        <v>267</v>
      </c>
      <c r="C248" s="54">
        <v>78.0</v>
      </c>
      <c r="D248" s="55" t="s">
        <v>1320</v>
      </c>
      <c r="E248" s="56" t="s">
        <v>173</v>
      </c>
      <c r="F248" s="54" t="s">
        <v>1321</v>
      </c>
      <c r="G248" s="57" t="str">
        <f t="shared" si="1"/>
        <v>09-Jun-2024</v>
      </c>
      <c r="H248" s="54" t="s">
        <v>254</v>
      </c>
      <c r="I248" s="54" t="s">
        <v>1317</v>
      </c>
      <c r="J248" s="27" t="str">
        <f t="shared" si="4"/>
        <v>11-Jul-2025</v>
      </c>
      <c r="K248" s="54" t="s">
        <v>1322</v>
      </c>
      <c r="L248" s="27" t="str">
        <f t="shared" si="5"/>
        <v>10-Jun-2024</v>
      </c>
      <c r="M248" s="23" t="s">
        <v>15</v>
      </c>
      <c r="N248" s="23" t="s">
        <v>177</v>
      </c>
      <c r="O248" s="24"/>
      <c r="P248" s="54">
        <v>2.0</v>
      </c>
      <c r="Q248" s="58" t="s">
        <v>1323</v>
      </c>
      <c r="R248" s="27" t="str">
        <f>IFERROR(__xludf.DUMMYFUNCTION("IF(REGEXMATCH(N248, ""PRIORITY: Low""), ""Low"", IF(REGEXMATCH(N248, ""PRIORITY: Medium""), ""Medium"", IF(REGEXMATCH(N248, ""PRIORITY: High""), ""High"", """")))
"),"")</f>
        <v/>
      </c>
      <c r="S248" s="27" t="str">
        <f>IFERROR(__xludf.DUMMYFUNCTION("IF(REGEXMATCH(N248, ""SKILL: Low""), ""Low"", IF(REGEXMATCH(N248, ""SKILL: Medium""), ""Medium"", IF(REGEXMATCH(N248, ""SKILL: High""), ""High"", """")))"),"")</f>
        <v/>
      </c>
      <c r="T248" s="27" t="str">
        <f>IFERROR(__xludf.DUMMYFUNCTION("IF(REGEXMATCH(N248, ""STATUS: Dev Complete - Awaiting QA""), ""Dev Complete - Awaiting QA"", IF(REGEXMATCH(N248, ""STATUS: Follow-Up Required""), ""Follow-Up Required"", IF(REGEXMATCH(N248, ""STATUS: In Progress""), ""In Progress"", IF(REGEXMATCH(N248, """&amp;"STATUS: In QA""), ""In QA"", IF(REGEXMATCH(N248, ""STATUS: Needs Customer Feedback""), ""Needs Customer Feedback"", IF(REGEXMATCH(N248, ""STATUS: QA Passed - Awaiting Release""), ""QA Passed - Awaiting Release"", IF(REGEXMATCH(N248, ""STATUS: Release to P"&amp;"rod""), ""Release to Prod"", """")))))))"),"")</f>
        <v/>
      </c>
    </row>
    <row r="249" hidden="1">
      <c r="A249" s="23" t="s">
        <v>82</v>
      </c>
      <c r="B249" s="12" t="s">
        <v>267</v>
      </c>
      <c r="C249" s="54">
        <v>77.0</v>
      </c>
      <c r="D249" s="55" t="s">
        <v>1324</v>
      </c>
      <c r="E249" s="56" t="s">
        <v>173</v>
      </c>
      <c r="F249" s="54" t="s">
        <v>1325</v>
      </c>
      <c r="G249" s="57" t="str">
        <f t="shared" si="1"/>
        <v>09-Jun-2024</v>
      </c>
      <c r="H249" s="54" t="s">
        <v>254</v>
      </c>
      <c r="I249" s="54" t="s">
        <v>1326</v>
      </c>
      <c r="J249" s="27" t="str">
        <f t="shared" si="4"/>
        <v>11-Jul-2025</v>
      </c>
      <c r="K249" s="54" t="s">
        <v>1327</v>
      </c>
      <c r="L249" s="27" t="str">
        <f t="shared" si="5"/>
        <v>10-Jun-2024</v>
      </c>
      <c r="M249" s="23" t="s">
        <v>15</v>
      </c>
      <c r="N249" s="23" t="s">
        <v>177</v>
      </c>
      <c r="O249" s="24"/>
      <c r="P249" s="54">
        <v>2.0</v>
      </c>
      <c r="Q249" s="58" t="s">
        <v>1328</v>
      </c>
      <c r="R249" s="27" t="str">
        <f>IFERROR(__xludf.DUMMYFUNCTION("IF(REGEXMATCH(N249, ""PRIORITY: Low""), ""Low"", IF(REGEXMATCH(N249, ""PRIORITY: Medium""), ""Medium"", IF(REGEXMATCH(N249, ""PRIORITY: High""), ""High"", """")))
"),"")</f>
        <v/>
      </c>
      <c r="S249" s="27" t="str">
        <f>IFERROR(__xludf.DUMMYFUNCTION("IF(REGEXMATCH(N249, ""SKILL: Low""), ""Low"", IF(REGEXMATCH(N249, ""SKILL: Medium""), ""Medium"", IF(REGEXMATCH(N249, ""SKILL: High""), ""High"", """")))"),"")</f>
        <v/>
      </c>
      <c r="T249" s="27" t="str">
        <f>IFERROR(__xludf.DUMMYFUNCTION("IF(REGEXMATCH(N249, ""STATUS: Dev Complete - Awaiting QA""), ""Dev Complete - Awaiting QA"", IF(REGEXMATCH(N249, ""STATUS: Follow-Up Required""), ""Follow-Up Required"", IF(REGEXMATCH(N249, ""STATUS: In Progress""), ""In Progress"", IF(REGEXMATCH(N249, """&amp;"STATUS: In QA""), ""In QA"", IF(REGEXMATCH(N249, ""STATUS: Needs Customer Feedback""), ""Needs Customer Feedback"", IF(REGEXMATCH(N249, ""STATUS: QA Passed - Awaiting Release""), ""QA Passed - Awaiting Release"", IF(REGEXMATCH(N249, ""STATUS: Release to P"&amp;"rod""), ""Release to Prod"", """")))))))"),"")</f>
        <v/>
      </c>
    </row>
    <row r="250" hidden="1">
      <c r="A250" s="23" t="s">
        <v>82</v>
      </c>
      <c r="B250" s="12" t="s">
        <v>267</v>
      </c>
      <c r="C250" s="54">
        <v>76.0</v>
      </c>
      <c r="D250" s="55" t="s">
        <v>1329</v>
      </c>
      <c r="E250" s="56" t="s">
        <v>173</v>
      </c>
      <c r="F250" s="54" t="s">
        <v>1330</v>
      </c>
      <c r="G250" s="57" t="str">
        <f t="shared" si="1"/>
        <v>09-Jun-2024</v>
      </c>
      <c r="H250" s="54" t="s">
        <v>254</v>
      </c>
      <c r="I250" s="54" t="s">
        <v>1331</v>
      </c>
      <c r="J250" s="27" t="str">
        <f t="shared" si="4"/>
        <v>11-Jul-2025</v>
      </c>
      <c r="K250" s="54" t="s">
        <v>1332</v>
      </c>
      <c r="L250" s="27" t="str">
        <f t="shared" si="5"/>
        <v>11-Jun-2024</v>
      </c>
      <c r="M250" s="23" t="s">
        <v>15</v>
      </c>
      <c r="N250" s="23" t="s">
        <v>177</v>
      </c>
      <c r="O250" s="24"/>
      <c r="P250" s="54">
        <v>0.0</v>
      </c>
      <c r="Q250" s="58" t="s">
        <v>1333</v>
      </c>
      <c r="R250" s="27" t="str">
        <f>IFERROR(__xludf.DUMMYFUNCTION("IF(REGEXMATCH(N250, ""PRIORITY: Low""), ""Low"", IF(REGEXMATCH(N250, ""PRIORITY: Medium""), ""Medium"", IF(REGEXMATCH(N250, ""PRIORITY: High""), ""High"", """")))
"),"")</f>
        <v/>
      </c>
      <c r="S250" s="27" t="str">
        <f>IFERROR(__xludf.DUMMYFUNCTION("IF(REGEXMATCH(N250, ""SKILL: Low""), ""Low"", IF(REGEXMATCH(N250, ""SKILL: Medium""), ""Medium"", IF(REGEXMATCH(N250, ""SKILL: High""), ""High"", """")))"),"")</f>
        <v/>
      </c>
      <c r="T250" s="27" t="str">
        <f>IFERROR(__xludf.DUMMYFUNCTION("IF(REGEXMATCH(N250, ""STATUS: Dev Complete - Awaiting QA""), ""Dev Complete - Awaiting QA"", IF(REGEXMATCH(N250, ""STATUS: Follow-Up Required""), ""Follow-Up Required"", IF(REGEXMATCH(N250, ""STATUS: In Progress""), ""In Progress"", IF(REGEXMATCH(N250, """&amp;"STATUS: In QA""), ""In QA"", IF(REGEXMATCH(N250, ""STATUS: Needs Customer Feedback""), ""Needs Customer Feedback"", IF(REGEXMATCH(N250, ""STATUS: QA Passed - Awaiting Release""), ""QA Passed - Awaiting Release"", IF(REGEXMATCH(N250, ""STATUS: Release to P"&amp;"rod""), ""Release to Prod"", """")))))))"),"")</f>
        <v/>
      </c>
    </row>
    <row r="251" hidden="1">
      <c r="A251" s="23" t="s">
        <v>82</v>
      </c>
      <c r="B251" s="12" t="s">
        <v>267</v>
      </c>
      <c r="C251" s="54">
        <v>75.0</v>
      </c>
      <c r="D251" s="55" t="s">
        <v>1334</v>
      </c>
      <c r="E251" s="56" t="s">
        <v>173</v>
      </c>
      <c r="F251" s="54" t="s">
        <v>1335</v>
      </c>
      <c r="G251" s="57" t="str">
        <f t="shared" si="1"/>
        <v>08-Jun-2024</v>
      </c>
      <c r="H251" s="54" t="s">
        <v>254</v>
      </c>
      <c r="I251" s="54" t="s">
        <v>1336</v>
      </c>
      <c r="J251" s="27" t="str">
        <f t="shared" si="4"/>
        <v>11-Jul-2025</v>
      </c>
      <c r="K251" s="54" t="s">
        <v>1337</v>
      </c>
      <c r="L251" s="27" t="str">
        <f t="shared" si="5"/>
        <v>13-Jun-2024</v>
      </c>
      <c r="M251" s="23" t="s">
        <v>15</v>
      </c>
      <c r="N251" s="23" t="s">
        <v>177</v>
      </c>
      <c r="O251" s="23" t="s">
        <v>37</v>
      </c>
      <c r="P251" s="54">
        <v>0.0</v>
      </c>
      <c r="Q251" s="58" t="s">
        <v>1338</v>
      </c>
      <c r="R251" s="27" t="str">
        <f>IFERROR(__xludf.DUMMYFUNCTION("IF(REGEXMATCH(N251, ""PRIORITY: Low""), ""Low"", IF(REGEXMATCH(N251, ""PRIORITY: Medium""), ""Medium"", IF(REGEXMATCH(N251, ""PRIORITY: High""), ""High"", """")))
"),"")</f>
        <v/>
      </c>
      <c r="S251" s="27" t="str">
        <f>IFERROR(__xludf.DUMMYFUNCTION("IF(REGEXMATCH(N251, ""SKILL: Low""), ""Low"", IF(REGEXMATCH(N251, ""SKILL: Medium""), ""Medium"", IF(REGEXMATCH(N251, ""SKILL: High""), ""High"", """")))"),"")</f>
        <v/>
      </c>
      <c r="T251" s="27" t="str">
        <f>IFERROR(__xludf.DUMMYFUNCTION("IF(REGEXMATCH(N251, ""STATUS: Dev Complete - Awaiting QA""), ""Dev Complete - Awaiting QA"", IF(REGEXMATCH(N251, ""STATUS: Follow-Up Required""), ""Follow-Up Required"", IF(REGEXMATCH(N251, ""STATUS: In Progress""), ""In Progress"", IF(REGEXMATCH(N251, """&amp;"STATUS: In QA""), ""In QA"", IF(REGEXMATCH(N251, ""STATUS: Needs Customer Feedback""), ""Needs Customer Feedback"", IF(REGEXMATCH(N251, ""STATUS: QA Passed - Awaiting Release""), ""QA Passed - Awaiting Release"", IF(REGEXMATCH(N251, ""STATUS: Release to P"&amp;"rod""), ""Release to Prod"", """")))))))"),"")</f>
        <v/>
      </c>
    </row>
    <row r="252" hidden="1">
      <c r="A252" s="23" t="s">
        <v>82</v>
      </c>
      <c r="B252" s="12" t="s">
        <v>267</v>
      </c>
      <c r="C252" s="54">
        <v>72.0</v>
      </c>
      <c r="D252" s="55" t="s">
        <v>1339</v>
      </c>
      <c r="E252" s="56" t="s">
        <v>173</v>
      </c>
      <c r="F252" s="54" t="s">
        <v>1340</v>
      </c>
      <c r="G252" s="57" t="str">
        <f t="shared" si="1"/>
        <v>07-Jun-2024</v>
      </c>
      <c r="H252" s="54" t="s">
        <v>136</v>
      </c>
      <c r="I252" s="54" t="s">
        <v>1341</v>
      </c>
      <c r="J252" s="27" t="str">
        <f t="shared" si="4"/>
        <v>11-Jul-2025</v>
      </c>
      <c r="K252" s="54" t="s">
        <v>1342</v>
      </c>
      <c r="L252" s="27" t="str">
        <f t="shared" si="5"/>
        <v>13-Jun-2024</v>
      </c>
      <c r="M252" s="23" t="s">
        <v>15</v>
      </c>
      <c r="N252" s="23" t="s">
        <v>177</v>
      </c>
      <c r="O252" s="24"/>
      <c r="P252" s="54">
        <v>11.0</v>
      </c>
      <c r="Q252" s="58" t="s">
        <v>1343</v>
      </c>
      <c r="R252" s="27" t="str">
        <f>IFERROR(__xludf.DUMMYFUNCTION("IF(REGEXMATCH(N252, ""PRIORITY: Low""), ""Low"", IF(REGEXMATCH(N252, ""PRIORITY: Medium""), ""Medium"", IF(REGEXMATCH(N252, ""PRIORITY: High""), ""High"", """")))
"),"")</f>
        <v/>
      </c>
      <c r="S252" s="27" t="str">
        <f>IFERROR(__xludf.DUMMYFUNCTION("IF(REGEXMATCH(N252, ""SKILL: Low""), ""Low"", IF(REGEXMATCH(N252, ""SKILL: Medium""), ""Medium"", IF(REGEXMATCH(N252, ""SKILL: High""), ""High"", """")))"),"")</f>
        <v/>
      </c>
      <c r="T252" s="27" t="str">
        <f>IFERROR(__xludf.DUMMYFUNCTION("IF(REGEXMATCH(N252, ""STATUS: Dev Complete - Awaiting QA""), ""Dev Complete - Awaiting QA"", IF(REGEXMATCH(N252, ""STATUS: Follow-Up Required""), ""Follow-Up Required"", IF(REGEXMATCH(N252, ""STATUS: In Progress""), ""In Progress"", IF(REGEXMATCH(N252, """&amp;"STATUS: In QA""), ""In QA"", IF(REGEXMATCH(N252, ""STATUS: Needs Customer Feedback""), ""Needs Customer Feedback"", IF(REGEXMATCH(N252, ""STATUS: QA Passed - Awaiting Release""), ""QA Passed - Awaiting Release"", IF(REGEXMATCH(N252, ""STATUS: Release to P"&amp;"rod""), ""Release to Prod"", """")))))))"),"")</f>
        <v/>
      </c>
    </row>
    <row r="253" hidden="1">
      <c r="A253" s="23" t="s">
        <v>82</v>
      </c>
      <c r="B253" s="12" t="s">
        <v>267</v>
      </c>
      <c r="C253" s="54">
        <v>71.0</v>
      </c>
      <c r="D253" s="55" t="s">
        <v>1344</v>
      </c>
      <c r="E253" s="56" t="s">
        <v>173</v>
      </c>
      <c r="F253" s="54" t="s">
        <v>1345</v>
      </c>
      <c r="G253" s="57" t="str">
        <f t="shared" si="1"/>
        <v>07-Jun-2024</v>
      </c>
      <c r="H253" s="54" t="s">
        <v>136</v>
      </c>
      <c r="I253" s="54" t="s">
        <v>1346</v>
      </c>
      <c r="J253" s="27" t="str">
        <f t="shared" si="4"/>
        <v>11-Jul-2025</v>
      </c>
      <c r="K253" s="54" t="s">
        <v>1347</v>
      </c>
      <c r="L253" s="27" t="str">
        <f t="shared" si="5"/>
        <v>24-Jun-2024</v>
      </c>
      <c r="M253" s="23" t="s">
        <v>15</v>
      </c>
      <c r="N253" s="23" t="s">
        <v>177</v>
      </c>
      <c r="O253" s="24"/>
      <c r="P253" s="54">
        <v>0.0</v>
      </c>
      <c r="Q253" s="58" t="s">
        <v>1348</v>
      </c>
      <c r="R253" s="27" t="str">
        <f>IFERROR(__xludf.DUMMYFUNCTION("IF(REGEXMATCH(N253, ""PRIORITY: Low""), ""Low"", IF(REGEXMATCH(N253, ""PRIORITY: Medium""), ""Medium"", IF(REGEXMATCH(N253, ""PRIORITY: High""), ""High"", """")))
"),"")</f>
        <v/>
      </c>
      <c r="S253" s="27" t="str">
        <f>IFERROR(__xludf.DUMMYFUNCTION("IF(REGEXMATCH(N253, ""SKILL: Low""), ""Low"", IF(REGEXMATCH(N253, ""SKILL: Medium""), ""Medium"", IF(REGEXMATCH(N253, ""SKILL: High""), ""High"", """")))"),"")</f>
        <v/>
      </c>
      <c r="T253" s="27" t="str">
        <f>IFERROR(__xludf.DUMMYFUNCTION("IF(REGEXMATCH(N253, ""STATUS: Dev Complete - Awaiting QA""), ""Dev Complete - Awaiting QA"", IF(REGEXMATCH(N253, ""STATUS: Follow-Up Required""), ""Follow-Up Required"", IF(REGEXMATCH(N253, ""STATUS: In Progress""), ""In Progress"", IF(REGEXMATCH(N253, """&amp;"STATUS: In QA""), ""In QA"", IF(REGEXMATCH(N253, ""STATUS: Needs Customer Feedback""), ""Needs Customer Feedback"", IF(REGEXMATCH(N253, ""STATUS: QA Passed - Awaiting Release""), ""QA Passed - Awaiting Release"", IF(REGEXMATCH(N253, ""STATUS: Release to P"&amp;"rod""), ""Release to Prod"", """")))))))"),"")</f>
        <v/>
      </c>
    </row>
    <row r="254" hidden="1">
      <c r="A254" s="23" t="s">
        <v>82</v>
      </c>
      <c r="B254" s="12" t="s">
        <v>267</v>
      </c>
      <c r="C254" s="54">
        <v>70.0</v>
      </c>
      <c r="D254" s="55" t="s">
        <v>1349</v>
      </c>
      <c r="E254" s="56" t="s">
        <v>173</v>
      </c>
      <c r="F254" s="54" t="s">
        <v>1350</v>
      </c>
      <c r="G254" s="57" t="str">
        <f t="shared" si="1"/>
        <v>07-Jun-2024</v>
      </c>
      <c r="H254" s="54" t="s">
        <v>136</v>
      </c>
      <c r="I254" s="54" t="s">
        <v>1346</v>
      </c>
      <c r="J254" s="27" t="str">
        <f t="shared" si="4"/>
        <v>11-Jul-2025</v>
      </c>
      <c r="K254" s="54" t="s">
        <v>1351</v>
      </c>
      <c r="L254" s="27" t="str">
        <f t="shared" si="5"/>
        <v>13-Jun-2024</v>
      </c>
      <c r="M254" s="23" t="s">
        <v>15</v>
      </c>
      <c r="N254" s="23" t="s">
        <v>177</v>
      </c>
      <c r="O254" s="24"/>
      <c r="P254" s="54">
        <v>1.0</v>
      </c>
      <c r="Q254" s="58" t="s">
        <v>1352</v>
      </c>
      <c r="R254" s="27" t="str">
        <f>IFERROR(__xludf.DUMMYFUNCTION("IF(REGEXMATCH(N254, ""PRIORITY: Low""), ""Low"", IF(REGEXMATCH(N254, ""PRIORITY: Medium""), ""Medium"", IF(REGEXMATCH(N254, ""PRIORITY: High""), ""High"", """")))
"),"")</f>
        <v/>
      </c>
      <c r="S254" s="27" t="str">
        <f>IFERROR(__xludf.DUMMYFUNCTION("IF(REGEXMATCH(N254, ""SKILL: Low""), ""Low"", IF(REGEXMATCH(N254, ""SKILL: Medium""), ""Medium"", IF(REGEXMATCH(N254, ""SKILL: High""), ""High"", """")))"),"")</f>
        <v/>
      </c>
      <c r="T254" s="27" t="str">
        <f>IFERROR(__xludf.DUMMYFUNCTION("IF(REGEXMATCH(N254, ""STATUS: Dev Complete - Awaiting QA""), ""Dev Complete - Awaiting QA"", IF(REGEXMATCH(N254, ""STATUS: Follow-Up Required""), ""Follow-Up Required"", IF(REGEXMATCH(N254, ""STATUS: In Progress""), ""In Progress"", IF(REGEXMATCH(N254, """&amp;"STATUS: In QA""), ""In QA"", IF(REGEXMATCH(N254, ""STATUS: Needs Customer Feedback""), ""Needs Customer Feedback"", IF(REGEXMATCH(N254, ""STATUS: QA Passed - Awaiting Release""), ""QA Passed - Awaiting Release"", IF(REGEXMATCH(N254, ""STATUS: Release to P"&amp;"rod""), ""Release to Prod"", """")))))))"),"")</f>
        <v/>
      </c>
    </row>
    <row r="255" hidden="1">
      <c r="A255" s="23" t="s">
        <v>82</v>
      </c>
      <c r="B255" s="12" t="s">
        <v>267</v>
      </c>
      <c r="C255" s="54">
        <v>67.0</v>
      </c>
      <c r="D255" s="55" t="s">
        <v>1353</v>
      </c>
      <c r="E255" s="56" t="s">
        <v>173</v>
      </c>
      <c r="F255" s="54" t="s">
        <v>1354</v>
      </c>
      <c r="G255" s="57" t="str">
        <f t="shared" si="1"/>
        <v>06-Jun-2024</v>
      </c>
      <c r="H255" s="54" t="s">
        <v>254</v>
      </c>
      <c r="I255" s="54" t="s">
        <v>1355</v>
      </c>
      <c r="J255" s="27" t="str">
        <f t="shared" si="4"/>
        <v>11-Jul-2025</v>
      </c>
      <c r="K255" s="54" t="s">
        <v>1356</v>
      </c>
      <c r="L255" s="27" t="str">
        <f t="shared" si="5"/>
        <v>10-Jun-2024</v>
      </c>
      <c r="M255" s="23" t="s">
        <v>15</v>
      </c>
      <c r="N255" s="23" t="s">
        <v>177</v>
      </c>
      <c r="O255" s="24"/>
      <c r="P255" s="54">
        <v>2.0</v>
      </c>
      <c r="Q255" s="58" t="s">
        <v>1357</v>
      </c>
      <c r="R255" s="27" t="str">
        <f>IFERROR(__xludf.DUMMYFUNCTION("IF(REGEXMATCH(N255, ""PRIORITY: Low""), ""Low"", IF(REGEXMATCH(N255, ""PRIORITY: Medium""), ""Medium"", IF(REGEXMATCH(N255, ""PRIORITY: High""), ""High"", """")))
"),"")</f>
        <v/>
      </c>
      <c r="S255" s="27" t="str">
        <f>IFERROR(__xludf.DUMMYFUNCTION("IF(REGEXMATCH(N255, ""SKILL: Low""), ""Low"", IF(REGEXMATCH(N255, ""SKILL: Medium""), ""Medium"", IF(REGEXMATCH(N255, ""SKILL: High""), ""High"", """")))"),"")</f>
        <v/>
      </c>
      <c r="T255" s="27" t="str">
        <f>IFERROR(__xludf.DUMMYFUNCTION("IF(REGEXMATCH(N255, ""STATUS: Dev Complete - Awaiting QA""), ""Dev Complete - Awaiting QA"", IF(REGEXMATCH(N255, ""STATUS: Follow-Up Required""), ""Follow-Up Required"", IF(REGEXMATCH(N255, ""STATUS: In Progress""), ""In Progress"", IF(REGEXMATCH(N255, """&amp;"STATUS: In QA""), ""In QA"", IF(REGEXMATCH(N255, ""STATUS: Needs Customer Feedback""), ""Needs Customer Feedback"", IF(REGEXMATCH(N255, ""STATUS: QA Passed - Awaiting Release""), ""QA Passed - Awaiting Release"", IF(REGEXMATCH(N255, ""STATUS: Release to P"&amp;"rod""), ""Release to Prod"", """")))))))"),"")</f>
        <v/>
      </c>
    </row>
    <row r="256" hidden="1">
      <c r="A256" s="23" t="s">
        <v>82</v>
      </c>
      <c r="B256" s="12" t="s">
        <v>267</v>
      </c>
      <c r="C256" s="54">
        <v>66.0</v>
      </c>
      <c r="D256" s="55" t="s">
        <v>1358</v>
      </c>
      <c r="E256" s="56" t="s">
        <v>173</v>
      </c>
      <c r="F256" s="54" t="s">
        <v>1359</v>
      </c>
      <c r="G256" s="57" t="str">
        <f t="shared" si="1"/>
        <v>06-Jun-2024</v>
      </c>
      <c r="H256" s="54" t="s">
        <v>254</v>
      </c>
      <c r="I256" s="54" t="s">
        <v>1360</v>
      </c>
      <c r="J256" s="27" t="str">
        <f t="shared" si="4"/>
        <v>11-Jul-2025</v>
      </c>
      <c r="K256" s="54" t="s">
        <v>1361</v>
      </c>
      <c r="L256" s="27" t="str">
        <f t="shared" si="5"/>
        <v>09-Jun-2024</v>
      </c>
      <c r="M256" s="23" t="s">
        <v>15</v>
      </c>
      <c r="N256" s="23" t="s">
        <v>177</v>
      </c>
      <c r="O256" s="24"/>
      <c r="P256" s="54">
        <v>0.0</v>
      </c>
      <c r="Q256" s="58" t="s">
        <v>1362</v>
      </c>
      <c r="R256" s="27" t="str">
        <f>IFERROR(__xludf.DUMMYFUNCTION("IF(REGEXMATCH(N256, ""PRIORITY: Low""), ""Low"", IF(REGEXMATCH(N256, ""PRIORITY: Medium""), ""Medium"", IF(REGEXMATCH(N256, ""PRIORITY: High""), ""High"", """")))
"),"")</f>
        <v/>
      </c>
      <c r="S256" s="27" t="str">
        <f>IFERROR(__xludf.DUMMYFUNCTION("IF(REGEXMATCH(N256, ""SKILL: Low""), ""Low"", IF(REGEXMATCH(N256, ""SKILL: Medium""), ""Medium"", IF(REGEXMATCH(N256, ""SKILL: High""), ""High"", """")))"),"")</f>
        <v/>
      </c>
      <c r="T256" s="27" t="str">
        <f>IFERROR(__xludf.DUMMYFUNCTION("IF(REGEXMATCH(N256, ""STATUS: Dev Complete - Awaiting QA""), ""Dev Complete - Awaiting QA"", IF(REGEXMATCH(N256, ""STATUS: Follow-Up Required""), ""Follow-Up Required"", IF(REGEXMATCH(N256, ""STATUS: In Progress""), ""In Progress"", IF(REGEXMATCH(N256, """&amp;"STATUS: In QA""), ""In QA"", IF(REGEXMATCH(N256, ""STATUS: Needs Customer Feedback""), ""Needs Customer Feedback"", IF(REGEXMATCH(N256, ""STATUS: QA Passed - Awaiting Release""), ""QA Passed - Awaiting Release"", IF(REGEXMATCH(N256, ""STATUS: Release to P"&amp;"rod""), ""Release to Prod"", """")))))))"),"")</f>
        <v/>
      </c>
    </row>
    <row r="257" hidden="1">
      <c r="A257" s="23" t="s">
        <v>82</v>
      </c>
      <c r="B257" s="12" t="s">
        <v>267</v>
      </c>
      <c r="C257" s="54">
        <v>65.0</v>
      </c>
      <c r="D257" s="55" t="s">
        <v>1363</v>
      </c>
      <c r="E257" s="56" t="s">
        <v>173</v>
      </c>
      <c r="F257" s="54" t="s">
        <v>1364</v>
      </c>
      <c r="G257" s="57" t="str">
        <f t="shared" si="1"/>
        <v>06-Jun-2024</v>
      </c>
      <c r="H257" s="54" t="s">
        <v>254</v>
      </c>
      <c r="I257" s="54" t="s">
        <v>1365</v>
      </c>
      <c r="J257" s="27" t="str">
        <f t="shared" si="4"/>
        <v>11-Jul-2025</v>
      </c>
      <c r="K257" s="54" t="s">
        <v>1366</v>
      </c>
      <c r="L257" s="27" t="str">
        <f t="shared" si="5"/>
        <v>09-Jun-2024</v>
      </c>
      <c r="M257" s="23" t="s">
        <v>15</v>
      </c>
      <c r="N257" s="23" t="s">
        <v>177</v>
      </c>
      <c r="O257" s="24"/>
      <c r="P257" s="54">
        <v>0.0</v>
      </c>
      <c r="Q257" s="58" t="s">
        <v>1367</v>
      </c>
      <c r="R257" s="27" t="str">
        <f>IFERROR(__xludf.DUMMYFUNCTION("IF(REGEXMATCH(N257, ""PRIORITY: Low""), ""Low"", IF(REGEXMATCH(N257, ""PRIORITY: Medium""), ""Medium"", IF(REGEXMATCH(N257, ""PRIORITY: High""), ""High"", """")))
"),"")</f>
        <v/>
      </c>
      <c r="S257" s="27" t="str">
        <f>IFERROR(__xludf.DUMMYFUNCTION("IF(REGEXMATCH(N257, ""SKILL: Low""), ""Low"", IF(REGEXMATCH(N257, ""SKILL: Medium""), ""Medium"", IF(REGEXMATCH(N257, ""SKILL: High""), ""High"", """")))"),"")</f>
        <v/>
      </c>
      <c r="T257" s="27" t="str">
        <f>IFERROR(__xludf.DUMMYFUNCTION("IF(REGEXMATCH(N257, ""STATUS: Dev Complete - Awaiting QA""), ""Dev Complete - Awaiting QA"", IF(REGEXMATCH(N257, ""STATUS: Follow-Up Required""), ""Follow-Up Required"", IF(REGEXMATCH(N257, ""STATUS: In Progress""), ""In Progress"", IF(REGEXMATCH(N257, """&amp;"STATUS: In QA""), ""In QA"", IF(REGEXMATCH(N257, ""STATUS: Needs Customer Feedback""), ""Needs Customer Feedback"", IF(REGEXMATCH(N257, ""STATUS: QA Passed - Awaiting Release""), ""QA Passed - Awaiting Release"", IF(REGEXMATCH(N257, ""STATUS: Release to P"&amp;"rod""), ""Release to Prod"", """")))))))"),"")</f>
        <v/>
      </c>
    </row>
    <row r="258" hidden="1">
      <c r="A258" s="23" t="s">
        <v>82</v>
      </c>
      <c r="B258" s="12" t="s">
        <v>267</v>
      </c>
      <c r="C258" s="54">
        <v>60.0</v>
      </c>
      <c r="D258" s="55" t="s">
        <v>1368</v>
      </c>
      <c r="E258" s="56" t="s">
        <v>173</v>
      </c>
      <c r="F258" s="54" t="s">
        <v>1369</v>
      </c>
      <c r="G258" s="57" t="str">
        <f t="shared" si="1"/>
        <v>06-Jun-2024</v>
      </c>
      <c r="H258" s="54" t="s">
        <v>254</v>
      </c>
      <c r="I258" s="54" t="s">
        <v>1370</v>
      </c>
      <c r="J258" s="27" t="str">
        <f t="shared" si="4"/>
        <v>11-Jul-2025</v>
      </c>
      <c r="K258" s="54" t="s">
        <v>1371</v>
      </c>
      <c r="L258" s="27" t="str">
        <f t="shared" si="5"/>
        <v>09-Jun-2024</v>
      </c>
      <c r="M258" s="23" t="s">
        <v>15</v>
      </c>
      <c r="N258" s="23" t="s">
        <v>177</v>
      </c>
      <c r="O258" s="24"/>
      <c r="P258" s="54">
        <v>0.0</v>
      </c>
      <c r="Q258" s="58" t="s">
        <v>1372</v>
      </c>
      <c r="R258" s="27" t="str">
        <f>IFERROR(__xludf.DUMMYFUNCTION("IF(REGEXMATCH(N258, ""PRIORITY: Low""), ""Low"", IF(REGEXMATCH(N258, ""PRIORITY: Medium""), ""Medium"", IF(REGEXMATCH(N258, ""PRIORITY: High""), ""High"", """")))
"),"")</f>
        <v/>
      </c>
      <c r="S258" s="27" t="str">
        <f>IFERROR(__xludf.DUMMYFUNCTION("IF(REGEXMATCH(N258, ""SKILL: Low""), ""Low"", IF(REGEXMATCH(N258, ""SKILL: Medium""), ""Medium"", IF(REGEXMATCH(N258, ""SKILL: High""), ""High"", """")))"),"")</f>
        <v/>
      </c>
      <c r="T258" s="27" t="str">
        <f>IFERROR(__xludf.DUMMYFUNCTION("IF(REGEXMATCH(N258, ""STATUS: Dev Complete - Awaiting QA""), ""Dev Complete - Awaiting QA"", IF(REGEXMATCH(N258, ""STATUS: Follow-Up Required""), ""Follow-Up Required"", IF(REGEXMATCH(N258, ""STATUS: In Progress""), ""In Progress"", IF(REGEXMATCH(N258, """&amp;"STATUS: In QA""), ""In QA"", IF(REGEXMATCH(N258, ""STATUS: Needs Customer Feedback""), ""Needs Customer Feedback"", IF(REGEXMATCH(N258, ""STATUS: QA Passed - Awaiting Release""), ""QA Passed - Awaiting Release"", IF(REGEXMATCH(N258, ""STATUS: Release to P"&amp;"rod""), ""Release to Prod"", """")))))))"),"")</f>
        <v/>
      </c>
    </row>
    <row r="259" hidden="1">
      <c r="A259" s="23" t="s">
        <v>82</v>
      </c>
      <c r="B259" s="12" t="s">
        <v>267</v>
      </c>
      <c r="C259" s="54">
        <v>59.0</v>
      </c>
      <c r="D259" s="55" t="s">
        <v>1373</v>
      </c>
      <c r="E259" s="56" t="s">
        <v>173</v>
      </c>
      <c r="F259" s="54" t="s">
        <v>1374</v>
      </c>
      <c r="G259" s="57" t="str">
        <f t="shared" si="1"/>
        <v>06-Jun-2024</v>
      </c>
      <c r="H259" s="54" t="s">
        <v>254</v>
      </c>
      <c r="I259" s="54" t="s">
        <v>1375</v>
      </c>
      <c r="J259" s="27" t="str">
        <f t="shared" si="4"/>
        <v>11-Jul-2025</v>
      </c>
      <c r="K259" s="54" t="s">
        <v>1376</v>
      </c>
      <c r="L259" s="27" t="str">
        <f t="shared" si="5"/>
        <v>09-Jun-2024</v>
      </c>
      <c r="M259" s="23" t="s">
        <v>15</v>
      </c>
      <c r="N259" s="23" t="s">
        <v>177</v>
      </c>
      <c r="O259" s="24"/>
      <c r="P259" s="54">
        <v>0.0</v>
      </c>
      <c r="Q259" s="58" t="s">
        <v>1377</v>
      </c>
      <c r="R259" s="27" t="str">
        <f>IFERROR(__xludf.DUMMYFUNCTION("IF(REGEXMATCH(N259, ""PRIORITY: Low""), ""Low"", IF(REGEXMATCH(N259, ""PRIORITY: Medium""), ""Medium"", IF(REGEXMATCH(N259, ""PRIORITY: High""), ""High"", """")))
"),"")</f>
        <v/>
      </c>
      <c r="S259" s="27" t="str">
        <f>IFERROR(__xludf.DUMMYFUNCTION("IF(REGEXMATCH(N259, ""SKILL: Low""), ""Low"", IF(REGEXMATCH(N259, ""SKILL: Medium""), ""Medium"", IF(REGEXMATCH(N259, ""SKILL: High""), ""High"", """")))"),"")</f>
        <v/>
      </c>
      <c r="T259" s="27" t="str">
        <f>IFERROR(__xludf.DUMMYFUNCTION("IF(REGEXMATCH(N259, ""STATUS: Dev Complete - Awaiting QA""), ""Dev Complete - Awaiting QA"", IF(REGEXMATCH(N259, ""STATUS: Follow-Up Required""), ""Follow-Up Required"", IF(REGEXMATCH(N259, ""STATUS: In Progress""), ""In Progress"", IF(REGEXMATCH(N259, """&amp;"STATUS: In QA""), ""In QA"", IF(REGEXMATCH(N259, ""STATUS: Needs Customer Feedback""), ""Needs Customer Feedback"", IF(REGEXMATCH(N259, ""STATUS: QA Passed - Awaiting Release""), ""QA Passed - Awaiting Release"", IF(REGEXMATCH(N259, ""STATUS: Release to P"&amp;"rod""), ""Release to Prod"", """")))))))"),"")</f>
        <v/>
      </c>
    </row>
    <row r="260" hidden="1">
      <c r="A260" s="23" t="s">
        <v>82</v>
      </c>
      <c r="B260" s="12" t="s">
        <v>267</v>
      </c>
      <c r="C260" s="54">
        <v>55.0</v>
      </c>
      <c r="D260" s="55" t="s">
        <v>1378</v>
      </c>
      <c r="E260" s="56" t="s">
        <v>173</v>
      </c>
      <c r="F260" s="54" t="s">
        <v>1379</v>
      </c>
      <c r="G260" s="57" t="str">
        <f t="shared" si="1"/>
        <v>05-Jun-2024</v>
      </c>
      <c r="H260" s="54" t="s">
        <v>254</v>
      </c>
      <c r="I260" s="54" t="s">
        <v>1380</v>
      </c>
      <c r="J260" s="27" t="str">
        <f t="shared" si="4"/>
        <v>11-Jul-2025</v>
      </c>
      <c r="K260" s="54" t="s">
        <v>1381</v>
      </c>
      <c r="L260" s="27" t="str">
        <f t="shared" si="5"/>
        <v>05-Jun-2024</v>
      </c>
      <c r="M260" s="23" t="s">
        <v>15</v>
      </c>
      <c r="N260" s="23" t="s">
        <v>177</v>
      </c>
      <c r="O260" s="24"/>
      <c r="P260" s="54">
        <v>0.0</v>
      </c>
      <c r="Q260" s="58" t="s">
        <v>1382</v>
      </c>
      <c r="R260" s="27" t="str">
        <f>IFERROR(__xludf.DUMMYFUNCTION("IF(REGEXMATCH(N260, ""PRIORITY: Low""), ""Low"", IF(REGEXMATCH(N260, ""PRIORITY: Medium""), ""Medium"", IF(REGEXMATCH(N260, ""PRIORITY: High""), ""High"", """")))
"),"")</f>
        <v/>
      </c>
      <c r="S260" s="27" t="str">
        <f>IFERROR(__xludf.DUMMYFUNCTION("IF(REGEXMATCH(N260, ""SKILL: Low""), ""Low"", IF(REGEXMATCH(N260, ""SKILL: Medium""), ""Medium"", IF(REGEXMATCH(N260, ""SKILL: High""), ""High"", """")))"),"")</f>
        <v/>
      </c>
      <c r="T260" s="27" t="str">
        <f>IFERROR(__xludf.DUMMYFUNCTION("IF(REGEXMATCH(N260, ""STATUS: Dev Complete - Awaiting QA""), ""Dev Complete - Awaiting QA"", IF(REGEXMATCH(N260, ""STATUS: Follow-Up Required""), ""Follow-Up Required"", IF(REGEXMATCH(N260, ""STATUS: In Progress""), ""In Progress"", IF(REGEXMATCH(N260, """&amp;"STATUS: In QA""), ""In QA"", IF(REGEXMATCH(N260, ""STATUS: Needs Customer Feedback""), ""Needs Customer Feedback"", IF(REGEXMATCH(N260, ""STATUS: QA Passed - Awaiting Release""), ""QA Passed - Awaiting Release"", IF(REGEXMATCH(N260, ""STATUS: Release to P"&amp;"rod""), ""Release to Prod"", """")))))))"),"")</f>
        <v/>
      </c>
    </row>
    <row r="261" hidden="1">
      <c r="A261" s="23" t="s">
        <v>82</v>
      </c>
      <c r="B261" s="12" t="s">
        <v>267</v>
      </c>
      <c r="C261" s="54">
        <v>54.0</v>
      </c>
      <c r="D261" s="55" t="s">
        <v>1383</v>
      </c>
      <c r="E261" s="56" t="s">
        <v>173</v>
      </c>
      <c r="F261" s="54" t="s">
        <v>1384</v>
      </c>
      <c r="G261" s="57" t="str">
        <f t="shared" si="1"/>
        <v>05-Jun-2024</v>
      </c>
      <c r="H261" s="54" t="s">
        <v>37</v>
      </c>
      <c r="I261" s="54" t="s">
        <v>1385</v>
      </c>
      <c r="J261" s="27" t="str">
        <f t="shared" si="4"/>
        <v>11-Jul-2025</v>
      </c>
      <c r="K261" s="54" t="s">
        <v>1386</v>
      </c>
      <c r="L261" s="27" t="str">
        <f t="shared" si="5"/>
        <v>05-Jun-2024</v>
      </c>
      <c r="M261" s="23" t="s">
        <v>15</v>
      </c>
      <c r="N261" s="23" t="s">
        <v>177</v>
      </c>
      <c r="O261" s="23" t="s">
        <v>37</v>
      </c>
      <c r="P261" s="54">
        <v>0.0</v>
      </c>
      <c r="Q261" s="58" t="s">
        <v>1387</v>
      </c>
      <c r="R261" s="27" t="str">
        <f>IFERROR(__xludf.DUMMYFUNCTION("IF(REGEXMATCH(N261, ""PRIORITY: Low""), ""Low"", IF(REGEXMATCH(N261, ""PRIORITY: Medium""), ""Medium"", IF(REGEXMATCH(N261, ""PRIORITY: High""), ""High"", """")))
"),"")</f>
        <v/>
      </c>
      <c r="S261" s="27" t="str">
        <f>IFERROR(__xludf.DUMMYFUNCTION("IF(REGEXMATCH(N261, ""SKILL: Low""), ""Low"", IF(REGEXMATCH(N261, ""SKILL: Medium""), ""Medium"", IF(REGEXMATCH(N261, ""SKILL: High""), ""High"", """")))"),"")</f>
        <v/>
      </c>
      <c r="T261" s="27" t="str">
        <f>IFERROR(__xludf.DUMMYFUNCTION("IF(REGEXMATCH(N261, ""STATUS: Dev Complete - Awaiting QA""), ""Dev Complete - Awaiting QA"", IF(REGEXMATCH(N261, ""STATUS: Follow-Up Required""), ""Follow-Up Required"", IF(REGEXMATCH(N261, ""STATUS: In Progress""), ""In Progress"", IF(REGEXMATCH(N261, """&amp;"STATUS: In QA""), ""In QA"", IF(REGEXMATCH(N261, ""STATUS: Needs Customer Feedback""), ""Needs Customer Feedback"", IF(REGEXMATCH(N261, ""STATUS: QA Passed - Awaiting Release""), ""QA Passed - Awaiting Release"", IF(REGEXMATCH(N261, ""STATUS: Release to P"&amp;"rod""), ""Release to Prod"", """")))))))"),"")</f>
        <v/>
      </c>
    </row>
    <row r="262" hidden="1">
      <c r="A262" s="23" t="s">
        <v>82</v>
      </c>
      <c r="B262" s="12" t="s">
        <v>267</v>
      </c>
      <c r="C262" s="54">
        <v>53.0</v>
      </c>
      <c r="D262" s="55" t="s">
        <v>1388</v>
      </c>
      <c r="E262" s="56" t="s">
        <v>173</v>
      </c>
      <c r="F262" s="54" t="s">
        <v>1389</v>
      </c>
      <c r="G262" s="57" t="str">
        <f t="shared" si="1"/>
        <v>05-Jun-2024</v>
      </c>
      <c r="H262" s="54" t="s">
        <v>136</v>
      </c>
      <c r="I262" s="54" t="s">
        <v>1385</v>
      </c>
      <c r="J262" s="27" t="str">
        <f t="shared" si="4"/>
        <v>11-Jul-2025</v>
      </c>
      <c r="K262" s="54" t="s">
        <v>1390</v>
      </c>
      <c r="L262" s="27" t="str">
        <f t="shared" si="5"/>
        <v>23-Oct-2024</v>
      </c>
      <c r="M262" s="23" t="s">
        <v>15</v>
      </c>
      <c r="N262" s="23" t="s">
        <v>177</v>
      </c>
      <c r="O262" s="24"/>
      <c r="P262" s="54">
        <v>0.0</v>
      </c>
      <c r="Q262" s="58" t="s">
        <v>1391</v>
      </c>
      <c r="R262" s="27" t="str">
        <f>IFERROR(__xludf.DUMMYFUNCTION("IF(REGEXMATCH(N262, ""PRIORITY: Low""), ""Low"", IF(REGEXMATCH(N262, ""PRIORITY: Medium""), ""Medium"", IF(REGEXMATCH(N262, ""PRIORITY: High""), ""High"", """")))
"),"")</f>
        <v/>
      </c>
      <c r="S262" s="27" t="str">
        <f>IFERROR(__xludf.DUMMYFUNCTION("IF(REGEXMATCH(N262, ""SKILL: Low""), ""Low"", IF(REGEXMATCH(N262, ""SKILL: Medium""), ""Medium"", IF(REGEXMATCH(N262, ""SKILL: High""), ""High"", """")))"),"")</f>
        <v/>
      </c>
      <c r="T262" s="27" t="str">
        <f>IFERROR(__xludf.DUMMYFUNCTION("IF(REGEXMATCH(N262, ""STATUS: Dev Complete - Awaiting QA""), ""Dev Complete - Awaiting QA"", IF(REGEXMATCH(N262, ""STATUS: Follow-Up Required""), ""Follow-Up Required"", IF(REGEXMATCH(N262, ""STATUS: In Progress""), ""In Progress"", IF(REGEXMATCH(N262, """&amp;"STATUS: In QA""), ""In QA"", IF(REGEXMATCH(N262, ""STATUS: Needs Customer Feedback""), ""Needs Customer Feedback"", IF(REGEXMATCH(N262, ""STATUS: QA Passed - Awaiting Release""), ""QA Passed - Awaiting Release"", IF(REGEXMATCH(N262, ""STATUS: Release to P"&amp;"rod""), ""Release to Prod"", """")))))))"),"")</f>
        <v/>
      </c>
    </row>
    <row r="263" hidden="1">
      <c r="A263" s="23" t="s">
        <v>82</v>
      </c>
      <c r="B263" s="12" t="s">
        <v>267</v>
      </c>
      <c r="C263" s="54">
        <v>52.0</v>
      </c>
      <c r="D263" s="55" t="s">
        <v>1392</v>
      </c>
      <c r="E263" s="56" t="s">
        <v>173</v>
      </c>
      <c r="F263" s="54" t="s">
        <v>1393</v>
      </c>
      <c r="G263" s="57" t="str">
        <f t="shared" si="1"/>
        <v>05-Jun-2024</v>
      </c>
      <c r="H263" s="54" t="s">
        <v>254</v>
      </c>
      <c r="I263" s="54" t="s">
        <v>1394</v>
      </c>
      <c r="J263" s="27" t="str">
        <f t="shared" si="4"/>
        <v>11-Jul-2025</v>
      </c>
      <c r="K263" s="54" t="s">
        <v>1395</v>
      </c>
      <c r="L263" s="27" t="str">
        <f t="shared" si="5"/>
        <v>24-Jun-2024</v>
      </c>
      <c r="M263" s="23" t="s">
        <v>15</v>
      </c>
      <c r="N263" s="23" t="s">
        <v>177</v>
      </c>
      <c r="O263" s="24"/>
      <c r="P263" s="54">
        <v>0.0</v>
      </c>
      <c r="Q263" s="58" t="s">
        <v>1396</v>
      </c>
      <c r="R263" s="27" t="str">
        <f>IFERROR(__xludf.DUMMYFUNCTION("IF(REGEXMATCH(N263, ""PRIORITY: Low""), ""Low"", IF(REGEXMATCH(N263, ""PRIORITY: Medium""), ""Medium"", IF(REGEXMATCH(N263, ""PRIORITY: High""), ""High"", """")))
"),"")</f>
        <v/>
      </c>
      <c r="S263" s="27" t="str">
        <f>IFERROR(__xludf.DUMMYFUNCTION("IF(REGEXMATCH(N263, ""SKILL: Low""), ""Low"", IF(REGEXMATCH(N263, ""SKILL: Medium""), ""Medium"", IF(REGEXMATCH(N263, ""SKILL: High""), ""High"", """")))"),"")</f>
        <v/>
      </c>
      <c r="T263" s="27" t="str">
        <f>IFERROR(__xludf.DUMMYFUNCTION("IF(REGEXMATCH(N263, ""STATUS: Dev Complete - Awaiting QA""), ""Dev Complete - Awaiting QA"", IF(REGEXMATCH(N263, ""STATUS: Follow-Up Required""), ""Follow-Up Required"", IF(REGEXMATCH(N263, ""STATUS: In Progress""), ""In Progress"", IF(REGEXMATCH(N263, """&amp;"STATUS: In QA""), ""In QA"", IF(REGEXMATCH(N263, ""STATUS: Needs Customer Feedback""), ""Needs Customer Feedback"", IF(REGEXMATCH(N263, ""STATUS: QA Passed - Awaiting Release""), ""QA Passed - Awaiting Release"", IF(REGEXMATCH(N263, ""STATUS: Release to P"&amp;"rod""), ""Release to Prod"", """")))))))"),"")</f>
        <v/>
      </c>
    </row>
    <row r="264" hidden="1">
      <c r="A264" s="23" t="s">
        <v>82</v>
      </c>
      <c r="B264" s="12" t="s">
        <v>267</v>
      </c>
      <c r="C264" s="54">
        <v>51.0</v>
      </c>
      <c r="D264" s="55" t="s">
        <v>1397</v>
      </c>
      <c r="E264" s="56" t="s">
        <v>173</v>
      </c>
      <c r="F264" s="54" t="s">
        <v>1398</v>
      </c>
      <c r="G264" s="57" t="str">
        <f t="shared" si="1"/>
        <v>05-Jun-2024</v>
      </c>
      <c r="H264" s="54" t="s">
        <v>254</v>
      </c>
      <c r="I264" s="54" t="s">
        <v>1399</v>
      </c>
      <c r="J264" s="27" t="str">
        <f t="shared" si="4"/>
        <v>11-Jul-2025</v>
      </c>
      <c r="K264" s="54" t="s">
        <v>1400</v>
      </c>
      <c r="L264" s="27" t="str">
        <f t="shared" si="5"/>
        <v>05-Jun-2024</v>
      </c>
      <c r="M264" s="23" t="s">
        <v>15</v>
      </c>
      <c r="N264" s="23" t="s">
        <v>177</v>
      </c>
      <c r="O264" s="24"/>
      <c r="P264" s="54">
        <v>0.0</v>
      </c>
      <c r="Q264" s="58" t="s">
        <v>1401</v>
      </c>
      <c r="R264" s="27" t="str">
        <f>IFERROR(__xludf.DUMMYFUNCTION("IF(REGEXMATCH(N264, ""PRIORITY: Low""), ""Low"", IF(REGEXMATCH(N264, ""PRIORITY: Medium""), ""Medium"", IF(REGEXMATCH(N264, ""PRIORITY: High""), ""High"", """")))
"),"")</f>
        <v/>
      </c>
      <c r="S264" s="27" t="str">
        <f>IFERROR(__xludf.DUMMYFUNCTION("IF(REGEXMATCH(N264, ""SKILL: Low""), ""Low"", IF(REGEXMATCH(N264, ""SKILL: Medium""), ""Medium"", IF(REGEXMATCH(N264, ""SKILL: High""), ""High"", """")))"),"")</f>
        <v/>
      </c>
      <c r="T264" s="27" t="str">
        <f>IFERROR(__xludf.DUMMYFUNCTION("IF(REGEXMATCH(N264, ""STATUS: Dev Complete - Awaiting QA""), ""Dev Complete - Awaiting QA"", IF(REGEXMATCH(N264, ""STATUS: Follow-Up Required""), ""Follow-Up Required"", IF(REGEXMATCH(N264, ""STATUS: In Progress""), ""In Progress"", IF(REGEXMATCH(N264, """&amp;"STATUS: In QA""), ""In QA"", IF(REGEXMATCH(N264, ""STATUS: Needs Customer Feedback""), ""Needs Customer Feedback"", IF(REGEXMATCH(N264, ""STATUS: QA Passed - Awaiting Release""), ""QA Passed - Awaiting Release"", IF(REGEXMATCH(N264, ""STATUS: Release to P"&amp;"rod""), ""Release to Prod"", """")))))))"),"")</f>
        <v/>
      </c>
    </row>
    <row r="265" hidden="1">
      <c r="A265" s="23" t="s">
        <v>82</v>
      </c>
      <c r="B265" s="12" t="s">
        <v>267</v>
      </c>
      <c r="C265" s="54">
        <v>49.0</v>
      </c>
      <c r="D265" s="55" t="s">
        <v>1402</v>
      </c>
      <c r="E265" s="56" t="s">
        <v>173</v>
      </c>
      <c r="F265" s="54" t="s">
        <v>1403</v>
      </c>
      <c r="G265" s="57" t="str">
        <f t="shared" si="1"/>
        <v>05-Jun-2024</v>
      </c>
      <c r="H265" s="54" t="s">
        <v>37</v>
      </c>
      <c r="I265" s="54" t="s">
        <v>1404</v>
      </c>
      <c r="J265" s="27" t="str">
        <f t="shared" si="4"/>
        <v>11-Jul-2025</v>
      </c>
      <c r="K265" s="54" t="s">
        <v>1405</v>
      </c>
      <c r="L265" s="27" t="str">
        <f t="shared" si="5"/>
        <v>05-Jun-2024</v>
      </c>
      <c r="M265" s="23" t="s">
        <v>15</v>
      </c>
      <c r="N265" s="23" t="s">
        <v>177</v>
      </c>
      <c r="O265" s="23" t="s">
        <v>37</v>
      </c>
      <c r="P265" s="54">
        <v>0.0</v>
      </c>
      <c r="Q265" s="58" t="s">
        <v>1406</v>
      </c>
      <c r="R265" s="27" t="str">
        <f>IFERROR(__xludf.DUMMYFUNCTION("IF(REGEXMATCH(N265, ""PRIORITY: Low""), ""Low"", IF(REGEXMATCH(N265, ""PRIORITY: Medium""), ""Medium"", IF(REGEXMATCH(N265, ""PRIORITY: High""), ""High"", """")))
"),"")</f>
        <v/>
      </c>
      <c r="S265" s="27" t="str">
        <f>IFERROR(__xludf.DUMMYFUNCTION("IF(REGEXMATCH(N265, ""SKILL: Low""), ""Low"", IF(REGEXMATCH(N265, ""SKILL: Medium""), ""Medium"", IF(REGEXMATCH(N265, ""SKILL: High""), ""High"", """")))"),"")</f>
        <v/>
      </c>
      <c r="T265" s="27" t="str">
        <f>IFERROR(__xludf.DUMMYFUNCTION("IF(REGEXMATCH(N265, ""STATUS: Dev Complete - Awaiting QA""), ""Dev Complete - Awaiting QA"", IF(REGEXMATCH(N265, ""STATUS: Follow-Up Required""), ""Follow-Up Required"", IF(REGEXMATCH(N265, ""STATUS: In Progress""), ""In Progress"", IF(REGEXMATCH(N265, """&amp;"STATUS: In QA""), ""In QA"", IF(REGEXMATCH(N265, ""STATUS: Needs Customer Feedback""), ""Needs Customer Feedback"", IF(REGEXMATCH(N265, ""STATUS: QA Passed - Awaiting Release""), ""QA Passed - Awaiting Release"", IF(REGEXMATCH(N265, ""STATUS: Release to P"&amp;"rod""), ""Release to Prod"", """")))))))"),"")</f>
        <v/>
      </c>
    </row>
    <row r="266" hidden="1">
      <c r="A266" s="23" t="s">
        <v>82</v>
      </c>
      <c r="B266" s="12" t="s">
        <v>267</v>
      </c>
      <c r="C266" s="54">
        <v>48.0</v>
      </c>
      <c r="D266" s="55" t="s">
        <v>1407</v>
      </c>
      <c r="E266" s="56" t="s">
        <v>173</v>
      </c>
      <c r="F266" s="54" t="s">
        <v>1408</v>
      </c>
      <c r="G266" s="57" t="str">
        <f t="shared" si="1"/>
        <v>05-Jun-2024</v>
      </c>
      <c r="H266" s="54" t="s">
        <v>37</v>
      </c>
      <c r="I266" s="54" t="s">
        <v>1409</v>
      </c>
      <c r="J266" s="27" t="str">
        <f t="shared" si="4"/>
        <v>11-Jul-2025</v>
      </c>
      <c r="K266" s="54" t="s">
        <v>1410</v>
      </c>
      <c r="L266" s="27" t="str">
        <f t="shared" si="5"/>
        <v>05-Jun-2024</v>
      </c>
      <c r="M266" s="23" t="s">
        <v>15</v>
      </c>
      <c r="N266" s="23" t="s">
        <v>177</v>
      </c>
      <c r="O266" s="23" t="s">
        <v>37</v>
      </c>
      <c r="P266" s="54">
        <v>0.0</v>
      </c>
      <c r="Q266" s="58" t="s">
        <v>1411</v>
      </c>
      <c r="R266" s="27" t="str">
        <f>IFERROR(__xludf.DUMMYFUNCTION("IF(REGEXMATCH(N266, ""PRIORITY: Low""), ""Low"", IF(REGEXMATCH(N266, ""PRIORITY: Medium""), ""Medium"", IF(REGEXMATCH(N266, ""PRIORITY: High""), ""High"", """")))
"),"")</f>
        <v/>
      </c>
      <c r="S266" s="27" t="str">
        <f>IFERROR(__xludf.DUMMYFUNCTION("IF(REGEXMATCH(N266, ""SKILL: Low""), ""Low"", IF(REGEXMATCH(N266, ""SKILL: Medium""), ""Medium"", IF(REGEXMATCH(N266, ""SKILL: High""), ""High"", """")))"),"")</f>
        <v/>
      </c>
      <c r="T266" s="27" t="str">
        <f>IFERROR(__xludf.DUMMYFUNCTION("IF(REGEXMATCH(N266, ""STATUS: Dev Complete - Awaiting QA""), ""Dev Complete - Awaiting QA"", IF(REGEXMATCH(N266, ""STATUS: Follow-Up Required""), ""Follow-Up Required"", IF(REGEXMATCH(N266, ""STATUS: In Progress""), ""In Progress"", IF(REGEXMATCH(N266, """&amp;"STATUS: In QA""), ""In QA"", IF(REGEXMATCH(N266, ""STATUS: Needs Customer Feedback""), ""Needs Customer Feedback"", IF(REGEXMATCH(N266, ""STATUS: QA Passed - Awaiting Release""), ""QA Passed - Awaiting Release"", IF(REGEXMATCH(N266, ""STATUS: Release to P"&amp;"rod""), ""Release to Prod"", """")))))))"),"")</f>
        <v/>
      </c>
    </row>
    <row r="267" hidden="1">
      <c r="A267" s="23" t="s">
        <v>82</v>
      </c>
      <c r="B267" s="12" t="s">
        <v>267</v>
      </c>
      <c r="C267" s="54">
        <v>47.0</v>
      </c>
      <c r="D267" s="55" t="s">
        <v>1412</v>
      </c>
      <c r="E267" s="56" t="s">
        <v>173</v>
      </c>
      <c r="F267" s="54" t="s">
        <v>1413</v>
      </c>
      <c r="G267" s="57" t="str">
        <f t="shared" si="1"/>
        <v>05-Jun-2024</v>
      </c>
      <c r="H267" s="54" t="s">
        <v>37</v>
      </c>
      <c r="I267" s="54" t="s">
        <v>1409</v>
      </c>
      <c r="J267" s="27" t="str">
        <f t="shared" si="4"/>
        <v>11-Jul-2025</v>
      </c>
      <c r="K267" s="54" t="s">
        <v>1410</v>
      </c>
      <c r="L267" s="27" t="str">
        <f t="shared" si="5"/>
        <v>05-Jun-2024</v>
      </c>
      <c r="M267" s="23" t="s">
        <v>15</v>
      </c>
      <c r="N267" s="23" t="s">
        <v>177</v>
      </c>
      <c r="O267" s="23" t="s">
        <v>37</v>
      </c>
      <c r="P267" s="54">
        <v>0.0</v>
      </c>
      <c r="Q267" s="58" t="s">
        <v>1414</v>
      </c>
      <c r="R267" s="27" t="str">
        <f>IFERROR(__xludf.DUMMYFUNCTION("IF(REGEXMATCH(N267, ""PRIORITY: Low""), ""Low"", IF(REGEXMATCH(N267, ""PRIORITY: Medium""), ""Medium"", IF(REGEXMATCH(N267, ""PRIORITY: High""), ""High"", """")))
"),"")</f>
        <v/>
      </c>
      <c r="S267" s="27" t="str">
        <f>IFERROR(__xludf.DUMMYFUNCTION("IF(REGEXMATCH(N267, ""SKILL: Low""), ""Low"", IF(REGEXMATCH(N267, ""SKILL: Medium""), ""Medium"", IF(REGEXMATCH(N267, ""SKILL: High""), ""High"", """")))"),"")</f>
        <v/>
      </c>
      <c r="T267" s="27" t="str">
        <f>IFERROR(__xludf.DUMMYFUNCTION("IF(REGEXMATCH(N267, ""STATUS: Dev Complete - Awaiting QA""), ""Dev Complete - Awaiting QA"", IF(REGEXMATCH(N267, ""STATUS: Follow-Up Required""), ""Follow-Up Required"", IF(REGEXMATCH(N267, ""STATUS: In Progress""), ""In Progress"", IF(REGEXMATCH(N267, """&amp;"STATUS: In QA""), ""In QA"", IF(REGEXMATCH(N267, ""STATUS: Needs Customer Feedback""), ""Needs Customer Feedback"", IF(REGEXMATCH(N267, ""STATUS: QA Passed - Awaiting Release""), ""QA Passed - Awaiting Release"", IF(REGEXMATCH(N267, ""STATUS: Release to P"&amp;"rod""), ""Release to Prod"", """")))))))"),"")</f>
        <v/>
      </c>
    </row>
    <row r="268" hidden="1">
      <c r="A268" s="23" t="s">
        <v>82</v>
      </c>
      <c r="B268" s="12" t="s">
        <v>267</v>
      </c>
      <c r="C268" s="54">
        <v>46.0</v>
      </c>
      <c r="D268" s="55" t="s">
        <v>1415</v>
      </c>
      <c r="E268" s="56" t="s">
        <v>173</v>
      </c>
      <c r="F268" s="54" t="s">
        <v>1416</v>
      </c>
      <c r="G268" s="57" t="str">
        <f t="shared" si="1"/>
        <v>05-Jun-2024</v>
      </c>
      <c r="H268" s="54" t="s">
        <v>37</v>
      </c>
      <c r="I268" s="54" t="s">
        <v>1417</v>
      </c>
      <c r="J268" s="27" t="str">
        <f t="shared" si="4"/>
        <v>11-Jul-2025</v>
      </c>
      <c r="K268" s="54" t="s">
        <v>1410</v>
      </c>
      <c r="L268" s="27" t="str">
        <f t="shared" si="5"/>
        <v>05-Jun-2024</v>
      </c>
      <c r="M268" s="23" t="s">
        <v>15</v>
      </c>
      <c r="N268" s="23" t="s">
        <v>177</v>
      </c>
      <c r="O268" s="23" t="s">
        <v>37</v>
      </c>
      <c r="P268" s="54">
        <v>0.0</v>
      </c>
      <c r="Q268" s="58" t="s">
        <v>1418</v>
      </c>
      <c r="R268" s="27" t="str">
        <f>IFERROR(__xludf.DUMMYFUNCTION("IF(REGEXMATCH(N268, ""PRIORITY: Low""), ""Low"", IF(REGEXMATCH(N268, ""PRIORITY: Medium""), ""Medium"", IF(REGEXMATCH(N268, ""PRIORITY: High""), ""High"", """")))
"),"")</f>
        <v/>
      </c>
      <c r="S268" s="27" t="str">
        <f>IFERROR(__xludf.DUMMYFUNCTION("IF(REGEXMATCH(N268, ""SKILL: Low""), ""Low"", IF(REGEXMATCH(N268, ""SKILL: Medium""), ""Medium"", IF(REGEXMATCH(N268, ""SKILL: High""), ""High"", """")))"),"")</f>
        <v/>
      </c>
      <c r="T268" s="27" t="str">
        <f>IFERROR(__xludf.DUMMYFUNCTION("IF(REGEXMATCH(N268, ""STATUS: Dev Complete - Awaiting QA""), ""Dev Complete - Awaiting QA"", IF(REGEXMATCH(N268, ""STATUS: Follow-Up Required""), ""Follow-Up Required"", IF(REGEXMATCH(N268, ""STATUS: In Progress""), ""In Progress"", IF(REGEXMATCH(N268, """&amp;"STATUS: In QA""), ""In QA"", IF(REGEXMATCH(N268, ""STATUS: Needs Customer Feedback""), ""Needs Customer Feedback"", IF(REGEXMATCH(N268, ""STATUS: QA Passed - Awaiting Release""), ""QA Passed - Awaiting Release"", IF(REGEXMATCH(N268, ""STATUS: Release to P"&amp;"rod""), ""Release to Prod"", """")))))))"),"")</f>
        <v/>
      </c>
    </row>
    <row r="269" hidden="1">
      <c r="A269" s="23" t="s">
        <v>82</v>
      </c>
      <c r="B269" s="12" t="s">
        <v>267</v>
      </c>
      <c r="C269" s="54">
        <v>45.0</v>
      </c>
      <c r="D269" s="55" t="s">
        <v>1419</v>
      </c>
      <c r="E269" s="56" t="s">
        <v>173</v>
      </c>
      <c r="F269" s="54" t="s">
        <v>1420</v>
      </c>
      <c r="G269" s="57" t="str">
        <f t="shared" si="1"/>
        <v>05-Jun-2024</v>
      </c>
      <c r="H269" s="54" t="s">
        <v>37</v>
      </c>
      <c r="I269" s="54" t="s">
        <v>1421</v>
      </c>
      <c r="J269" s="27" t="str">
        <f t="shared" si="4"/>
        <v>11-Jul-2025</v>
      </c>
      <c r="K269" s="54" t="s">
        <v>1422</v>
      </c>
      <c r="L269" s="27" t="str">
        <f t="shared" si="5"/>
        <v>05-Jun-2024</v>
      </c>
      <c r="M269" s="23" t="s">
        <v>15</v>
      </c>
      <c r="N269" s="23" t="s">
        <v>177</v>
      </c>
      <c r="O269" s="23" t="s">
        <v>37</v>
      </c>
      <c r="P269" s="54">
        <v>0.0</v>
      </c>
      <c r="Q269" s="58" t="s">
        <v>1423</v>
      </c>
      <c r="R269" s="27" t="str">
        <f>IFERROR(__xludf.DUMMYFUNCTION("IF(REGEXMATCH(N269, ""PRIORITY: Low""), ""Low"", IF(REGEXMATCH(N269, ""PRIORITY: Medium""), ""Medium"", IF(REGEXMATCH(N269, ""PRIORITY: High""), ""High"", """")))
"),"")</f>
        <v/>
      </c>
      <c r="S269" s="27" t="str">
        <f>IFERROR(__xludf.DUMMYFUNCTION("IF(REGEXMATCH(N269, ""SKILL: Low""), ""Low"", IF(REGEXMATCH(N269, ""SKILL: Medium""), ""Medium"", IF(REGEXMATCH(N269, ""SKILL: High""), ""High"", """")))"),"")</f>
        <v/>
      </c>
      <c r="T269" s="27" t="str">
        <f>IFERROR(__xludf.DUMMYFUNCTION("IF(REGEXMATCH(N269, ""STATUS: Dev Complete - Awaiting QA""), ""Dev Complete - Awaiting QA"", IF(REGEXMATCH(N269, ""STATUS: Follow-Up Required""), ""Follow-Up Required"", IF(REGEXMATCH(N269, ""STATUS: In Progress""), ""In Progress"", IF(REGEXMATCH(N269, """&amp;"STATUS: In QA""), ""In QA"", IF(REGEXMATCH(N269, ""STATUS: Needs Customer Feedback""), ""Needs Customer Feedback"", IF(REGEXMATCH(N269, ""STATUS: QA Passed - Awaiting Release""), ""QA Passed - Awaiting Release"", IF(REGEXMATCH(N269, ""STATUS: Release to P"&amp;"rod""), ""Release to Prod"", """")))))))"),"")</f>
        <v/>
      </c>
    </row>
    <row r="270" hidden="1">
      <c r="A270" s="23" t="s">
        <v>82</v>
      </c>
      <c r="B270" s="12" t="s">
        <v>267</v>
      </c>
      <c r="C270" s="54">
        <v>42.0</v>
      </c>
      <c r="D270" s="55" t="s">
        <v>1424</v>
      </c>
      <c r="E270" s="56" t="s">
        <v>173</v>
      </c>
      <c r="F270" s="54" t="s">
        <v>1425</v>
      </c>
      <c r="G270" s="57" t="str">
        <f t="shared" si="1"/>
        <v>05-Jun-2024</v>
      </c>
      <c r="H270" s="54" t="s">
        <v>37</v>
      </c>
      <c r="I270" s="54" t="s">
        <v>1426</v>
      </c>
      <c r="J270" s="27" t="str">
        <f t="shared" si="4"/>
        <v>11-Jul-2025</v>
      </c>
      <c r="K270" s="54" t="s">
        <v>1427</v>
      </c>
      <c r="L270" s="27" t="str">
        <f t="shared" si="5"/>
        <v>13-Jun-2024</v>
      </c>
      <c r="M270" s="23" t="s">
        <v>15</v>
      </c>
      <c r="N270" s="23" t="s">
        <v>177</v>
      </c>
      <c r="O270" s="23" t="s">
        <v>37</v>
      </c>
      <c r="P270" s="54">
        <v>0.0</v>
      </c>
      <c r="Q270" s="58" t="s">
        <v>1428</v>
      </c>
      <c r="R270" s="27" t="str">
        <f>IFERROR(__xludf.DUMMYFUNCTION("IF(REGEXMATCH(N270, ""PRIORITY: Low""), ""Low"", IF(REGEXMATCH(N270, ""PRIORITY: Medium""), ""Medium"", IF(REGEXMATCH(N270, ""PRIORITY: High""), ""High"", """")))
"),"")</f>
        <v/>
      </c>
      <c r="S270" s="27" t="str">
        <f>IFERROR(__xludf.DUMMYFUNCTION("IF(REGEXMATCH(N270, ""SKILL: Low""), ""Low"", IF(REGEXMATCH(N270, ""SKILL: Medium""), ""Medium"", IF(REGEXMATCH(N270, ""SKILL: High""), ""High"", """")))"),"")</f>
        <v/>
      </c>
      <c r="T270" s="27" t="str">
        <f>IFERROR(__xludf.DUMMYFUNCTION("IF(REGEXMATCH(N270, ""STATUS: Dev Complete - Awaiting QA""), ""Dev Complete - Awaiting QA"", IF(REGEXMATCH(N270, ""STATUS: Follow-Up Required""), ""Follow-Up Required"", IF(REGEXMATCH(N270, ""STATUS: In Progress""), ""In Progress"", IF(REGEXMATCH(N270, """&amp;"STATUS: In QA""), ""In QA"", IF(REGEXMATCH(N270, ""STATUS: Needs Customer Feedback""), ""Needs Customer Feedback"", IF(REGEXMATCH(N270, ""STATUS: QA Passed - Awaiting Release""), ""QA Passed - Awaiting Release"", IF(REGEXMATCH(N270, ""STATUS: Release to P"&amp;"rod""), ""Release to Prod"", """")))))))"),"")</f>
        <v/>
      </c>
    </row>
    <row r="271" hidden="1">
      <c r="A271" s="23" t="s">
        <v>82</v>
      </c>
      <c r="B271" s="12" t="s">
        <v>267</v>
      </c>
      <c r="C271" s="54">
        <v>41.0</v>
      </c>
      <c r="D271" s="55" t="s">
        <v>1429</v>
      </c>
      <c r="E271" s="56" t="s">
        <v>173</v>
      </c>
      <c r="F271" s="54" t="s">
        <v>1430</v>
      </c>
      <c r="G271" s="57" t="str">
        <f t="shared" si="1"/>
        <v>05-Jun-2024</v>
      </c>
      <c r="H271" s="54" t="s">
        <v>37</v>
      </c>
      <c r="I271" s="54" t="s">
        <v>1426</v>
      </c>
      <c r="J271" s="27" t="str">
        <f t="shared" si="4"/>
        <v>11-Jul-2025</v>
      </c>
      <c r="K271" s="54" t="s">
        <v>1422</v>
      </c>
      <c r="L271" s="27" t="str">
        <f t="shared" si="5"/>
        <v>05-Jun-2024</v>
      </c>
      <c r="M271" s="23" t="s">
        <v>15</v>
      </c>
      <c r="N271" s="23" t="s">
        <v>177</v>
      </c>
      <c r="O271" s="23" t="s">
        <v>37</v>
      </c>
      <c r="P271" s="54">
        <v>0.0</v>
      </c>
      <c r="Q271" s="58" t="s">
        <v>1431</v>
      </c>
      <c r="R271" s="27" t="str">
        <f>IFERROR(__xludf.DUMMYFUNCTION("IF(REGEXMATCH(N271, ""PRIORITY: Low""), ""Low"", IF(REGEXMATCH(N271, ""PRIORITY: Medium""), ""Medium"", IF(REGEXMATCH(N271, ""PRIORITY: High""), ""High"", """")))
"),"")</f>
        <v/>
      </c>
      <c r="S271" s="27" t="str">
        <f>IFERROR(__xludf.DUMMYFUNCTION("IF(REGEXMATCH(N271, ""SKILL: Low""), ""Low"", IF(REGEXMATCH(N271, ""SKILL: Medium""), ""Medium"", IF(REGEXMATCH(N271, ""SKILL: High""), ""High"", """")))"),"")</f>
        <v/>
      </c>
      <c r="T271" s="27" t="str">
        <f>IFERROR(__xludf.DUMMYFUNCTION("IF(REGEXMATCH(N271, ""STATUS: Dev Complete - Awaiting QA""), ""Dev Complete - Awaiting QA"", IF(REGEXMATCH(N271, ""STATUS: Follow-Up Required""), ""Follow-Up Required"", IF(REGEXMATCH(N271, ""STATUS: In Progress""), ""In Progress"", IF(REGEXMATCH(N271, """&amp;"STATUS: In QA""), ""In QA"", IF(REGEXMATCH(N271, ""STATUS: Needs Customer Feedback""), ""Needs Customer Feedback"", IF(REGEXMATCH(N271, ""STATUS: QA Passed - Awaiting Release""), ""QA Passed - Awaiting Release"", IF(REGEXMATCH(N271, ""STATUS: Release to P"&amp;"rod""), ""Release to Prod"", """")))))))"),"")</f>
        <v/>
      </c>
    </row>
    <row r="272" hidden="1">
      <c r="A272" s="23" t="s">
        <v>82</v>
      </c>
      <c r="B272" s="12" t="s">
        <v>267</v>
      </c>
      <c r="C272" s="54">
        <v>40.0</v>
      </c>
      <c r="D272" s="55" t="s">
        <v>1432</v>
      </c>
      <c r="E272" s="56" t="s">
        <v>173</v>
      </c>
      <c r="F272" s="54" t="s">
        <v>1433</v>
      </c>
      <c r="G272" s="57" t="str">
        <f t="shared" si="1"/>
        <v>05-Jun-2024</v>
      </c>
      <c r="H272" s="54" t="s">
        <v>37</v>
      </c>
      <c r="I272" s="54" t="s">
        <v>1434</v>
      </c>
      <c r="J272" s="27" t="str">
        <f t="shared" si="4"/>
        <v>11-Jul-2025</v>
      </c>
      <c r="K272" s="54" t="s">
        <v>1422</v>
      </c>
      <c r="L272" s="27" t="str">
        <f t="shared" si="5"/>
        <v>05-Jun-2024</v>
      </c>
      <c r="M272" s="23" t="s">
        <v>15</v>
      </c>
      <c r="N272" s="23" t="s">
        <v>177</v>
      </c>
      <c r="O272" s="23" t="s">
        <v>37</v>
      </c>
      <c r="P272" s="54">
        <v>0.0</v>
      </c>
      <c r="Q272" s="58" t="s">
        <v>1435</v>
      </c>
      <c r="R272" s="27" t="str">
        <f>IFERROR(__xludf.DUMMYFUNCTION("IF(REGEXMATCH(N272, ""PRIORITY: Low""), ""Low"", IF(REGEXMATCH(N272, ""PRIORITY: Medium""), ""Medium"", IF(REGEXMATCH(N272, ""PRIORITY: High""), ""High"", """")))
"),"")</f>
        <v/>
      </c>
      <c r="S272" s="27" t="str">
        <f>IFERROR(__xludf.DUMMYFUNCTION("IF(REGEXMATCH(N272, ""SKILL: Low""), ""Low"", IF(REGEXMATCH(N272, ""SKILL: Medium""), ""Medium"", IF(REGEXMATCH(N272, ""SKILL: High""), ""High"", """")))"),"")</f>
        <v/>
      </c>
      <c r="T272" s="27" t="str">
        <f>IFERROR(__xludf.DUMMYFUNCTION("IF(REGEXMATCH(N272, ""STATUS: Dev Complete - Awaiting QA""), ""Dev Complete - Awaiting QA"", IF(REGEXMATCH(N272, ""STATUS: Follow-Up Required""), ""Follow-Up Required"", IF(REGEXMATCH(N272, ""STATUS: In Progress""), ""In Progress"", IF(REGEXMATCH(N272, """&amp;"STATUS: In QA""), ""In QA"", IF(REGEXMATCH(N272, ""STATUS: Needs Customer Feedback""), ""Needs Customer Feedback"", IF(REGEXMATCH(N272, ""STATUS: QA Passed - Awaiting Release""), ""QA Passed - Awaiting Release"", IF(REGEXMATCH(N272, ""STATUS: Release to P"&amp;"rod""), ""Release to Prod"", """")))))))"),"")</f>
        <v/>
      </c>
    </row>
    <row r="273" hidden="1">
      <c r="A273" s="23" t="s">
        <v>82</v>
      </c>
      <c r="B273" s="12" t="s">
        <v>267</v>
      </c>
      <c r="C273" s="54">
        <v>39.0</v>
      </c>
      <c r="D273" s="55" t="s">
        <v>1436</v>
      </c>
      <c r="E273" s="56" t="s">
        <v>173</v>
      </c>
      <c r="F273" s="54" t="s">
        <v>1437</v>
      </c>
      <c r="G273" s="57" t="str">
        <f t="shared" si="1"/>
        <v>05-Jun-2024</v>
      </c>
      <c r="H273" s="54" t="s">
        <v>37</v>
      </c>
      <c r="I273" s="54" t="s">
        <v>1438</v>
      </c>
      <c r="J273" s="27" t="str">
        <f t="shared" si="4"/>
        <v>11-Jul-2025</v>
      </c>
      <c r="K273" s="54" t="s">
        <v>1439</v>
      </c>
      <c r="L273" s="27" t="str">
        <f t="shared" si="5"/>
        <v>05-Jun-2024</v>
      </c>
      <c r="M273" s="23" t="s">
        <v>15</v>
      </c>
      <c r="N273" s="23" t="s">
        <v>177</v>
      </c>
      <c r="O273" s="23" t="s">
        <v>37</v>
      </c>
      <c r="P273" s="54">
        <v>0.0</v>
      </c>
      <c r="Q273" s="58" t="s">
        <v>1440</v>
      </c>
      <c r="R273" s="27" t="str">
        <f>IFERROR(__xludf.DUMMYFUNCTION("IF(REGEXMATCH(N273, ""PRIORITY: Low""), ""Low"", IF(REGEXMATCH(N273, ""PRIORITY: Medium""), ""Medium"", IF(REGEXMATCH(N273, ""PRIORITY: High""), ""High"", """")))
"),"")</f>
        <v/>
      </c>
      <c r="S273" s="27" t="str">
        <f>IFERROR(__xludf.DUMMYFUNCTION("IF(REGEXMATCH(N273, ""SKILL: Low""), ""Low"", IF(REGEXMATCH(N273, ""SKILL: Medium""), ""Medium"", IF(REGEXMATCH(N273, ""SKILL: High""), ""High"", """")))"),"")</f>
        <v/>
      </c>
      <c r="T273" s="27" t="str">
        <f>IFERROR(__xludf.DUMMYFUNCTION("IF(REGEXMATCH(N273, ""STATUS: Dev Complete - Awaiting QA""), ""Dev Complete - Awaiting QA"", IF(REGEXMATCH(N273, ""STATUS: Follow-Up Required""), ""Follow-Up Required"", IF(REGEXMATCH(N273, ""STATUS: In Progress""), ""In Progress"", IF(REGEXMATCH(N273, """&amp;"STATUS: In QA""), ""In QA"", IF(REGEXMATCH(N273, ""STATUS: Needs Customer Feedback""), ""Needs Customer Feedback"", IF(REGEXMATCH(N273, ""STATUS: QA Passed - Awaiting Release""), ""QA Passed - Awaiting Release"", IF(REGEXMATCH(N273, ""STATUS: Release to P"&amp;"rod""), ""Release to Prod"", """")))))))"),"")</f>
        <v/>
      </c>
    </row>
    <row r="274" hidden="1">
      <c r="A274" s="23" t="s">
        <v>82</v>
      </c>
      <c r="B274" s="12" t="s">
        <v>267</v>
      </c>
      <c r="C274" s="54">
        <v>38.0</v>
      </c>
      <c r="D274" s="55" t="s">
        <v>1441</v>
      </c>
      <c r="E274" s="56" t="s">
        <v>173</v>
      </c>
      <c r="F274" s="54" t="s">
        <v>1442</v>
      </c>
      <c r="G274" s="57" t="str">
        <f t="shared" si="1"/>
        <v>05-Jun-2024</v>
      </c>
      <c r="H274" s="54" t="s">
        <v>37</v>
      </c>
      <c r="I274" s="54" t="s">
        <v>1438</v>
      </c>
      <c r="J274" s="27" t="str">
        <f t="shared" si="4"/>
        <v>11-Jul-2025</v>
      </c>
      <c r="K274" s="54" t="s">
        <v>1439</v>
      </c>
      <c r="L274" s="27" t="str">
        <f t="shared" si="5"/>
        <v>05-Jun-2024</v>
      </c>
      <c r="M274" s="23" t="s">
        <v>15</v>
      </c>
      <c r="N274" s="23" t="s">
        <v>177</v>
      </c>
      <c r="O274" s="23" t="s">
        <v>37</v>
      </c>
      <c r="P274" s="54">
        <v>0.0</v>
      </c>
      <c r="Q274" s="58" t="s">
        <v>1443</v>
      </c>
      <c r="R274" s="27" t="str">
        <f>IFERROR(__xludf.DUMMYFUNCTION("IF(REGEXMATCH(N274, ""PRIORITY: Low""), ""Low"", IF(REGEXMATCH(N274, ""PRIORITY: Medium""), ""Medium"", IF(REGEXMATCH(N274, ""PRIORITY: High""), ""High"", """")))
"),"")</f>
        <v/>
      </c>
      <c r="S274" s="27" t="str">
        <f>IFERROR(__xludf.DUMMYFUNCTION("IF(REGEXMATCH(N274, ""SKILL: Low""), ""Low"", IF(REGEXMATCH(N274, ""SKILL: Medium""), ""Medium"", IF(REGEXMATCH(N274, ""SKILL: High""), ""High"", """")))"),"")</f>
        <v/>
      </c>
      <c r="T274" s="27" t="str">
        <f>IFERROR(__xludf.DUMMYFUNCTION("IF(REGEXMATCH(N274, ""STATUS: Dev Complete - Awaiting QA""), ""Dev Complete - Awaiting QA"", IF(REGEXMATCH(N274, ""STATUS: Follow-Up Required""), ""Follow-Up Required"", IF(REGEXMATCH(N274, ""STATUS: In Progress""), ""In Progress"", IF(REGEXMATCH(N274, """&amp;"STATUS: In QA""), ""In QA"", IF(REGEXMATCH(N274, ""STATUS: Needs Customer Feedback""), ""Needs Customer Feedback"", IF(REGEXMATCH(N274, ""STATUS: QA Passed - Awaiting Release""), ""QA Passed - Awaiting Release"", IF(REGEXMATCH(N274, ""STATUS: Release to P"&amp;"rod""), ""Release to Prod"", """")))))))"),"")</f>
        <v/>
      </c>
    </row>
    <row r="275" hidden="1">
      <c r="A275" s="23" t="s">
        <v>82</v>
      </c>
      <c r="B275" s="12" t="s">
        <v>267</v>
      </c>
      <c r="C275" s="54">
        <v>37.0</v>
      </c>
      <c r="D275" s="55" t="s">
        <v>1444</v>
      </c>
      <c r="E275" s="56" t="s">
        <v>173</v>
      </c>
      <c r="F275" s="54" t="s">
        <v>1445</v>
      </c>
      <c r="G275" s="57" t="str">
        <f t="shared" si="1"/>
        <v>04-Jun-2024</v>
      </c>
      <c r="H275" s="54" t="s">
        <v>254</v>
      </c>
      <c r="I275" s="54" t="s">
        <v>1446</v>
      </c>
      <c r="J275" s="27" t="str">
        <f t="shared" si="4"/>
        <v>11-Jul-2025</v>
      </c>
      <c r="K275" s="54" t="s">
        <v>1447</v>
      </c>
      <c r="L275" s="27" t="str">
        <f t="shared" si="5"/>
        <v>12-Jun-2024</v>
      </c>
      <c r="M275" s="23" t="s">
        <v>15</v>
      </c>
      <c r="N275" s="23" t="s">
        <v>177</v>
      </c>
      <c r="O275" s="24"/>
      <c r="P275" s="54">
        <v>0.0</v>
      </c>
      <c r="Q275" s="58" t="s">
        <v>1448</v>
      </c>
      <c r="R275" s="27" t="str">
        <f>IFERROR(__xludf.DUMMYFUNCTION("IF(REGEXMATCH(N275, ""PRIORITY: Low""), ""Low"", IF(REGEXMATCH(N275, ""PRIORITY: Medium""), ""Medium"", IF(REGEXMATCH(N275, ""PRIORITY: High""), ""High"", """")))
"),"")</f>
        <v/>
      </c>
      <c r="S275" s="27" t="str">
        <f>IFERROR(__xludf.DUMMYFUNCTION("IF(REGEXMATCH(N275, ""SKILL: Low""), ""Low"", IF(REGEXMATCH(N275, ""SKILL: Medium""), ""Medium"", IF(REGEXMATCH(N275, ""SKILL: High""), ""High"", """")))"),"")</f>
        <v/>
      </c>
      <c r="T275" s="27" t="str">
        <f>IFERROR(__xludf.DUMMYFUNCTION("IF(REGEXMATCH(N275, ""STATUS: Dev Complete - Awaiting QA""), ""Dev Complete - Awaiting QA"", IF(REGEXMATCH(N275, ""STATUS: Follow-Up Required""), ""Follow-Up Required"", IF(REGEXMATCH(N275, ""STATUS: In Progress""), ""In Progress"", IF(REGEXMATCH(N275, """&amp;"STATUS: In QA""), ""In QA"", IF(REGEXMATCH(N275, ""STATUS: Needs Customer Feedback""), ""Needs Customer Feedback"", IF(REGEXMATCH(N275, ""STATUS: QA Passed - Awaiting Release""), ""QA Passed - Awaiting Release"", IF(REGEXMATCH(N275, ""STATUS: Release to P"&amp;"rod""), ""Release to Prod"", """")))))))"),"")</f>
        <v/>
      </c>
    </row>
    <row r="276" hidden="1">
      <c r="A276" s="23" t="s">
        <v>82</v>
      </c>
      <c r="B276" s="12" t="s">
        <v>267</v>
      </c>
      <c r="C276" s="54">
        <v>36.0</v>
      </c>
      <c r="D276" s="55" t="s">
        <v>1449</v>
      </c>
      <c r="E276" s="56" t="s">
        <v>173</v>
      </c>
      <c r="F276" s="54" t="s">
        <v>1450</v>
      </c>
      <c r="G276" s="57" t="str">
        <f t="shared" si="1"/>
        <v>04-Jun-2024</v>
      </c>
      <c r="H276" s="54" t="s">
        <v>254</v>
      </c>
      <c r="I276" s="54" t="s">
        <v>1451</v>
      </c>
      <c r="J276" s="27" t="str">
        <f t="shared" si="4"/>
        <v>11-Jul-2025</v>
      </c>
      <c r="K276" s="54" t="s">
        <v>1452</v>
      </c>
      <c r="L276" s="27" t="str">
        <f t="shared" si="5"/>
        <v>13-Jun-2024</v>
      </c>
      <c r="M276" s="23" t="s">
        <v>15</v>
      </c>
      <c r="N276" s="23" t="s">
        <v>177</v>
      </c>
      <c r="O276" s="24"/>
      <c r="P276" s="54">
        <v>0.0</v>
      </c>
      <c r="Q276" s="58" t="s">
        <v>1453</v>
      </c>
      <c r="R276" s="27" t="str">
        <f>IFERROR(__xludf.DUMMYFUNCTION("IF(REGEXMATCH(N276, ""PRIORITY: Low""), ""Low"", IF(REGEXMATCH(N276, ""PRIORITY: Medium""), ""Medium"", IF(REGEXMATCH(N276, ""PRIORITY: High""), ""High"", """")))
"),"")</f>
        <v/>
      </c>
      <c r="S276" s="27" t="str">
        <f>IFERROR(__xludf.DUMMYFUNCTION("IF(REGEXMATCH(N276, ""SKILL: Low""), ""Low"", IF(REGEXMATCH(N276, ""SKILL: Medium""), ""Medium"", IF(REGEXMATCH(N276, ""SKILL: High""), ""High"", """")))"),"")</f>
        <v/>
      </c>
      <c r="T276" s="27" t="str">
        <f>IFERROR(__xludf.DUMMYFUNCTION("IF(REGEXMATCH(N276, ""STATUS: Dev Complete - Awaiting QA""), ""Dev Complete - Awaiting QA"", IF(REGEXMATCH(N276, ""STATUS: Follow-Up Required""), ""Follow-Up Required"", IF(REGEXMATCH(N276, ""STATUS: In Progress""), ""In Progress"", IF(REGEXMATCH(N276, """&amp;"STATUS: In QA""), ""In QA"", IF(REGEXMATCH(N276, ""STATUS: Needs Customer Feedback""), ""Needs Customer Feedback"", IF(REGEXMATCH(N276, ""STATUS: QA Passed - Awaiting Release""), ""QA Passed - Awaiting Release"", IF(REGEXMATCH(N276, ""STATUS: Release to P"&amp;"rod""), ""Release to Prod"", """")))))))"),"")</f>
        <v/>
      </c>
    </row>
    <row r="277" hidden="1">
      <c r="A277" s="23" t="s">
        <v>82</v>
      </c>
      <c r="B277" s="12" t="s">
        <v>267</v>
      </c>
      <c r="C277" s="54">
        <v>35.0</v>
      </c>
      <c r="D277" s="55" t="s">
        <v>1454</v>
      </c>
      <c r="E277" s="56" t="s">
        <v>173</v>
      </c>
      <c r="F277" s="54" t="s">
        <v>1455</v>
      </c>
      <c r="G277" s="57" t="str">
        <f t="shared" si="1"/>
        <v>04-Jun-2024</v>
      </c>
      <c r="H277" s="54" t="s">
        <v>254</v>
      </c>
      <c r="I277" s="54" t="s">
        <v>1456</v>
      </c>
      <c r="J277" s="27" t="str">
        <f t="shared" si="4"/>
        <v>11-Jul-2025</v>
      </c>
      <c r="K277" s="54" t="s">
        <v>1457</v>
      </c>
      <c r="L277" s="27" t="str">
        <f t="shared" si="5"/>
        <v>10-Jun-2024</v>
      </c>
      <c r="M277" s="23" t="s">
        <v>15</v>
      </c>
      <c r="N277" s="23" t="s">
        <v>177</v>
      </c>
      <c r="O277" s="24"/>
      <c r="P277" s="54">
        <v>0.0</v>
      </c>
      <c r="Q277" s="58" t="s">
        <v>1458</v>
      </c>
      <c r="R277" s="27" t="str">
        <f>IFERROR(__xludf.DUMMYFUNCTION("IF(REGEXMATCH(N277, ""PRIORITY: Low""), ""Low"", IF(REGEXMATCH(N277, ""PRIORITY: Medium""), ""Medium"", IF(REGEXMATCH(N277, ""PRIORITY: High""), ""High"", """")))
"),"")</f>
        <v/>
      </c>
      <c r="S277" s="27" t="str">
        <f>IFERROR(__xludf.DUMMYFUNCTION("IF(REGEXMATCH(N277, ""SKILL: Low""), ""Low"", IF(REGEXMATCH(N277, ""SKILL: Medium""), ""Medium"", IF(REGEXMATCH(N277, ""SKILL: High""), ""High"", """")))"),"")</f>
        <v/>
      </c>
      <c r="T277" s="27" t="str">
        <f>IFERROR(__xludf.DUMMYFUNCTION("IF(REGEXMATCH(N277, ""STATUS: Dev Complete - Awaiting QA""), ""Dev Complete - Awaiting QA"", IF(REGEXMATCH(N277, ""STATUS: Follow-Up Required""), ""Follow-Up Required"", IF(REGEXMATCH(N277, ""STATUS: In Progress""), ""In Progress"", IF(REGEXMATCH(N277, """&amp;"STATUS: In QA""), ""In QA"", IF(REGEXMATCH(N277, ""STATUS: Needs Customer Feedback""), ""Needs Customer Feedback"", IF(REGEXMATCH(N277, ""STATUS: QA Passed - Awaiting Release""), ""QA Passed - Awaiting Release"", IF(REGEXMATCH(N277, ""STATUS: Release to P"&amp;"rod""), ""Release to Prod"", """")))))))"),"")</f>
        <v/>
      </c>
    </row>
    <row r="278" hidden="1">
      <c r="A278" s="23" t="s">
        <v>82</v>
      </c>
      <c r="B278" s="12" t="s">
        <v>267</v>
      </c>
      <c r="C278" s="54">
        <v>34.0</v>
      </c>
      <c r="D278" s="55" t="s">
        <v>1459</v>
      </c>
      <c r="E278" s="56" t="s">
        <v>173</v>
      </c>
      <c r="F278" s="54" t="s">
        <v>1460</v>
      </c>
      <c r="G278" s="57" t="str">
        <f t="shared" si="1"/>
        <v>04-Jun-2024</v>
      </c>
      <c r="H278" s="54" t="s">
        <v>254</v>
      </c>
      <c r="I278" s="54" t="s">
        <v>1461</v>
      </c>
      <c r="J278" s="27" t="str">
        <f t="shared" si="4"/>
        <v>11-Jul-2025</v>
      </c>
      <c r="K278" s="54" t="s">
        <v>1462</v>
      </c>
      <c r="L278" s="27" t="str">
        <f t="shared" si="5"/>
        <v>10-Jun-2024</v>
      </c>
      <c r="M278" s="23" t="s">
        <v>15</v>
      </c>
      <c r="N278" s="23" t="s">
        <v>177</v>
      </c>
      <c r="O278" s="24"/>
      <c r="P278" s="54">
        <v>1.0</v>
      </c>
      <c r="Q278" s="58" t="s">
        <v>1463</v>
      </c>
      <c r="R278" s="27" t="str">
        <f>IFERROR(__xludf.DUMMYFUNCTION("IF(REGEXMATCH(N278, ""PRIORITY: Low""), ""Low"", IF(REGEXMATCH(N278, ""PRIORITY: Medium""), ""Medium"", IF(REGEXMATCH(N278, ""PRIORITY: High""), ""High"", """")))
"),"")</f>
        <v/>
      </c>
      <c r="S278" s="27" t="str">
        <f>IFERROR(__xludf.DUMMYFUNCTION("IF(REGEXMATCH(N278, ""SKILL: Low""), ""Low"", IF(REGEXMATCH(N278, ""SKILL: Medium""), ""Medium"", IF(REGEXMATCH(N278, ""SKILL: High""), ""High"", """")))"),"")</f>
        <v/>
      </c>
      <c r="T278" s="27" t="str">
        <f>IFERROR(__xludf.DUMMYFUNCTION("IF(REGEXMATCH(N278, ""STATUS: Dev Complete - Awaiting QA""), ""Dev Complete - Awaiting QA"", IF(REGEXMATCH(N278, ""STATUS: Follow-Up Required""), ""Follow-Up Required"", IF(REGEXMATCH(N278, ""STATUS: In Progress""), ""In Progress"", IF(REGEXMATCH(N278, """&amp;"STATUS: In QA""), ""In QA"", IF(REGEXMATCH(N278, ""STATUS: Needs Customer Feedback""), ""Needs Customer Feedback"", IF(REGEXMATCH(N278, ""STATUS: QA Passed - Awaiting Release""), ""QA Passed - Awaiting Release"", IF(REGEXMATCH(N278, ""STATUS: Release to P"&amp;"rod""), ""Release to Prod"", """")))))))"),"")</f>
        <v/>
      </c>
    </row>
    <row r="279" hidden="1">
      <c r="A279" s="23" t="s">
        <v>82</v>
      </c>
      <c r="B279" s="12" t="s">
        <v>267</v>
      </c>
      <c r="C279" s="54">
        <v>33.0</v>
      </c>
      <c r="D279" s="55" t="s">
        <v>1464</v>
      </c>
      <c r="E279" s="56" t="s">
        <v>173</v>
      </c>
      <c r="F279" s="54" t="s">
        <v>1465</v>
      </c>
      <c r="G279" s="57" t="str">
        <f t="shared" si="1"/>
        <v>04-Jun-2024</v>
      </c>
      <c r="H279" s="54" t="s">
        <v>254</v>
      </c>
      <c r="I279" s="54" t="s">
        <v>1461</v>
      </c>
      <c r="J279" s="27" t="str">
        <f t="shared" si="4"/>
        <v>11-Jul-2025</v>
      </c>
      <c r="K279" s="54" t="s">
        <v>1466</v>
      </c>
      <c r="L279" s="27" t="str">
        <f t="shared" si="5"/>
        <v>11-Jun-2024</v>
      </c>
      <c r="M279" s="23" t="s">
        <v>15</v>
      </c>
      <c r="N279" s="23" t="s">
        <v>177</v>
      </c>
      <c r="O279" s="24"/>
      <c r="P279" s="54">
        <v>0.0</v>
      </c>
      <c r="Q279" s="58" t="s">
        <v>1467</v>
      </c>
      <c r="R279" s="27" t="str">
        <f>IFERROR(__xludf.DUMMYFUNCTION("IF(REGEXMATCH(N279, ""PRIORITY: Low""), ""Low"", IF(REGEXMATCH(N279, ""PRIORITY: Medium""), ""Medium"", IF(REGEXMATCH(N279, ""PRIORITY: High""), ""High"", """")))
"),"")</f>
        <v/>
      </c>
      <c r="S279" s="27" t="str">
        <f>IFERROR(__xludf.DUMMYFUNCTION("IF(REGEXMATCH(N279, ""SKILL: Low""), ""Low"", IF(REGEXMATCH(N279, ""SKILL: Medium""), ""Medium"", IF(REGEXMATCH(N279, ""SKILL: High""), ""High"", """")))"),"")</f>
        <v/>
      </c>
      <c r="T279" s="27" t="str">
        <f>IFERROR(__xludf.DUMMYFUNCTION("IF(REGEXMATCH(N279, ""STATUS: Dev Complete - Awaiting QA""), ""Dev Complete - Awaiting QA"", IF(REGEXMATCH(N279, ""STATUS: Follow-Up Required""), ""Follow-Up Required"", IF(REGEXMATCH(N279, ""STATUS: In Progress""), ""In Progress"", IF(REGEXMATCH(N279, """&amp;"STATUS: In QA""), ""In QA"", IF(REGEXMATCH(N279, ""STATUS: Needs Customer Feedback""), ""Needs Customer Feedback"", IF(REGEXMATCH(N279, ""STATUS: QA Passed - Awaiting Release""), ""QA Passed - Awaiting Release"", IF(REGEXMATCH(N279, ""STATUS: Release to P"&amp;"rod""), ""Release to Prod"", """")))))))"),"")</f>
        <v/>
      </c>
    </row>
    <row r="280" hidden="1">
      <c r="A280" s="23" t="s">
        <v>82</v>
      </c>
      <c r="B280" s="12" t="s">
        <v>267</v>
      </c>
      <c r="C280" s="54">
        <v>32.0</v>
      </c>
      <c r="D280" s="55" t="s">
        <v>1468</v>
      </c>
      <c r="E280" s="56" t="s">
        <v>173</v>
      </c>
      <c r="F280" s="54" t="s">
        <v>1469</v>
      </c>
      <c r="G280" s="57" t="str">
        <f t="shared" si="1"/>
        <v>04-Jun-2024</v>
      </c>
      <c r="H280" s="54" t="s">
        <v>254</v>
      </c>
      <c r="I280" s="54" t="s">
        <v>1470</v>
      </c>
      <c r="J280" s="27" t="str">
        <f t="shared" si="4"/>
        <v>11-Jul-2025</v>
      </c>
      <c r="K280" s="54" t="s">
        <v>1471</v>
      </c>
      <c r="L280" s="27" t="str">
        <f t="shared" si="5"/>
        <v>09-Jun-2024</v>
      </c>
      <c r="M280" s="23" t="s">
        <v>15</v>
      </c>
      <c r="N280" s="23" t="s">
        <v>177</v>
      </c>
      <c r="O280" s="24"/>
      <c r="P280" s="54">
        <v>0.0</v>
      </c>
      <c r="Q280" s="58" t="s">
        <v>1472</v>
      </c>
      <c r="R280" s="27" t="str">
        <f>IFERROR(__xludf.DUMMYFUNCTION("IF(REGEXMATCH(N280, ""PRIORITY: Low""), ""Low"", IF(REGEXMATCH(N280, ""PRIORITY: Medium""), ""Medium"", IF(REGEXMATCH(N280, ""PRIORITY: High""), ""High"", """")))
"),"")</f>
        <v/>
      </c>
      <c r="S280" s="27" t="str">
        <f>IFERROR(__xludf.DUMMYFUNCTION("IF(REGEXMATCH(N280, ""SKILL: Low""), ""Low"", IF(REGEXMATCH(N280, ""SKILL: Medium""), ""Medium"", IF(REGEXMATCH(N280, ""SKILL: High""), ""High"", """")))"),"")</f>
        <v/>
      </c>
      <c r="T280" s="27" t="str">
        <f>IFERROR(__xludf.DUMMYFUNCTION("IF(REGEXMATCH(N280, ""STATUS: Dev Complete - Awaiting QA""), ""Dev Complete - Awaiting QA"", IF(REGEXMATCH(N280, ""STATUS: Follow-Up Required""), ""Follow-Up Required"", IF(REGEXMATCH(N280, ""STATUS: In Progress""), ""In Progress"", IF(REGEXMATCH(N280, """&amp;"STATUS: In QA""), ""In QA"", IF(REGEXMATCH(N280, ""STATUS: Needs Customer Feedback""), ""Needs Customer Feedback"", IF(REGEXMATCH(N280, ""STATUS: QA Passed - Awaiting Release""), ""QA Passed - Awaiting Release"", IF(REGEXMATCH(N280, ""STATUS: Release to P"&amp;"rod""), ""Release to Prod"", """")))))))"),"")</f>
        <v/>
      </c>
    </row>
    <row r="281" hidden="1">
      <c r="A281" s="23" t="s">
        <v>82</v>
      </c>
      <c r="B281" s="12" t="s">
        <v>267</v>
      </c>
      <c r="C281" s="54">
        <v>31.0</v>
      </c>
      <c r="D281" s="55" t="s">
        <v>1473</v>
      </c>
      <c r="E281" s="56" t="s">
        <v>173</v>
      </c>
      <c r="F281" s="54" t="s">
        <v>1474</v>
      </c>
      <c r="G281" s="57" t="str">
        <f t="shared" si="1"/>
        <v>04-Jun-2024</v>
      </c>
      <c r="H281" s="54" t="s">
        <v>254</v>
      </c>
      <c r="I281" s="54" t="s">
        <v>1470</v>
      </c>
      <c r="J281" s="27" t="str">
        <f t="shared" si="4"/>
        <v>11-Jul-2025</v>
      </c>
      <c r="K281" s="54" t="s">
        <v>1475</v>
      </c>
      <c r="L281" s="27" t="str">
        <f t="shared" si="5"/>
        <v>09-Jun-2024</v>
      </c>
      <c r="M281" s="23" t="s">
        <v>15</v>
      </c>
      <c r="N281" s="23" t="s">
        <v>177</v>
      </c>
      <c r="O281" s="24"/>
      <c r="P281" s="54">
        <v>0.0</v>
      </c>
      <c r="Q281" s="58" t="s">
        <v>1476</v>
      </c>
      <c r="R281" s="27" t="str">
        <f>IFERROR(__xludf.DUMMYFUNCTION("IF(REGEXMATCH(N281, ""PRIORITY: Low""), ""Low"", IF(REGEXMATCH(N281, ""PRIORITY: Medium""), ""Medium"", IF(REGEXMATCH(N281, ""PRIORITY: High""), ""High"", """")))
"),"")</f>
        <v/>
      </c>
      <c r="S281" s="27" t="str">
        <f>IFERROR(__xludf.DUMMYFUNCTION("IF(REGEXMATCH(N281, ""SKILL: Low""), ""Low"", IF(REGEXMATCH(N281, ""SKILL: Medium""), ""Medium"", IF(REGEXMATCH(N281, ""SKILL: High""), ""High"", """")))"),"")</f>
        <v/>
      </c>
      <c r="T281" s="27" t="str">
        <f>IFERROR(__xludf.DUMMYFUNCTION("IF(REGEXMATCH(N281, ""STATUS: Dev Complete - Awaiting QA""), ""Dev Complete - Awaiting QA"", IF(REGEXMATCH(N281, ""STATUS: Follow-Up Required""), ""Follow-Up Required"", IF(REGEXMATCH(N281, ""STATUS: In Progress""), ""In Progress"", IF(REGEXMATCH(N281, """&amp;"STATUS: In QA""), ""In QA"", IF(REGEXMATCH(N281, ""STATUS: Needs Customer Feedback""), ""Needs Customer Feedback"", IF(REGEXMATCH(N281, ""STATUS: QA Passed - Awaiting Release""), ""QA Passed - Awaiting Release"", IF(REGEXMATCH(N281, ""STATUS: Release to P"&amp;"rod""), ""Release to Prod"", """")))))))"),"")</f>
        <v/>
      </c>
    </row>
    <row r="282" hidden="1">
      <c r="A282" s="23" t="s">
        <v>82</v>
      </c>
      <c r="B282" s="12" t="s">
        <v>267</v>
      </c>
      <c r="C282" s="54">
        <v>30.0</v>
      </c>
      <c r="D282" s="55" t="s">
        <v>1477</v>
      </c>
      <c r="E282" s="56" t="s">
        <v>173</v>
      </c>
      <c r="F282" s="54" t="s">
        <v>1478</v>
      </c>
      <c r="G282" s="57" t="str">
        <f t="shared" si="1"/>
        <v>04-Jun-2024</v>
      </c>
      <c r="H282" s="54" t="s">
        <v>254</v>
      </c>
      <c r="I282" s="54" t="s">
        <v>1479</v>
      </c>
      <c r="J282" s="27" t="str">
        <f t="shared" si="4"/>
        <v>11-Jul-2025</v>
      </c>
      <c r="K282" s="54" t="s">
        <v>1480</v>
      </c>
      <c r="L282" s="27" t="str">
        <f t="shared" si="5"/>
        <v>11-Jun-2024</v>
      </c>
      <c r="M282" s="23" t="s">
        <v>15</v>
      </c>
      <c r="N282" s="23" t="s">
        <v>177</v>
      </c>
      <c r="O282" s="24"/>
      <c r="P282" s="54">
        <v>0.0</v>
      </c>
      <c r="Q282" s="58" t="s">
        <v>1481</v>
      </c>
      <c r="R282" s="27" t="str">
        <f>IFERROR(__xludf.DUMMYFUNCTION("IF(REGEXMATCH(N282, ""PRIORITY: Low""), ""Low"", IF(REGEXMATCH(N282, ""PRIORITY: Medium""), ""Medium"", IF(REGEXMATCH(N282, ""PRIORITY: High""), ""High"", """")))
"),"")</f>
        <v/>
      </c>
      <c r="S282" s="27" t="str">
        <f>IFERROR(__xludf.DUMMYFUNCTION("IF(REGEXMATCH(N282, ""SKILL: Low""), ""Low"", IF(REGEXMATCH(N282, ""SKILL: Medium""), ""Medium"", IF(REGEXMATCH(N282, ""SKILL: High""), ""High"", """")))"),"")</f>
        <v/>
      </c>
      <c r="T282" s="27" t="str">
        <f>IFERROR(__xludf.DUMMYFUNCTION("IF(REGEXMATCH(N282, ""STATUS: Dev Complete - Awaiting QA""), ""Dev Complete - Awaiting QA"", IF(REGEXMATCH(N282, ""STATUS: Follow-Up Required""), ""Follow-Up Required"", IF(REGEXMATCH(N282, ""STATUS: In Progress""), ""In Progress"", IF(REGEXMATCH(N282, """&amp;"STATUS: In QA""), ""In QA"", IF(REGEXMATCH(N282, ""STATUS: Needs Customer Feedback""), ""Needs Customer Feedback"", IF(REGEXMATCH(N282, ""STATUS: QA Passed - Awaiting Release""), ""QA Passed - Awaiting Release"", IF(REGEXMATCH(N282, ""STATUS: Release to P"&amp;"rod""), ""Release to Prod"", """")))))))"),"")</f>
        <v/>
      </c>
    </row>
    <row r="283" hidden="1">
      <c r="A283" s="23" t="s">
        <v>82</v>
      </c>
      <c r="B283" s="12" t="s">
        <v>267</v>
      </c>
      <c r="C283" s="54">
        <v>29.0</v>
      </c>
      <c r="D283" s="55" t="s">
        <v>1482</v>
      </c>
      <c r="E283" s="56" t="s">
        <v>173</v>
      </c>
      <c r="F283" s="54" t="s">
        <v>1483</v>
      </c>
      <c r="G283" s="57" t="str">
        <f t="shared" si="1"/>
        <v>04-Jun-2024</v>
      </c>
      <c r="H283" s="54" t="s">
        <v>254</v>
      </c>
      <c r="I283" s="54" t="s">
        <v>1484</v>
      </c>
      <c r="J283" s="27" t="str">
        <f t="shared" si="4"/>
        <v>11-Jul-2025</v>
      </c>
      <c r="K283" s="54" t="s">
        <v>1485</v>
      </c>
      <c r="L283" s="27" t="str">
        <f t="shared" si="5"/>
        <v>10-Jun-2024</v>
      </c>
      <c r="M283" s="23" t="s">
        <v>15</v>
      </c>
      <c r="N283" s="23" t="s">
        <v>177</v>
      </c>
      <c r="O283" s="24"/>
      <c r="P283" s="54">
        <v>2.0</v>
      </c>
      <c r="Q283" s="58" t="s">
        <v>1486</v>
      </c>
      <c r="R283" s="27" t="str">
        <f>IFERROR(__xludf.DUMMYFUNCTION("IF(REGEXMATCH(N283, ""PRIORITY: Low""), ""Low"", IF(REGEXMATCH(N283, ""PRIORITY: Medium""), ""Medium"", IF(REGEXMATCH(N283, ""PRIORITY: High""), ""High"", """")))
"),"")</f>
        <v/>
      </c>
      <c r="S283" s="27" t="str">
        <f>IFERROR(__xludf.DUMMYFUNCTION("IF(REGEXMATCH(N283, ""SKILL: Low""), ""Low"", IF(REGEXMATCH(N283, ""SKILL: Medium""), ""Medium"", IF(REGEXMATCH(N283, ""SKILL: High""), ""High"", """")))"),"")</f>
        <v/>
      </c>
      <c r="T283" s="27" t="str">
        <f>IFERROR(__xludf.DUMMYFUNCTION("IF(REGEXMATCH(N283, ""STATUS: Dev Complete - Awaiting QA""), ""Dev Complete - Awaiting QA"", IF(REGEXMATCH(N283, ""STATUS: Follow-Up Required""), ""Follow-Up Required"", IF(REGEXMATCH(N283, ""STATUS: In Progress""), ""In Progress"", IF(REGEXMATCH(N283, """&amp;"STATUS: In QA""), ""In QA"", IF(REGEXMATCH(N283, ""STATUS: Needs Customer Feedback""), ""Needs Customer Feedback"", IF(REGEXMATCH(N283, ""STATUS: QA Passed - Awaiting Release""), ""QA Passed - Awaiting Release"", IF(REGEXMATCH(N283, ""STATUS: Release to P"&amp;"rod""), ""Release to Prod"", """")))))))"),"")</f>
        <v/>
      </c>
    </row>
    <row r="284" hidden="1">
      <c r="A284" s="23" t="s">
        <v>82</v>
      </c>
      <c r="B284" s="12" t="s">
        <v>267</v>
      </c>
      <c r="C284" s="54">
        <v>28.0</v>
      </c>
      <c r="D284" s="55" t="s">
        <v>1487</v>
      </c>
      <c r="E284" s="56" t="s">
        <v>173</v>
      </c>
      <c r="F284" s="54" t="s">
        <v>1488</v>
      </c>
      <c r="G284" s="57" t="str">
        <f t="shared" si="1"/>
        <v>04-Jun-2024</v>
      </c>
      <c r="H284" s="54" t="s">
        <v>37</v>
      </c>
      <c r="I284" s="54" t="s">
        <v>1489</v>
      </c>
      <c r="J284" s="27" t="str">
        <f t="shared" si="4"/>
        <v>11-Jul-2025</v>
      </c>
      <c r="K284" s="54" t="s">
        <v>1490</v>
      </c>
      <c r="L284" s="27" t="str">
        <f t="shared" si="5"/>
        <v>13-Jun-2024</v>
      </c>
      <c r="M284" s="23" t="s">
        <v>15</v>
      </c>
      <c r="N284" s="23" t="s">
        <v>177</v>
      </c>
      <c r="O284" s="23" t="s">
        <v>37</v>
      </c>
      <c r="P284" s="54">
        <v>1.0</v>
      </c>
      <c r="Q284" s="58" t="s">
        <v>1491</v>
      </c>
      <c r="R284" s="27" t="str">
        <f>IFERROR(__xludf.DUMMYFUNCTION("IF(REGEXMATCH(N284, ""PRIORITY: Low""), ""Low"", IF(REGEXMATCH(N284, ""PRIORITY: Medium""), ""Medium"", IF(REGEXMATCH(N284, ""PRIORITY: High""), ""High"", """")))
"),"")</f>
        <v/>
      </c>
      <c r="S284" s="27" t="str">
        <f>IFERROR(__xludf.DUMMYFUNCTION("IF(REGEXMATCH(N284, ""SKILL: Low""), ""Low"", IF(REGEXMATCH(N284, ""SKILL: Medium""), ""Medium"", IF(REGEXMATCH(N284, ""SKILL: High""), ""High"", """")))"),"")</f>
        <v/>
      </c>
      <c r="T284" s="27" t="str">
        <f>IFERROR(__xludf.DUMMYFUNCTION("IF(REGEXMATCH(N284, ""STATUS: Dev Complete - Awaiting QA""), ""Dev Complete - Awaiting QA"", IF(REGEXMATCH(N284, ""STATUS: Follow-Up Required""), ""Follow-Up Required"", IF(REGEXMATCH(N284, ""STATUS: In Progress""), ""In Progress"", IF(REGEXMATCH(N284, """&amp;"STATUS: In QA""), ""In QA"", IF(REGEXMATCH(N284, ""STATUS: Needs Customer Feedback""), ""Needs Customer Feedback"", IF(REGEXMATCH(N284, ""STATUS: QA Passed - Awaiting Release""), ""QA Passed - Awaiting Release"", IF(REGEXMATCH(N284, ""STATUS: Release to P"&amp;"rod""), ""Release to Prod"", """")))))))"),"")</f>
        <v/>
      </c>
    </row>
    <row r="285" hidden="1">
      <c r="A285" s="23" t="s">
        <v>82</v>
      </c>
      <c r="B285" s="12" t="s">
        <v>267</v>
      </c>
      <c r="C285" s="54">
        <v>27.0</v>
      </c>
      <c r="D285" s="55" t="s">
        <v>1492</v>
      </c>
      <c r="E285" s="56" t="s">
        <v>173</v>
      </c>
      <c r="F285" s="54" t="s">
        <v>1493</v>
      </c>
      <c r="G285" s="57" t="str">
        <f t="shared" si="1"/>
        <v>04-Jun-2024</v>
      </c>
      <c r="H285" s="54" t="s">
        <v>254</v>
      </c>
      <c r="I285" s="54" t="s">
        <v>1489</v>
      </c>
      <c r="J285" s="27" t="str">
        <f t="shared" si="4"/>
        <v>11-Jul-2025</v>
      </c>
      <c r="K285" s="54" t="s">
        <v>1494</v>
      </c>
      <c r="L285" s="27" t="str">
        <f t="shared" si="5"/>
        <v>13-Jun-2024</v>
      </c>
      <c r="M285" s="23" t="s">
        <v>15</v>
      </c>
      <c r="N285" s="23" t="s">
        <v>177</v>
      </c>
      <c r="O285" s="24"/>
      <c r="P285" s="54">
        <v>0.0</v>
      </c>
      <c r="Q285" s="58" t="s">
        <v>1495</v>
      </c>
      <c r="R285" s="27" t="str">
        <f>IFERROR(__xludf.DUMMYFUNCTION("IF(REGEXMATCH(N285, ""PRIORITY: Low""), ""Low"", IF(REGEXMATCH(N285, ""PRIORITY: Medium""), ""Medium"", IF(REGEXMATCH(N285, ""PRIORITY: High""), ""High"", """")))
"),"")</f>
        <v/>
      </c>
      <c r="S285" s="27" t="str">
        <f>IFERROR(__xludf.DUMMYFUNCTION("IF(REGEXMATCH(N285, ""SKILL: Low""), ""Low"", IF(REGEXMATCH(N285, ""SKILL: Medium""), ""Medium"", IF(REGEXMATCH(N285, ""SKILL: High""), ""High"", """")))"),"")</f>
        <v/>
      </c>
      <c r="T285" s="27" t="str">
        <f>IFERROR(__xludf.DUMMYFUNCTION("IF(REGEXMATCH(N285, ""STATUS: Dev Complete - Awaiting QA""), ""Dev Complete - Awaiting QA"", IF(REGEXMATCH(N285, ""STATUS: Follow-Up Required""), ""Follow-Up Required"", IF(REGEXMATCH(N285, ""STATUS: In Progress""), ""In Progress"", IF(REGEXMATCH(N285, """&amp;"STATUS: In QA""), ""In QA"", IF(REGEXMATCH(N285, ""STATUS: Needs Customer Feedback""), ""Needs Customer Feedback"", IF(REGEXMATCH(N285, ""STATUS: QA Passed - Awaiting Release""), ""QA Passed - Awaiting Release"", IF(REGEXMATCH(N285, ""STATUS: Release to P"&amp;"rod""), ""Release to Prod"", """")))))))"),"")</f>
        <v/>
      </c>
    </row>
    <row r="286" hidden="1">
      <c r="A286" s="23" t="s">
        <v>82</v>
      </c>
      <c r="B286" s="12" t="s">
        <v>267</v>
      </c>
      <c r="C286" s="54">
        <v>26.0</v>
      </c>
      <c r="D286" s="55" t="s">
        <v>1496</v>
      </c>
      <c r="E286" s="56" t="s">
        <v>173</v>
      </c>
      <c r="F286" s="54" t="s">
        <v>1497</v>
      </c>
      <c r="G286" s="57" t="str">
        <f t="shared" si="1"/>
        <v>04-Jun-2024</v>
      </c>
      <c r="H286" s="54" t="s">
        <v>254</v>
      </c>
      <c r="I286" s="54" t="s">
        <v>1498</v>
      </c>
      <c r="J286" s="27" t="str">
        <f t="shared" si="4"/>
        <v>11-Jul-2025</v>
      </c>
      <c r="K286" s="54" t="s">
        <v>1439</v>
      </c>
      <c r="L286" s="27" t="str">
        <f t="shared" si="5"/>
        <v>05-Jun-2024</v>
      </c>
      <c r="M286" s="23" t="s">
        <v>15</v>
      </c>
      <c r="N286" s="23" t="s">
        <v>177</v>
      </c>
      <c r="O286" s="23" t="s">
        <v>37</v>
      </c>
      <c r="P286" s="54">
        <v>0.0</v>
      </c>
      <c r="Q286" s="58" t="s">
        <v>1499</v>
      </c>
      <c r="R286" s="27" t="str">
        <f>IFERROR(__xludf.DUMMYFUNCTION("IF(REGEXMATCH(N286, ""PRIORITY: Low""), ""Low"", IF(REGEXMATCH(N286, ""PRIORITY: Medium""), ""Medium"", IF(REGEXMATCH(N286, ""PRIORITY: High""), ""High"", """")))
"),"")</f>
        <v/>
      </c>
      <c r="S286" s="27" t="str">
        <f>IFERROR(__xludf.DUMMYFUNCTION("IF(REGEXMATCH(N286, ""SKILL: Low""), ""Low"", IF(REGEXMATCH(N286, ""SKILL: Medium""), ""Medium"", IF(REGEXMATCH(N286, ""SKILL: High""), ""High"", """")))"),"")</f>
        <v/>
      </c>
      <c r="T286" s="27" t="str">
        <f>IFERROR(__xludf.DUMMYFUNCTION("IF(REGEXMATCH(N286, ""STATUS: Dev Complete - Awaiting QA""), ""Dev Complete - Awaiting QA"", IF(REGEXMATCH(N286, ""STATUS: Follow-Up Required""), ""Follow-Up Required"", IF(REGEXMATCH(N286, ""STATUS: In Progress""), ""In Progress"", IF(REGEXMATCH(N286, """&amp;"STATUS: In QA""), ""In QA"", IF(REGEXMATCH(N286, ""STATUS: Needs Customer Feedback""), ""Needs Customer Feedback"", IF(REGEXMATCH(N286, ""STATUS: QA Passed - Awaiting Release""), ""QA Passed - Awaiting Release"", IF(REGEXMATCH(N286, ""STATUS: Release to P"&amp;"rod""), ""Release to Prod"", """")))))))"),"")</f>
        <v/>
      </c>
    </row>
    <row r="287" hidden="1">
      <c r="A287" s="23" t="s">
        <v>82</v>
      </c>
      <c r="B287" s="12" t="s">
        <v>267</v>
      </c>
      <c r="C287" s="54">
        <v>25.0</v>
      </c>
      <c r="D287" s="55" t="s">
        <v>1500</v>
      </c>
      <c r="E287" s="56" t="s">
        <v>173</v>
      </c>
      <c r="F287" s="54" t="s">
        <v>1501</v>
      </c>
      <c r="G287" s="57" t="str">
        <f t="shared" si="1"/>
        <v>04-Jun-2024</v>
      </c>
      <c r="H287" s="54" t="s">
        <v>254</v>
      </c>
      <c r="I287" s="54" t="s">
        <v>1502</v>
      </c>
      <c r="J287" s="27" t="str">
        <f t="shared" si="4"/>
        <v>11-Jul-2025</v>
      </c>
      <c r="K287" s="54" t="s">
        <v>1503</v>
      </c>
      <c r="L287" s="27" t="str">
        <f t="shared" si="5"/>
        <v>04-Jun-2024</v>
      </c>
      <c r="M287" s="23" t="s">
        <v>15</v>
      </c>
      <c r="N287" s="23" t="s">
        <v>177</v>
      </c>
      <c r="O287" s="24"/>
      <c r="P287" s="54">
        <v>0.0</v>
      </c>
      <c r="Q287" s="58" t="s">
        <v>1504</v>
      </c>
      <c r="R287" s="27" t="str">
        <f>IFERROR(__xludf.DUMMYFUNCTION("IF(REGEXMATCH(N287, ""PRIORITY: Low""), ""Low"", IF(REGEXMATCH(N287, ""PRIORITY: Medium""), ""Medium"", IF(REGEXMATCH(N287, ""PRIORITY: High""), ""High"", """")))
"),"")</f>
        <v/>
      </c>
      <c r="S287" s="27" t="str">
        <f>IFERROR(__xludf.DUMMYFUNCTION("IF(REGEXMATCH(N287, ""SKILL: Low""), ""Low"", IF(REGEXMATCH(N287, ""SKILL: Medium""), ""Medium"", IF(REGEXMATCH(N287, ""SKILL: High""), ""High"", """")))"),"")</f>
        <v/>
      </c>
      <c r="T287" s="27" t="str">
        <f>IFERROR(__xludf.DUMMYFUNCTION("IF(REGEXMATCH(N287, ""STATUS: Dev Complete - Awaiting QA""), ""Dev Complete - Awaiting QA"", IF(REGEXMATCH(N287, ""STATUS: Follow-Up Required""), ""Follow-Up Required"", IF(REGEXMATCH(N287, ""STATUS: In Progress""), ""In Progress"", IF(REGEXMATCH(N287, """&amp;"STATUS: In QA""), ""In QA"", IF(REGEXMATCH(N287, ""STATUS: Needs Customer Feedback""), ""Needs Customer Feedback"", IF(REGEXMATCH(N287, ""STATUS: QA Passed - Awaiting Release""), ""QA Passed - Awaiting Release"", IF(REGEXMATCH(N287, ""STATUS: Release to P"&amp;"rod""), ""Release to Prod"", """")))))))"),"")</f>
        <v/>
      </c>
    </row>
    <row r="288" hidden="1">
      <c r="A288" s="23" t="s">
        <v>82</v>
      </c>
      <c r="B288" s="12" t="s">
        <v>267</v>
      </c>
      <c r="C288" s="54">
        <v>24.0</v>
      </c>
      <c r="D288" s="55" t="s">
        <v>1505</v>
      </c>
      <c r="E288" s="56" t="s">
        <v>173</v>
      </c>
      <c r="F288" s="54" t="s">
        <v>1506</v>
      </c>
      <c r="G288" s="57" t="str">
        <f t="shared" si="1"/>
        <v>04-Jun-2024</v>
      </c>
      <c r="H288" s="54" t="s">
        <v>254</v>
      </c>
      <c r="I288" s="54" t="s">
        <v>1507</v>
      </c>
      <c r="J288" s="27" t="str">
        <f t="shared" si="4"/>
        <v>11-Jul-2025</v>
      </c>
      <c r="K288" s="54" t="s">
        <v>1508</v>
      </c>
      <c r="L288" s="27" t="str">
        <f t="shared" si="5"/>
        <v>04-Jun-2024</v>
      </c>
      <c r="M288" s="23" t="s">
        <v>15</v>
      </c>
      <c r="N288" s="23" t="s">
        <v>177</v>
      </c>
      <c r="O288" s="24"/>
      <c r="P288" s="54">
        <v>0.0</v>
      </c>
      <c r="Q288" s="58" t="s">
        <v>1509</v>
      </c>
      <c r="R288" s="27" t="str">
        <f>IFERROR(__xludf.DUMMYFUNCTION("IF(REGEXMATCH(N288, ""PRIORITY: Low""), ""Low"", IF(REGEXMATCH(N288, ""PRIORITY: Medium""), ""Medium"", IF(REGEXMATCH(N288, ""PRIORITY: High""), ""High"", """")))
"),"")</f>
        <v/>
      </c>
      <c r="S288" s="27" t="str">
        <f>IFERROR(__xludf.DUMMYFUNCTION("IF(REGEXMATCH(N288, ""SKILL: Low""), ""Low"", IF(REGEXMATCH(N288, ""SKILL: Medium""), ""Medium"", IF(REGEXMATCH(N288, ""SKILL: High""), ""High"", """")))"),"")</f>
        <v/>
      </c>
      <c r="T288" s="27" t="str">
        <f>IFERROR(__xludf.DUMMYFUNCTION("IF(REGEXMATCH(N288, ""STATUS: Dev Complete - Awaiting QA""), ""Dev Complete - Awaiting QA"", IF(REGEXMATCH(N288, ""STATUS: Follow-Up Required""), ""Follow-Up Required"", IF(REGEXMATCH(N288, ""STATUS: In Progress""), ""In Progress"", IF(REGEXMATCH(N288, """&amp;"STATUS: In QA""), ""In QA"", IF(REGEXMATCH(N288, ""STATUS: Needs Customer Feedback""), ""Needs Customer Feedback"", IF(REGEXMATCH(N288, ""STATUS: QA Passed - Awaiting Release""), ""QA Passed - Awaiting Release"", IF(REGEXMATCH(N288, ""STATUS: Release to P"&amp;"rod""), ""Release to Prod"", """")))))))"),"")</f>
        <v/>
      </c>
    </row>
    <row r="289" hidden="1">
      <c r="A289" s="23" t="s">
        <v>82</v>
      </c>
      <c r="B289" s="12" t="s">
        <v>267</v>
      </c>
      <c r="C289" s="54">
        <v>23.0</v>
      </c>
      <c r="D289" s="55" t="s">
        <v>1510</v>
      </c>
      <c r="E289" s="56" t="s">
        <v>173</v>
      </c>
      <c r="F289" s="54" t="s">
        <v>1511</v>
      </c>
      <c r="G289" s="57" t="str">
        <f t="shared" si="1"/>
        <v>04-Jun-2024</v>
      </c>
      <c r="H289" s="54" t="s">
        <v>254</v>
      </c>
      <c r="I289" s="54" t="s">
        <v>1507</v>
      </c>
      <c r="J289" s="27" t="str">
        <f t="shared" si="4"/>
        <v>11-Jul-2025</v>
      </c>
      <c r="K289" s="54" t="s">
        <v>1512</v>
      </c>
      <c r="L289" s="27" t="str">
        <f t="shared" si="5"/>
        <v>12-Jun-2024</v>
      </c>
      <c r="M289" s="23" t="s">
        <v>15</v>
      </c>
      <c r="N289" s="23" t="s">
        <v>177</v>
      </c>
      <c r="O289" s="23" t="s">
        <v>136</v>
      </c>
      <c r="P289" s="54">
        <v>3.0</v>
      </c>
      <c r="Q289" s="58" t="s">
        <v>1513</v>
      </c>
      <c r="R289" s="27" t="str">
        <f>IFERROR(__xludf.DUMMYFUNCTION("IF(REGEXMATCH(N289, ""PRIORITY: Low""), ""Low"", IF(REGEXMATCH(N289, ""PRIORITY: Medium""), ""Medium"", IF(REGEXMATCH(N289, ""PRIORITY: High""), ""High"", """")))
"),"")</f>
        <v/>
      </c>
      <c r="S289" s="27" t="str">
        <f>IFERROR(__xludf.DUMMYFUNCTION("IF(REGEXMATCH(N289, ""SKILL: Low""), ""Low"", IF(REGEXMATCH(N289, ""SKILL: Medium""), ""Medium"", IF(REGEXMATCH(N289, ""SKILL: High""), ""High"", """")))"),"")</f>
        <v/>
      </c>
      <c r="T289" s="27" t="str">
        <f>IFERROR(__xludf.DUMMYFUNCTION("IF(REGEXMATCH(N289, ""STATUS: Dev Complete - Awaiting QA""), ""Dev Complete - Awaiting QA"", IF(REGEXMATCH(N289, ""STATUS: Follow-Up Required""), ""Follow-Up Required"", IF(REGEXMATCH(N289, ""STATUS: In Progress""), ""In Progress"", IF(REGEXMATCH(N289, """&amp;"STATUS: In QA""), ""In QA"", IF(REGEXMATCH(N289, ""STATUS: Needs Customer Feedback""), ""Needs Customer Feedback"", IF(REGEXMATCH(N289, ""STATUS: QA Passed - Awaiting Release""), ""QA Passed - Awaiting Release"", IF(REGEXMATCH(N289, ""STATUS: Release to P"&amp;"rod""), ""Release to Prod"", """")))))))"),"")</f>
        <v/>
      </c>
    </row>
    <row r="290" hidden="1">
      <c r="A290" s="23" t="s">
        <v>82</v>
      </c>
      <c r="B290" s="12" t="s">
        <v>267</v>
      </c>
      <c r="C290" s="54">
        <v>22.0</v>
      </c>
      <c r="D290" s="55" t="s">
        <v>1514</v>
      </c>
      <c r="E290" s="56" t="s">
        <v>173</v>
      </c>
      <c r="F290" s="54" t="s">
        <v>1515</v>
      </c>
      <c r="G290" s="57" t="str">
        <f t="shared" si="1"/>
        <v>04-Jun-2024</v>
      </c>
      <c r="H290" s="54" t="s">
        <v>254</v>
      </c>
      <c r="I290" s="54" t="s">
        <v>1516</v>
      </c>
      <c r="J290" s="27" t="str">
        <f t="shared" si="4"/>
        <v>11-Jul-2025</v>
      </c>
      <c r="K290" s="54" t="s">
        <v>1517</v>
      </c>
      <c r="L290" s="27" t="str">
        <f t="shared" si="5"/>
        <v>12-Jun-2024</v>
      </c>
      <c r="M290" s="23" t="s">
        <v>15</v>
      </c>
      <c r="N290" s="23" t="s">
        <v>177</v>
      </c>
      <c r="O290" s="24"/>
      <c r="P290" s="54">
        <v>0.0</v>
      </c>
      <c r="Q290" s="58" t="s">
        <v>1518</v>
      </c>
      <c r="R290" s="27" t="str">
        <f>IFERROR(__xludf.DUMMYFUNCTION("IF(REGEXMATCH(N290, ""PRIORITY: Low""), ""Low"", IF(REGEXMATCH(N290, ""PRIORITY: Medium""), ""Medium"", IF(REGEXMATCH(N290, ""PRIORITY: High""), ""High"", """")))
"),"")</f>
        <v/>
      </c>
      <c r="S290" s="27" t="str">
        <f>IFERROR(__xludf.DUMMYFUNCTION("IF(REGEXMATCH(N290, ""SKILL: Low""), ""Low"", IF(REGEXMATCH(N290, ""SKILL: Medium""), ""Medium"", IF(REGEXMATCH(N290, ""SKILL: High""), ""High"", """")))"),"")</f>
        <v/>
      </c>
      <c r="T290" s="27" t="str">
        <f>IFERROR(__xludf.DUMMYFUNCTION("IF(REGEXMATCH(N290, ""STATUS: Dev Complete - Awaiting QA""), ""Dev Complete - Awaiting QA"", IF(REGEXMATCH(N290, ""STATUS: Follow-Up Required""), ""Follow-Up Required"", IF(REGEXMATCH(N290, ""STATUS: In Progress""), ""In Progress"", IF(REGEXMATCH(N290, """&amp;"STATUS: In QA""), ""In QA"", IF(REGEXMATCH(N290, ""STATUS: Needs Customer Feedback""), ""Needs Customer Feedback"", IF(REGEXMATCH(N290, ""STATUS: QA Passed - Awaiting Release""), ""QA Passed - Awaiting Release"", IF(REGEXMATCH(N290, ""STATUS: Release to P"&amp;"rod""), ""Release to Prod"", """")))))))"),"")</f>
        <v/>
      </c>
    </row>
    <row r="291" hidden="1">
      <c r="A291" s="23" t="s">
        <v>82</v>
      </c>
      <c r="B291" s="12" t="s">
        <v>267</v>
      </c>
      <c r="C291" s="54">
        <v>19.0</v>
      </c>
      <c r="D291" s="55" t="s">
        <v>1519</v>
      </c>
      <c r="E291" s="56" t="s">
        <v>173</v>
      </c>
      <c r="F291" s="54" t="s">
        <v>1520</v>
      </c>
      <c r="G291" s="57" t="str">
        <f t="shared" si="1"/>
        <v>04-Jun-2024</v>
      </c>
      <c r="H291" s="54" t="s">
        <v>37</v>
      </c>
      <c r="I291" s="54" t="s">
        <v>1521</v>
      </c>
      <c r="J291" s="27" t="str">
        <f t="shared" si="4"/>
        <v>11-Jul-2025</v>
      </c>
      <c r="K291" s="54" t="s">
        <v>1522</v>
      </c>
      <c r="L291" s="27" t="str">
        <f t="shared" si="5"/>
        <v>04-Jun-2024</v>
      </c>
      <c r="M291" s="23" t="s">
        <v>15</v>
      </c>
      <c r="N291" s="23" t="s">
        <v>177</v>
      </c>
      <c r="O291" s="23" t="s">
        <v>37</v>
      </c>
      <c r="P291" s="54">
        <v>1.0</v>
      </c>
      <c r="Q291" s="58" t="s">
        <v>1523</v>
      </c>
      <c r="R291" s="27" t="str">
        <f>IFERROR(__xludf.DUMMYFUNCTION("IF(REGEXMATCH(N291, ""PRIORITY: Low""), ""Low"", IF(REGEXMATCH(N291, ""PRIORITY: Medium""), ""Medium"", IF(REGEXMATCH(N291, ""PRIORITY: High""), ""High"", """")))
"),"")</f>
        <v/>
      </c>
      <c r="S291" s="27" t="str">
        <f>IFERROR(__xludf.DUMMYFUNCTION("IF(REGEXMATCH(N291, ""SKILL: Low""), ""Low"", IF(REGEXMATCH(N291, ""SKILL: Medium""), ""Medium"", IF(REGEXMATCH(N291, ""SKILL: High""), ""High"", """")))"),"")</f>
        <v/>
      </c>
      <c r="T291" s="27" t="str">
        <f>IFERROR(__xludf.DUMMYFUNCTION("IF(REGEXMATCH(N291, ""STATUS: Dev Complete - Awaiting QA""), ""Dev Complete - Awaiting QA"", IF(REGEXMATCH(N291, ""STATUS: Follow-Up Required""), ""Follow-Up Required"", IF(REGEXMATCH(N291, ""STATUS: In Progress""), ""In Progress"", IF(REGEXMATCH(N291, """&amp;"STATUS: In QA""), ""In QA"", IF(REGEXMATCH(N291, ""STATUS: Needs Customer Feedback""), ""Needs Customer Feedback"", IF(REGEXMATCH(N291, ""STATUS: QA Passed - Awaiting Release""), ""QA Passed - Awaiting Release"", IF(REGEXMATCH(N291, ""STATUS: Release to P"&amp;"rod""), ""Release to Prod"", """")))))))"),"")</f>
        <v/>
      </c>
    </row>
    <row r="292" hidden="1">
      <c r="A292" s="23" t="s">
        <v>82</v>
      </c>
      <c r="B292" s="12" t="s">
        <v>267</v>
      </c>
      <c r="C292" s="54">
        <v>18.0</v>
      </c>
      <c r="D292" s="55" t="s">
        <v>1524</v>
      </c>
      <c r="E292" s="56" t="s">
        <v>173</v>
      </c>
      <c r="F292" s="54" t="s">
        <v>1525</v>
      </c>
      <c r="G292" s="57" t="str">
        <f t="shared" si="1"/>
        <v>04-Jun-2024</v>
      </c>
      <c r="H292" s="54" t="s">
        <v>37</v>
      </c>
      <c r="I292" s="54" t="s">
        <v>1526</v>
      </c>
      <c r="J292" s="27" t="str">
        <f t="shared" si="4"/>
        <v>11-Jul-2025</v>
      </c>
      <c r="K292" s="54" t="s">
        <v>1527</v>
      </c>
      <c r="L292" s="27" t="str">
        <f t="shared" si="5"/>
        <v>04-Jun-2024</v>
      </c>
      <c r="M292" s="23" t="s">
        <v>15</v>
      </c>
      <c r="N292" s="23" t="s">
        <v>177</v>
      </c>
      <c r="O292" s="23" t="s">
        <v>37</v>
      </c>
      <c r="P292" s="54">
        <v>1.0</v>
      </c>
      <c r="Q292" s="58" t="s">
        <v>1528</v>
      </c>
      <c r="R292" s="27" t="str">
        <f>IFERROR(__xludf.DUMMYFUNCTION("IF(REGEXMATCH(N292, ""PRIORITY: Low""), ""Low"", IF(REGEXMATCH(N292, ""PRIORITY: Medium""), ""Medium"", IF(REGEXMATCH(N292, ""PRIORITY: High""), ""High"", """")))
"),"")</f>
        <v/>
      </c>
      <c r="S292" s="27" t="str">
        <f>IFERROR(__xludf.DUMMYFUNCTION("IF(REGEXMATCH(N292, ""SKILL: Low""), ""Low"", IF(REGEXMATCH(N292, ""SKILL: Medium""), ""Medium"", IF(REGEXMATCH(N292, ""SKILL: High""), ""High"", """")))"),"")</f>
        <v/>
      </c>
      <c r="T292" s="27" t="str">
        <f>IFERROR(__xludf.DUMMYFUNCTION("IF(REGEXMATCH(N292, ""STATUS: Dev Complete - Awaiting QA""), ""Dev Complete - Awaiting QA"", IF(REGEXMATCH(N292, ""STATUS: Follow-Up Required""), ""Follow-Up Required"", IF(REGEXMATCH(N292, ""STATUS: In Progress""), ""In Progress"", IF(REGEXMATCH(N292, """&amp;"STATUS: In QA""), ""In QA"", IF(REGEXMATCH(N292, ""STATUS: Needs Customer Feedback""), ""Needs Customer Feedback"", IF(REGEXMATCH(N292, ""STATUS: QA Passed - Awaiting Release""), ""QA Passed - Awaiting Release"", IF(REGEXMATCH(N292, ""STATUS: Release to P"&amp;"rod""), ""Release to Prod"", """")))))))"),"")</f>
        <v/>
      </c>
    </row>
    <row r="293" hidden="1">
      <c r="A293" s="23" t="s">
        <v>82</v>
      </c>
      <c r="B293" s="12" t="s">
        <v>267</v>
      </c>
      <c r="C293" s="54">
        <v>16.0</v>
      </c>
      <c r="D293" s="55" t="s">
        <v>1529</v>
      </c>
      <c r="E293" s="56" t="s">
        <v>173</v>
      </c>
      <c r="F293" s="54" t="s">
        <v>1530</v>
      </c>
      <c r="G293" s="57" t="str">
        <f t="shared" si="1"/>
        <v>03-Jun-2024</v>
      </c>
      <c r="H293" s="54" t="s">
        <v>37</v>
      </c>
      <c r="I293" s="54" t="s">
        <v>1531</v>
      </c>
      <c r="J293" s="27" t="str">
        <f t="shared" si="4"/>
        <v>11-Jul-2025</v>
      </c>
      <c r="K293" s="54" t="s">
        <v>1532</v>
      </c>
      <c r="L293" s="27" t="str">
        <f t="shared" si="5"/>
        <v>05-Jun-2024</v>
      </c>
      <c r="M293" s="23" t="s">
        <v>15</v>
      </c>
      <c r="N293" s="23" t="s">
        <v>177</v>
      </c>
      <c r="O293" s="23" t="s">
        <v>37</v>
      </c>
      <c r="P293" s="54">
        <v>1.0</v>
      </c>
      <c r="Q293" s="58" t="s">
        <v>1533</v>
      </c>
      <c r="R293" s="27" t="str">
        <f>IFERROR(__xludf.DUMMYFUNCTION("IF(REGEXMATCH(N293, ""PRIORITY: Low""), ""Low"", IF(REGEXMATCH(N293, ""PRIORITY: Medium""), ""Medium"", IF(REGEXMATCH(N293, ""PRIORITY: High""), ""High"", """")))
"),"")</f>
        <v/>
      </c>
      <c r="S293" s="27" t="str">
        <f>IFERROR(__xludf.DUMMYFUNCTION("IF(REGEXMATCH(N293, ""SKILL: Low""), ""Low"", IF(REGEXMATCH(N293, ""SKILL: Medium""), ""Medium"", IF(REGEXMATCH(N293, ""SKILL: High""), ""High"", """")))"),"")</f>
        <v/>
      </c>
      <c r="T293" s="27" t="str">
        <f>IFERROR(__xludf.DUMMYFUNCTION("IF(REGEXMATCH(N293, ""STATUS: Dev Complete - Awaiting QA""), ""Dev Complete - Awaiting QA"", IF(REGEXMATCH(N293, ""STATUS: Follow-Up Required""), ""Follow-Up Required"", IF(REGEXMATCH(N293, ""STATUS: In Progress""), ""In Progress"", IF(REGEXMATCH(N293, """&amp;"STATUS: In QA""), ""In QA"", IF(REGEXMATCH(N293, ""STATUS: Needs Customer Feedback""), ""Needs Customer Feedback"", IF(REGEXMATCH(N293, ""STATUS: QA Passed - Awaiting Release""), ""QA Passed - Awaiting Release"", IF(REGEXMATCH(N293, ""STATUS: Release to P"&amp;"rod""), ""Release to Prod"", """")))))))"),"")</f>
        <v/>
      </c>
    </row>
    <row r="294" hidden="1">
      <c r="A294" s="23" t="s">
        <v>82</v>
      </c>
      <c r="B294" s="12" t="s">
        <v>267</v>
      </c>
      <c r="C294" s="54">
        <v>15.0</v>
      </c>
      <c r="D294" s="55" t="s">
        <v>1534</v>
      </c>
      <c r="E294" s="56" t="s">
        <v>173</v>
      </c>
      <c r="F294" s="54" t="s">
        <v>1535</v>
      </c>
      <c r="G294" s="57" t="str">
        <f t="shared" si="1"/>
        <v>03-Jun-2024</v>
      </c>
      <c r="H294" s="54" t="s">
        <v>37</v>
      </c>
      <c r="I294" s="54" t="s">
        <v>1531</v>
      </c>
      <c r="J294" s="27" t="str">
        <f t="shared" si="4"/>
        <v>11-Jul-2025</v>
      </c>
      <c r="K294" s="54" t="s">
        <v>1536</v>
      </c>
      <c r="L294" s="27" t="str">
        <f t="shared" si="5"/>
        <v>04-Jun-2024</v>
      </c>
      <c r="M294" s="23" t="s">
        <v>15</v>
      </c>
      <c r="N294" s="23" t="s">
        <v>177</v>
      </c>
      <c r="O294" s="23" t="s">
        <v>37</v>
      </c>
      <c r="P294" s="54">
        <v>1.0</v>
      </c>
      <c r="Q294" s="58" t="s">
        <v>1537</v>
      </c>
      <c r="R294" s="27" t="str">
        <f>IFERROR(__xludf.DUMMYFUNCTION("IF(REGEXMATCH(N294, ""PRIORITY: Low""), ""Low"", IF(REGEXMATCH(N294, ""PRIORITY: Medium""), ""Medium"", IF(REGEXMATCH(N294, ""PRIORITY: High""), ""High"", """")))
"),"")</f>
        <v/>
      </c>
      <c r="S294" s="27" t="str">
        <f>IFERROR(__xludf.DUMMYFUNCTION("IF(REGEXMATCH(N294, ""SKILL: Low""), ""Low"", IF(REGEXMATCH(N294, ""SKILL: Medium""), ""Medium"", IF(REGEXMATCH(N294, ""SKILL: High""), ""High"", """")))"),"")</f>
        <v/>
      </c>
      <c r="T294" s="27" t="str">
        <f>IFERROR(__xludf.DUMMYFUNCTION("IF(REGEXMATCH(N294, ""STATUS: Dev Complete - Awaiting QA""), ""Dev Complete - Awaiting QA"", IF(REGEXMATCH(N294, ""STATUS: Follow-Up Required""), ""Follow-Up Required"", IF(REGEXMATCH(N294, ""STATUS: In Progress""), ""In Progress"", IF(REGEXMATCH(N294, """&amp;"STATUS: In QA""), ""In QA"", IF(REGEXMATCH(N294, ""STATUS: Needs Customer Feedback""), ""Needs Customer Feedback"", IF(REGEXMATCH(N294, ""STATUS: QA Passed - Awaiting Release""), ""QA Passed - Awaiting Release"", IF(REGEXMATCH(N294, ""STATUS: Release to P"&amp;"rod""), ""Release to Prod"", """")))))))"),"")</f>
        <v/>
      </c>
    </row>
    <row r="295" hidden="1">
      <c r="A295" s="23" t="s">
        <v>82</v>
      </c>
      <c r="B295" s="12" t="s">
        <v>267</v>
      </c>
      <c r="C295" s="54">
        <v>14.0</v>
      </c>
      <c r="D295" s="55" t="s">
        <v>1538</v>
      </c>
      <c r="E295" s="56" t="s">
        <v>173</v>
      </c>
      <c r="F295" s="54" t="s">
        <v>1539</v>
      </c>
      <c r="G295" s="57" t="str">
        <f t="shared" si="1"/>
        <v>03-Jun-2024</v>
      </c>
      <c r="H295" s="54" t="s">
        <v>254</v>
      </c>
      <c r="I295" s="54" t="s">
        <v>1540</v>
      </c>
      <c r="J295" s="27" t="str">
        <f t="shared" si="4"/>
        <v>11-Jul-2025</v>
      </c>
      <c r="K295" s="54" t="s">
        <v>1541</v>
      </c>
      <c r="L295" s="27" t="str">
        <f t="shared" si="5"/>
        <v>03-Jul-2024</v>
      </c>
      <c r="M295" s="23" t="s">
        <v>15</v>
      </c>
      <c r="N295" s="23" t="s">
        <v>177</v>
      </c>
      <c r="O295" s="24"/>
      <c r="P295" s="54">
        <v>0.0</v>
      </c>
      <c r="Q295" s="58" t="s">
        <v>1542</v>
      </c>
      <c r="R295" s="27" t="str">
        <f>IFERROR(__xludf.DUMMYFUNCTION("IF(REGEXMATCH(N295, ""PRIORITY: Low""), ""Low"", IF(REGEXMATCH(N295, ""PRIORITY: Medium""), ""Medium"", IF(REGEXMATCH(N295, ""PRIORITY: High""), ""High"", """")))
"),"")</f>
        <v/>
      </c>
      <c r="S295" s="27" t="str">
        <f>IFERROR(__xludf.DUMMYFUNCTION("IF(REGEXMATCH(N295, ""SKILL: Low""), ""Low"", IF(REGEXMATCH(N295, ""SKILL: Medium""), ""Medium"", IF(REGEXMATCH(N295, ""SKILL: High""), ""High"", """")))"),"")</f>
        <v/>
      </c>
      <c r="T295" s="27" t="str">
        <f>IFERROR(__xludf.DUMMYFUNCTION("IF(REGEXMATCH(N295, ""STATUS: Dev Complete - Awaiting QA""), ""Dev Complete - Awaiting QA"", IF(REGEXMATCH(N295, ""STATUS: Follow-Up Required""), ""Follow-Up Required"", IF(REGEXMATCH(N295, ""STATUS: In Progress""), ""In Progress"", IF(REGEXMATCH(N295, """&amp;"STATUS: In QA""), ""In QA"", IF(REGEXMATCH(N295, ""STATUS: Needs Customer Feedback""), ""Needs Customer Feedback"", IF(REGEXMATCH(N295, ""STATUS: QA Passed - Awaiting Release""), ""QA Passed - Awaiting Release"", IF(REGEXMATCH(N295, ""STATUS: Release to P"&amp;"rod""), ""Release to Prod"", """")))))))"),"")</f>
        <v/>
      </c>
    </row>
    <row r="296" hidden="1">
      <c r="A296" s="23" t="s">
        <v>82</v>
      </c>
      <c r="B296" s="12" t="s">
        <v>267</v>
      </c>
      <c r="C296" s="54">
        <v>13.0</v>
      </c>
      <c r="D296" s="55" t="s">
        <v>1543</v>
      </c>
      <c r="E296" s="56" t="s">
        <v>173</v>
      </c>
      <c r="F296" s="54" t="s">
        <v>1544</v>
      </c>
      <c r="G296" s="57" t="str">
        <f t="shared" si="1"/>
        <v>02-Jun-2024</v>
      </c>
      <c r="H296" s="54" t="s">
        <v>136</v>
      </c>
      <c r="I296" s="54" t="s">
        <v>1545</v>
      </c>
      <c r="J296" s="27" t="str">
        <f t="shared" si="4"/>
        <v>11-Jul-2025</v>
      </c>
      <c r="K296" s="54" t="s">
        <v>1546</v>
      </c>
      <c r="L296" s="27" t="str">
        <f t="shared" si="5"/>
        <v>03-Jun-2024</v>
      </c>
      <c r="M296" s="23" t="s">
        <v>15</v>
      </c>
      <c r="N296" s="23" t="s">
        <v>177</v>
      </c>
      <c r="O296" s="23" t="s">
        <v>37</v>
      </c>
      <c r="P296" s="54">
        <v>0.0</v>
      </c>
      <c r="Q296" s="58" t="s">
        <v>1547</v>
      </c>
      <c r="R296" s="27" t="str">
        <f>IFERROR(__xludf.DUMMYFUNCTION("IF(REGEXMATCH(N296, ""PRIORITY: Low""), ""Low"", IF(REGEXMATCH(N296, ""PRIORITY: Medium""), ""Medium"", IF(REGEXMATCH(N296, ""PRIORITY: High""), ""High"", """")))
"),"")</f>
        <v/>
      </c>
      <c r="S296" s="27" t="str">
        <f>IFERROR(__xludf.DUMMYFUNCTION("IF(REGEXMATCH(N296, ""SKILL: Low""), ""Low"", IF(REGEXMATCH(N296, ""SKILL: Medium""), ""Medium"", IF(REGEXMATCH(N296, ""SKILL: High""), ""High"", """")))"),"")</f>
        <v/>
      </c>
      <c r="T296" s="27" t="str">
        <f>IFERROR(__xludf.DUMMYFUNCTION("IF(REGEXMATCH(N296, ""STATUS: Dev Complete - Awaiting QA""), ""Dev Complete - Awaiting QA"", IF(REGEXMATCH(N296, ""STATUS: Follow-Up Required""), ""Follow-Up Required"", IF(REGEXMATCH(N296, ""STATUS: In Progress""), ""In Progress"", IF(REGEXMATCH(N296, """&amp;"STATUS: In QA""), ""In QA"", IF(REGEXMATCH(N296, ""STATUS: Needs Customer Feedback""), ""Needs Customer Feedback"", IF(REGEXMATCH(N296, ""STATUS: QA Passed - Awaiting Release""), ""QA Passed - Awaiting Release"", IF(REGEXMATCH(N296, ""STATUS: Release to P"&amp;"rod""), ""Release to Prod"", """")))))))"),"")</f>
        <v/>
      </c>
    </row>
    <row r="297" hidden="1">
      <c r="A297" s="23" t="s">
        <v>82</v>
      </c>
      <c r="B297" s="12" t="s">
        <v>267</v>
      </c>
      <c r="C297" s="54">
        <v>12.0</v>
      </c>
      <c r="D297" s="55" t="s">
        <v>1548</v>
      </c>
      <c r="E297" s="56" t="s">
        <v>173</v>
      </c>
      <c r="F297" s="54" t="s">
        <v>1549</v>
      </c>
      <c r="G297" s="57" t="str">
        <f t="shared" si="1"/>
        <v>02-Jun-2024</v>
      </c>
      <c r="H297" s="54" t="s">
        <v>136</v>
      </c>
      <c r="I297" s="54" t="s">
        <v>1545</v>
      </c>
      <c r="J297" s="27" t="str">
        <f t="shared" si="4"/>
        <v>11-Jul-2025</v>
      </c>
      <c r="K297" s="54" t="s">
        <v>1550</v>
      </c>
      <c r="L297" s="27" t="str">
        <f t="shared" si="5"/>
        <v>24-Jun-2024</v>
      </c>
      <c r="M297" s="23" t="s">
        <v>15</v>
      </c>
      <c r="N297" s="23" t="s">
        <v>177</v>
      </c>
      <c r="O297" s="24"/>
      <c r="P297" s="54">
        <v>0.0</v>
      </c>
      <c r="Q297" s="58" t="s">
        <v>1551</v>
      </c>
      <c r="R297" s="27" t="str">
        <f>IFERROR(__xludf.DUMMYFUNCTION("IF(REGEXMATCH(N297, ""PRIORITY: Low""), ""Low"", IF(REGEXMATCH(N297, ""PRIORITY: Medium""), ""Medium"", IF(REGEXMATCH(N297, ""PRIORITY: High""), ""High"", """")))
"),"")</f>
        <v/>
      </c>
      <c r="S297" s="27" t="str">
        <f>IFERROR(__xludf.DUMMYFUNCTION("IF(REGEXMATCH(N297, ""SKILL: Low""), ""Low"", IF(REGEXMATCH(N297, ""SKILL: Medium""), ""Medium"", IF(REGEXMATCH(N297, ""SKILL: High""), ""High"", """")))"),"")</f>
        <v/>
      </c>
      <c r="T297" s="27" t="str">
        <f>IFERROR(__xludf.DUMMYFUNCTION("IF(REGEXMATCH(N297, ""STATUS: Dev Complete - Awaiting QA""), ""Dev Complete - Awaiting QA"", IF(REGEXMATCH(N297, ""STATUS: Follow-Up Required""), ""Follow-Up Required"", IF(REGEXMATCH(N297, ""STATUS: In Progress""), ""In Progress"", IF(REGEXMATCH(N297, """&amp;"STATUS: In QA""), ""In QA"", IF(REGEXMATCH(N297, ""STATUS: Needs Customer Feedback""), ""Needs Customer Feedback"", IF(REGEXMATCH(N297, ""STATUS: QA Passed - Awaiting Release""), ""QA Passed - Awaiting Release"", IF(REGEXMATCH(N297, ""STATUS: Release to P"&amp;"rod""), ""Release to Prod"", """")))))))"),"")</f>
        <v/>
      </c>
    </row>
    <row r="298" hidden="1">
      <c r="A298" s="23" t="s">
        <v>82</v>
      </c>
      <c r="B298" s="12" t="s">
        <v>267</v>
      </c>
      <c r="C298" s="54">
        <v>11.0</v>
      </c>
      <c r="D298" s="55" t="s">
        <v>1552</v>
      </c>
      <c r="E298" s="56" t="s">
        <v>173</v>
      </c>
      <c r="F298" s="54" t="s">
        <v>1553</v>
      </c>
      <c r="G298" s="57" t="str">
        <f t="shared" si="1"/>
        <v>02-Jun-2024</v>
      </c>
      <c r="H298" s="54" t="s">
        <v>136</v>
      </c>
      <c r="I298" s="54" t="s">
        <v>1554</v>
      </c>
      <c r="J298" s="27" t="str">
        <f t="shared" si="4"/>
        <v>11-Jul-2025</v>
      </c>
      <c r="K298" s="54" t="s">
        <v>1555</v>
      </c>
      <c r="L298" s="27" t="str">
        <f t="shared" si="5"/>
        <v>23-Oct-2024</v>
      </c>
      <c r="M298" s="23" t="s">
        <v>15</v>
      </c>
      <c r="N298" s="23" t="s">
        <v>177</v>
      </c>
      <c r="O298" s="24"/>
      <c r="P298" s="54">
        <v>0.0</v>
      </c>
      <c r="Q298" s="58" t="s">
        <v>1556</v>
      </c>
      <c r="R298" s="27" t="str">
        <f>IFERROR(__xludf.DUMMYFUNCTION("IF(REGEXMATCH(N298, ""PRIORITY: Low""), ""Low"", IF(REGEXMATCH(N298, ""PRIORITY: Medium""), ""Medium"", IF(REGEXMATCH(N298, ""PRIORITY: High""), ""High"", """")))
"),"")</f>
        <v/>
      </c>
      <c r="S298" s="27" t="str">
        <f>IFERROR(__xludf.DUMMYFUNCTION("IF(REGEXMATCH(N298, ""SKILL: Low""), ""Low"", IF(REGEXMATCH(N298, ""SKILL: Medium""), ""Medium"", IF(REGEXMATCH(N298, ""SKILL: High""), ""High"", """")))"),"")</f>
        <v/>
      </c>
      <c r="T298" s="27" t="str">
        <f>IFERROR(__xludf.DUMMYFUNCTION("IF(REGEXMATCH(N298, ""STATUS: Dev Complete - Awaiting QA""), ""Dev Complete - Awaiting QA"", IF(REGEXMATCH(N298, ""STATUS: Follow-Up Required""), ""Follow-Up Required"", IF(REGEXMATCH(N298, ""STATUS: In Progress""), ""In Progress"", IF(REGEXMATCH(N298, """&amp;"STATUS: In QA""), ""In QA"", IF(REGEXMATCH(N298, ""STATUS: Needs Customer Feedback""), ""Needs Customer Feedback"", IF(REGEXMATCH(N298, ""STATUS: QA Passed - Awaiting Release""), ""QA Passed - Awaiting Release"", IF(REGEXMATCH(N298, ""STATUS: Release to P"&amp;"rod""), ""Release to Prod"", """")))))))"),"")</f>
        <v/>
      </c>
    </row>
    <row r="299" hidden="1">
      <c r="A299" s="23" t="s">
        <v>82</v>
      </c>
      <c r="B299" s="12" t="s">
        <v>267</v>
      </c>
      <c r="C299" s="54">
        <v>10.0</v>
      </c>
      <c r="D299" s="55" t="s">
        <v>1557</v>
      </c>
      <c r="E299" s="56" t="s">
        <v>173</v>
      </c>
      <c r="F299" s="54" t="s">
        <v>1558</v>
      </c>
      <c r="G299" s="57" t="str">
        <f t="shared" si="1"/>
        <v>02-Jun-2024</v>
      </c>
      <c r="H299" s="54" t="s">
        <v>136</v>
      </c>
      <c r="I299" s="54" t="s">
        <v>1559</v>
      </c>
      <c r="J299" s="27" t="str">
        <f t="shared" si="4"/>
        <v>11-Jul-2025</v>
      </c>
      <c r="K299" s="54" t="s">
        <v>1560</v>
      </c>
      <c r="L299" s="27" t="str">
        <f t="shared" si="5"/>
        <v>24-Jun-2024</v>
      </c>
      <c r="M299" s="23" t="s">
        <v>15</v>
      </c>
      <c r="N299" s="23" t="s">
        <v>177</v>
      </c>
      <c r="O299" s="24"/>
      <c r="P299" s="54">
        <v>0.0</v>
      </c>
      <c r="Q299" s="58" t="s">
        <v>1561</v>
      </c>
      <c r="R299" s="27" t="str">
        <f>IFERROR(__xludf.DUMMYFUNCTION("IF(REGEXMATCH(N299, ""PRIORITY: Low""), ""Low"", IF(REGEXMATCH(N299, ""PRIORITY: Medium""), ""Medium"", IF(REGEXMATCH(N299, ""PRIORITY: High""), ""High"", """")))
"),"")</f>
        <v/>
      </c>
      <c r="S299" s="27" t="str">
        <f>IFERROR(__xludf.DUMMYFUNCTION("IF(REGEXMATCH(N299, ""SKILL: Low""), ""Low"", IF(REGEXMATCH(N299, ""SKILL: Medium""), ""Medium"", IF(REGEXMATCH(N299, ""SKILL: High""), ""High"", """")))"),"")</f>
        <v/>
      </c>
      <c r="T299" s="27" t="str">
        <f>IFERROR(__xludf.DUMMYFUNCTION("IF(REGEXMATCH(N299, ""STATUS: Dev Complete - Awaiting QA""), ""Dev Complete - Awaiting QA"", IF(REGEXMATCH(N299, ""STATUS: Follow-Up Required""), ""Follow-Up Required"", IF(REGEXMATCH(N299, ""STATUS: In Progress""), ""In Progress"", IF(REGEXMATCH(N299, """&amp;"STATUS: In QA""), ""In QA"", IF(REGEXMATCH(N299, ""STATUS: Needs Customer Feedback""), ""Needs Customer Feedback"", IF(REGEXMATCH(N299, ""STATUS: QA Passed - Awaiting Release""), ""QA Passed - Awaiting Release"", IF(REGEXMATCH(N299, ""STATUS: Release to P"&amp;"rod""), ""Release to Prod"", """")))))))"),"")</f>
        <v/>
      </c>
    </row>
    <row r="300" hidden="1">
      <c r="A300" s="23" t="s">
        <v>82</v>
      </c>
      <c r="B300" s="12" t="s">
        <v>267</v>
      </c>
      <c r="C300" s="54">
        <v>9.0</v>
      </c>
      <c r="D300" s="55" t="s">
        <v>1562</v>
      </c>
      <c r="E300" s="56" t="s">
        <v>173</v>
      </c>
      <c r="F300" s="54" t="s">
        <v>1563</v>
      </c>
      <c r="G300" s="57" t="str">
        <f t="shared" si="1"/>
        <v>02-Jun-2024</v>
      </c>
      <c r="H300" s="54" t="s">
        <v>136</v>
      </c>
      <c r="I300" s="54" t="s">
        <v>1559</v>
      </c>
      <c r="J300" s="27" t="str">
        <f t="shared" si="4"/>
        <v>11-Jul-2025</v>
      </c>
      <c r="K300" s="54" t="s">
        <v>1564</v>
      </c>
      <c r="L300" s="27" t="str">
        <f t="shared" si="5"/>
        <v>24-Jun-2024</v>
      </c>
      <c r="M300" s="23" t="s">
        <v>15</v>
      </c>
      <c r="N300" s="23" t="s">
        <v>177</v>
      </c>
      <c r="O300" s="24"/>
      <c r="P300" s="54">
        <v>0.0</v>
      </c>
      <c r="Q300" s="58" t="s">
        <v>1565</v>
      </c>
      <c r="R300" s="27" t="str">
        <f>IFERROR(__xludf.DUMMYFUNCTION("IF(REGEXMATCH(N300, ""PRIORITY: Low""), ""Low"", IF(REGEXMATCH(N300, ""PRIORITY: Medium""), ""Medium"", IF(REGEXMATCH(N300, ""PRIORITY: High""), ""High"", """")))
"),"")</f>
        <v/>
      </c>
      <c r="S300" s="27" t="str">
        <f>IFERROR(__xludf.DUMMYFUNCTION("IF(REGEXMATCH(N300, ""SKILL: Low""), ""Low"", IF(REGEXMATCH(N300, ""SKILL: Medium""), ""Medium"", IF(REGEXMATCH(N300, ""SKILL: High""), ""High"", """")))"),"")</f>
        <v/>
      </c>
      <c r="T300" s="27" t="str">
        <f>IFERROR(__xludf.DUMMYFUNCTION("IF(REGEXMATCH(N300, ""STATUS: Dev Complete - Awaiting QA""), ""Dev Complete - Awaiting QA"", IF(REGEXMATCH(N300, ""STATUS: Follow-Up Required""), ""Follow-Up Required"", IF(REGEXMATCH(N300, ""STATUS: In Progress""), ""In Progress"", IF(REGEXMATCH(N300, """&amp;"STATUS: In QA""), ""In QA"", IF(REGEXMATCH(N300, ""STATUS: Needs Customer Feedback""), ""Needs Customer Feedback"", IF(REGEXMATCH(N300, ""STATUS: QA Passed - Awaiting Release""), ""QA Passed - Awaiting Release"", IF(REGEXMATCH(N300, ""STATUS: Release to P"&amp;"rod""), ""Release to Prod"", """")))))))"),"")</f>
        <v/>
      </c>
    </row>
    <row r="301" hidden="1">
      <c r="A301" s="23" t="s">
        <v>82</v>
      </c>
      <c r="B301" s="12" t="s">
        <v>267</v>
      </c>
      <c r="C301" s="54">
        <v>8.0</v>
      </c>
      <c r="D301" s="55" t="s">
        <v>1566</v>
      </c>
      <c r="E301" s="56" t="s">
        <v>173</v>
      </c>
      <c r="F301" s="54" t="s">
        <v>1567</v>
      </c>
      <c r="G301" s="57" t="str">
        <f t="shared" si="1"/>
        <v>02-Jun-2024</v>
      </c>
      <c r="H301" s="54" t="s">
        <v>136</v>
      </c>
      <c r="I301" s="54" t="s">
        <v>1568</v>
      </c>
      <c r="J301" s="27" t="str">
        <f t="shared" si="4"/>
        <v>11-Jul-2025</v>
      </c>
      <c r="K301" s="54" t="s">
        <v>1569</v>
      </c>
      <c r="L301" s="27" t="str">
        <f t="shared" si="5"/>
        <v>24-Jun-2024</v>
      </c>
      <c r="M301" s="23" t="s">
        <v>15</v>
      </c>
      <c r="N301" s="23" t="s">
        <v>177</v>
      </c>
      <c r="O301" s="24"/>
      <c r="P301" s="54">
        <v>0.0</v>
      </c>
      <c r="Q301" s="58" t="s">
        <v>1570</v>
      </c>
      <c r="R301" s="27" t="str">
        <f>IFERROR(__xludf.DUMMYFUNCTION("IF(REGEXMATCH(N301, ""PRIORITY: Low""), ""Low"", IF(REGEXMATCH(N301, ""PRIORITY: Medium""), ""Medium"", IF(REGEXMATCH(N301, ""PRIORITY: High""), ""High"", """")))
"),"")</f>
        <v/>
      </c>
      <c r="S301" s="27" t="str">
        <f>IFERROR(__xludf.DUMMYFUNCTION("IF(REGEXMATCH(N301, ""SKILL: Low""), ""Low"", IF(REGEXMATCH(N301, ""SKILL: Medium""), ""Medium"", IF(REGEXMATCH(N301, ""SKILL: High""), ""High"", """")))"),"")</f>
        <v/>
      </c>
      <c r="T301" s="27" t="str">
        <f>IFERROR(__xludf.DUMMYFUNCTION("IF(REGEXMATCH(N301, ""STATUS: Dev Complete - Awaiting QA""), ""Dev Complete - Awaiting QA"", IF(REGEXMATCH(N301, ""STATUS: Follow-Up Required""), ""Follow-Up Required"", IF(REGEXMATCH(N301, ""STATUS: In Progress""), ""In Progress"", IF(REGEXMATCH(N301, """&amp;"STATUS: In QA""), ""In QA"", IF(REGEXMATCH(N301, ""STATUS: Needs Customer Feedback""), ""Needs Customer Feedback"", IF(REGEXMATCH(N301, ""STATUS: QA Passed - Awaiting Release""), ""QA Passed - Awaiting Release"", IF(REGEXMATCH(N301, ""STATUS: Release to P"&amp;"rod""), ""Release to Prod"", """")))))))"),"")</f>
        <v/>
      </c>
    </row>
    <row r="302" hidden="1">
      <c r="A302" s="23" t="s">
        <v>82</v>
      </c>
      <c r="B302" s="12" t="s">
        <v>267</v>
      </c>
      <c r="C302" s="54">
        <v>7.0</v>
      </c>
      <c r="D302" s="55" t="s">
        <v>1571</v>
      </c>
      <c r="E302" s="56" t="s">
        <v>173</v>
      </c>
      <c r="F302" s="54" t="s">
        <v>1572</v>
      </c>
      <c r="G302" s="57" t="str">
        <f t="shared" si="1"/>
        <v>02-Jun-2024</v>
      </c>
      <c r="H302" s="54" t="s">
        <v>136</v>
      </c>
      <c r="I302" s="54" t="s">
        <v>1573</v>
      </c>
      <c r="J302" s="27" t="str">
        <f t="shared" si="4"/>
        <v>11-Jul-2025</v>
      </c>
      <c r="K302" s="54" t="s">
        <v>1574</v>
      </c>
      <c r="L302" s="27" t="str">
        <f t="shared" si="5"/>
        <v>24-Jun-2024</v>
      </c>
      <c r="M302" s="23" t="s">
        <v>15</v>
      </c>
      <c r="N302" s="23" t="s">
        <v>177</v>
      </c>
      <c r="O302" s="23" t="s">
        <v>37</v>
      </c>
      <c r="P302" s="54">
        <v>1.0</v>
      </c>
      <c r="Q302" s="58" t="s">
        <v>1575</v>
      </c>
      <c r="R302" s="27" t="str">
        <f>IFERROR(__xludf.DUMMYFUNCTION("IF(REGEXMATCH(N302, ""PRIORITY: Low""), ""Low"", IF(REGEXMATCH(N302, ""PRIORITY: Medium""), ""Medium"", IF(REGEXMATCH(N302, ""PRIORITY: High""), ""High"", """")))
"),"")</f>
        <v/>
      </c>
      <c r="S302" s="27" t="str">
        <f>IFERROR(__xludf.DUMMYFUNCTION("IF(REGEXMATCH(N302, ""SKILL: Low""), ""Low"", IF(REGEXMATCH(N302, ""SKILL: Medium""), ""Medium"", IF(REGEXMATCH(N302, ""SKILL: High""), ""High"", """")))"),"")</f>
        <v/>
      </c>
      <c r="T302" s="27" t="str">
        <f>IFERROR(__xludf.DUMMYFUNCTION("IF(REGEXMATCH(N302, ""STATUS: Dev Complete - Awaiting QA""), ""Dev Complete - Awaiting QA"", IF(REGEXMATCH(N302, ""STATUS: Follow-Up Required""), ""Follow-Up Required"", IF(REGEXMATCH(N302, ""STATUS: In Progress""), ""In Progress"", IF(REGEXMATCH(N302, """&amp;"STATUS: In QA""), ""In QA"", IF(REGEXMATCH(N302, ""STATUS: Needs Customer Feedback""), ""Needs Customer Feedback"", IF(REGEXMATCH(N302, ""STATUS: QA Passed - Awaiting Release""), ""QA Passed - Awaiting Release"", IF(REGEXMATCH(N302, ""STATUS: Release to P"&amp;"rod""), ""Release to Prod"", """")))))))"),"")</f>
        <v/>
      </c>
    </row>
    <row r="303" hidden="1">
      <c r="A303" s="23" t="s">
        <v>82</v>
      </c>
      <c r="B303" s="12" t="s">
        <v>267</v>
      </c>
      <c r="C303" s="54">
        <v>6.0</v>
      </c>
      <c r="D303" s="55" t="s">
        <v>1576</v>
      </c>
      <c r="E303" s="56" t="s">
        <v>173</v>
      </c>
      <c r="F303" s="54" t="s">
        <v>1577</v>
      </c>
      <c r="G303" s="57" t="str">
        <f t="shared" si="1"/>
        <v>02-Jun-2024</v>
      </c>
      <c r="H303" s="54" t="s">
        <v>136</v>
      </c>
      <c r="I303" s="54" t="s">
        <v>1573</v>
      </c>
      <c r="J303" s="27" t="str">
        <f t="shared" si="4"/>
        <v>11-Jul-2025</v>
      </c>
      <c r="K303" s="54" t="s">
        <v>1578</v>
      </c>
      <c r="L303" s="27" t="str">
        <f t="shared" si="5"/>
        <v>13-Jun-2024</v>
      </c>
      <c r="M303" s="23" t="s">
        <v>15</v>
      </c>
      <c r="N303" s="23" t="s">
        <v>177</v>
      </c>
      <c r="O303" s="24"/>
      <c r="P303" s="54">
        <v>0.0</v>
      </c>
      <c r="Q303" s="58" t="s">
        <v>1579</v>
      </c>
      <c r="R303" s="27" t="str">
        <f>IFERROR(__xludf.DUMMYFUNCTION("IF(REGEXMATCH(N303, ""PRIORITY: Low""), ""Low"", IF(REGEXMATCH(N303, ""PRIORITY: Medium""), ""Medium"", IF(REGEXMATCH(N303, ""PRIORITY: High""), ""High"", """")))
"),"")</f>
        <v/>
      </c>
      <c r="S303" s="27" t="str">
        <f>IFERROR(__xludf.DUMMYFUNCTION("IF(REGEXMATCH(N303, ""SKILL: Low""), ""Low"", IF(REGEXMATCH(N303, ""SKILL: Medium""), ""Medium"", IF(REGEXMATCH(N303, ""SKILL: High""), ""High"", """")))"),"")</f>
        <v/>
      </c>
      <c r="T303" s="27" t="str">
        <f>IFERROR(__xludf.DUMMYFUNCTION("IF(REGEXMATCH(N303, ""STATUS: Dev Complete - Awaiting QA""), ""Dev Complete - Awaiting QA"", IF(REGEXMATCH(N303, ""STATUS: Follow-Up Required""), ""Follow-Up Required"", IF(REGEXMATCH(N303, ""STATUS: In Progress""), ""In Progress"", IF(REGEXMATCH(N303, """&amp;"STATUS: In QA""), ""In QA"", IF(REGEXMATCH(N303, ""STATUS: Needs Customer Feedback""), ""Needs Customer Feedback"", IF(REGEXMATCH(N303, ""STATUS: QA Passed - Awaiting Release""), ""QA Passed - Awaiting Release"", IF(REGEXMATCH(N303, ""STATUS: Release to P"&amp;"rod""), ""Release to Prod"", """")))))))"),"")</f>
        <v/>
      </c>
    </row>
    <row r="304" hidden="1">
      <c r="A304" s="23" t="s">
        <v>82</v>
      </c>
      <c r="B304" s="12" t="s">
        <v>267</v>
      </c>
      <c r="C304" s="54">
        <v>5.0</v>
      </c>
      <c r="D304" s="55" t="s">
        <v>1580</v>
      </c>
      <c r="E304" s="56" t="s">
        <v>173</v>
      </c>
      <c r="F304" s="54" t="s">
        <v>1581</v>
      </c>
      <c r="G304" s="57" t="str">
        <f t="shared" si="1"/>
        <v>02-Jun-2024</v>
      </c>
      <c r="H304" s="54" t="s">
        <v>136</v>
      </c>
      <c r="I304" s="54" t="s">
        <v>1582</v>
      </c>
      <c r="J304" s="27" t="str">
        <f t="shared" si="4"/>
        <v>11-Jul-2025</v>
      </c>
      <c r="K304" s="54" t="s">
        <v>1583</v>
      </c>
      <c r="L304" s="27" t="str">
        <f t="shared" si="5"/>
        <v>20-Jun-2024</v>
      </c>
      <c r="M304" s="23" t="s">
        <v>15</v>
      </c>
      <c r="N304" s="23" t="s">
        <v>177</v>
      </c>
      <c r="O304" s="24"/>
      <c r="P304" s="54">
        <v>1.0</v>
      </c>
      <c r="Q304" s="58" t="s">
        <v>1584</v>
      </c>
      <c r="R304" s="27" t="str">
        <f>IFERROR(__xludf.DUMMYFUNCTION("IF(REGEXMATCH(N304, ""PRIORITY: Low""), ""Low"", IF(REGEXMATCH(N304, ""PRIORITY: Medium""), ""Medium"", IF(REGEXMATCH(N304, ""PRIORITY: High""), ""High"", """")))
"),"")</f>
        <v/>
      </c>
      <c r="S304" s="27" t="str">
        <f>IFERROR(__xludf.DUMMYFUNCTION("IF(REGEXMATCH(N304, ""SKILL: Low""), ""Low"", IF(REGEXMATCH(N304, ""SKILL: Medium""), ""Medium"", IF(REGEXMATCH(N304, ""SKILL: High""), ""High"", """")))"),"")</f>
        <v/>
      </c>
      <c r="T304" s="27" t="str">
        <f>IFERROR(__xludf.DUMMYFUNCTION("IF(REGEXMATCH(N304, ""STATUS: Dev Complete - Awaiting QA""), ""Dev Complete - Awaiting QA"", IF(REGEXMATCH(N304, ""STATUS: Follow-Up Required""), ""Follow-Up Required"", IF(REGEXMATCH(N304, ""STATUS: In Progress""), ""In Progress"", IF(REGEXMATCH(N304, """&amp;"STATUS: In QA""), ""In QA"", IF(REGEXMATCH(N304, ""STATUS: Needs Customer Feedback""), ""Needs Customer Feedback"", IF(REGEXMATCH(N304, ""STATUS: QA Passed - Awaiting Release""), ""QA Passed - Awaiting Release"", IF(REGEXMATCH(N304, ""STATUS: Release to P"&amp;"rod""), ""Release to Prod"", """")))))))"),"")</f>
        <v/>
      </c>
    </row>
    <row r="305" hidden="1">
      <c r="A305" s="23" t="s">
        <v>82</v>
      </c>
      <c r="B305" s="12" t="s">
        <v>267</v>
      </c>
      <c r="C305" s="54">
        <v>4.0</v>
      </c>
      <c r="D305" s="55" t="s">
        <v>1585</v>
      </c>
      <c r="E305" s="56" t="s">
        <v>173</v>
      </c>
      <c r="F305" s="54" t="s">
        <v>1586</v>
      </c>
      <c r="G305" s="57" t="str">
        <f t="shared" si="1"/>
        <v>02-Jun-2024</v>
      </c>
      <c r="H305" s="54" t="s">
        <v>136</v>
      </c>
      <c r="I305" s="54" t="s">
        <v>1587</v>
      </c>
      <c r="J305" s="27" t="str">
        <f t="shared" si="4"/>
        <v>11-Jul-2025</v>
      </c>
      <c r="K305" s="54" t="s">
        <v>1588</v>
      </c>
      <c r="L305" s="27" t="str">
        <f t="shared" si="5"/>
        <v>13-Jun-2024</v>
      </c>
      <c r="M305" s="23" t="s">
        <v>15</v>
      </c>
      <c r="N305" s="23" t="s">
        <v>177</v>
      </c>
      <c r="O305" s="24"/>
      <c r="P305" s="54">
        <v>0.0</v>
      </c>
      <c r="Q305" s="58" t="s">
        <v>1589</v>
      </c>
      <c r="R305" s="27" t="str">
        <f>IFERROR(__xludf.DUMMYFUNCTION("IF(REGEXMATCH(N305, ""PRIORITY: Low""), ""Low"", IF(REGEXMATCH(N305, ""PRIORITY: Medium""), ""Medium"", IF(REGEXMATCH(N305, ""PRIORITY: High""), ""High"", """")))
"),"")</f>
        <v/>
      </c>
      <c r="S305" s="27" t="str">
        <f>IFERROR(__xludf.DUMMYFUNCTION("IF(REGEXMATCH(N305, ""SKILL: Low""), ""Low"", IF(REGEXMATCH(N305, ""SKILL: Medium""), ""Medium"", IF(REGEXMATCH(N305, ""SKILL: High""), ""High"", """")))"),"")</f>
        <v/>
      </c>
      <c r="T305" s="27" t="str">
        <f>IFERROR(__xludf.DUMMYFUNCTION("IF(REGEXMATCH(N305, ""STATUS: Dev Complete - Awaiting QA""), ""Dev Complete - Awaiting QA"", IF(REGEXMATCH(N305, ""STATUS: Follow-Up Required""), ""Follow-Up Required"", IF(REGEXMATCH(N305, ""STATUS: In Progress""), ""In Progress"", IF(REGEXMATCH(N305, """&amp;"STATUS: In QA""), ""In QA"", IF(REGEXMATCH(N305, ""STATUS: Needs Customer Feedback""), ""Needs Customer Feedback"", IF(REGEXMATCH(N305, ""STATUS: QA Passed - Awaiting Release""), ""QA Passed - Awaiting Release"", IF(REGEXMATCH(N305, ""STATUS: Release to P"&amp;"rod""), ""Release to Prod"", """")))))))"),"")</f>
        <v/>
      </c>
    </row>
    <row r="306" hidden="1">
      <c r="A306" s="23" t="s">
        <v>64</v>
      </c>
      <c r="B306" s="12" t="s">
        <v>65</v>
      </c>
      <c r="C306" s="54">
        <v>143.0</v>
      </c>
      <c r="D306" s="55" t="s">
        <v>1590</v>
      </c>
      <c r="E306" s="56" t="s">
        <v>173</v>
      </c>
      <c r="F306" s="54" t="s">
        <v>1591</v>
      </c>
      <c r="G306" s="57" t="str">
        <f t="shared" si="1"/>
        <v>18-Feb-2025</v>
      </c>
      <c r="H306" s="54" t="s">
        <v>37</v>
      </c>
      <c r="I306" s="54" t="s">
        <v>1592</v>
      </c>
      <c r="J306" s="27" t="str">
        <f t="shared" si="4"/>
        <v>11-Jul-2025</v>
      </c>
      <c r="K306" s="54" t="s">
        <v>1593</v>
      </c>
      <c r="L306" s="27" t="str">
        <f t="shared" si="5"/>
        <v>20-May-2025</v>
      </c>
      <c r="M306" s="23" t="s">
        <v>15</v>
      </c>
      <c r="N306" s="23" t="s">
        <v>177</v>
      </c>
      <c r="O306" s="24"/>
      <c r="P306" s="54">
        <v>0.0</v>
      </c>
      <c r="Q306" s="58" t="s">
        <v>1594</v>
      </c>
      <c r="R306" s="27" t="str">
        <f>IFERROR(__xludf.DUMMYFUNCTION("IF(REGEXMATCH(N306, ""PRIORITY: Low""), ""Low"", IF(REGEXMATCH(N306, ""PRIORITY: Medium""), ""Medium"", IF(REGEXMATCH(N306, ""PRIORITY: High""), ""High"", """")))
"),"")</f>
        <v/>
      </c>
      <c r="S306" s="27" t="str">
        <f>IFERROR(__xludf.DUMMYFUNCTION("IF(REGEXMATCH(N306, ""SKILL: Low""), ""Low"", IF(REGEXMATCH(N306, ""SKILL: Medium""), ""Medium"", IF(REGEXMATCH(N306, ""SKILL: High""), ""High"", """")))"),"")</f>
        <v/>
      </c>
      <c r="T306" s="27" t="str">
        <f>IFERROR(__xludf.DUMMYFUNCTION("IF(REGEXMATCH(N306, ""STATUS: Dev Complete - Awaiting QA""), ""Dev Complete - Awaiting QA"", IF(REGEXMATCH(N306, ""STATUS: Follow-Up Required""), ""Follow-Up Required"", IF(REGEXMATCH(N306, ""STATUS: In Progress""), ""In Progress"", IF(REGEXMATCH(N306, """&amp;"STATUS: In QA""), ""In QA"", IF(REGEXMATCH(N306, ""STATUS: Needs Customer Feedback""), ""Needs Customer Feedback"", IF(REGEXMATCH(N306, ""STATUS: QA Passed - Awaiting Release""), ""QA Passed - Awaiting Release"", IF(REGEXMATCH(N306, ""STATUS: Release to P"&amp;"rod""), ""Release to Prod"", """")))))))"),"")</f>
        <v/>
      </c>
    </row>
    <row r="307">
      <c r="A307" s="23" t="s">
        <v>64</v>
      </c>
      <c r="B307" s="12" t="s">
        <v>65</v>
      </c>
      <c r="C307" s="54">
        <v>142.0</v>
      </c>
      <c r="D307" s="55" t="s">
        <v>1595</v>
      </c>
      <c r="E307" s="56" t="s">
        <v>246</v>
      </c>
      <c r="F307" s="54" t="s">
        <v>1596</v>
      </c>
      <c r="G307" s="57" t="str">
        <f t="shared" si="1"/>
        <v>10-Feb-2025</v>
      </c>
      <c r="H307" s="54" t="s">
        <v>136</v>
      </c>
      <c r="I307" s="54" t="s">
        <v>1597</v>
      </c>
      <c r="J307" s="27" t="str">
        <f t="shared" si="4"/>
        <v>16-Jul-2025</v>
      </c>
      <c r="K307" s="59"/>
      <c r="L307" s="27" t="str">
        <f t="shared" si="5"/>
        <v/>
      </c>
      <c r="M307" s="23" t="s">
        <v>249</v>
      </c>
      <c r="N307" s="23" t="s">
        <v>250</v>
      </c>
      <c r="O307" s="24"/>
      <c r="P307" s="54">
        <v>0.0</v>
      </c>
      <c r="Q307" s="58" t="s">
        <v>1598</v>
      </c>
      <c r="R307" s="27" t="str">
        <f>IFERROR(__xludf.DUMMYFUNCTION("IF(REGEXMATCH(N307, ""PRIORITY: Low""), ""Low"", IF(REGEXMATCH(N307, ""PRIORITY: Medium""), ""Medium"", IF(REGEXMATCH(N307, ""PRIORITY: High""), ""High"", """")))
"),"Low")</f>
        <v>Low</v>
      </c>
      <c r="S307" s="27" t="str">
        <f>IFERROR(__xludf.DUMMYFUNCTION("IF(REGEXMATCH(N307, ""SKILL: Low""), ""Low"", IF(REGEXMATCH(N307, ""SKILL: Medium""), ""Medium"", IF(REGEXMATCH(N307, ""SKILL: High""), ""High"", """")))"),"Low")</f>
        <v>Low</v>
      </c>
      <c r="T307" s="27" t="str">
        <f>IFERROR(__xludf.DUMMYFUNCTION("IF(REGEXMATCH(N307, ""STATUS: Dev Complete - Awaiting QA""), ""Dev Complete - Awaiting QA"", IF(REGEXMATCH(N307, ""STATUS: Follow-Up Required""), ""Follow-Up Required"", IF(REGEXMATCH(N307, ""STATUS: In Progress""), ""In Progress"", IF(REGEXMATCH(N307, """&amp;"STATUS: In QA""), ""In QA"", IF(REGEXMATCH(N307, ""STATUS: Needs Customer Feedback""), ""Needs Customer Feedback"", IF(REGEXMATCH(N307, ""STATUS: QA Passed - Awaiting Release""), ""QA Passed - Awaiting Release"", IF(REGEXMATCH(N307, ""STATUS: Release to P"&amp;"rod""), ""Release to Prod"", """")))))))"),"In Progress")</f>
        <v>In Progress</v>
      </c>
    </row>
    <row r="308" hidden="1">
      <c r="A308" s="23" t="s">
        <v>64</v>
      </c>
      <c r="B308" s="12" t="s">
        <v>65</v>
      </c>
      <c r="C308" s="54">
        <v>141.0</v>
      </c>
      <c r="D308" s="55" t="s">
        <v>1599</v>
      </c>
      <c r="E308" s="56" t="s">
        <v>173</v>
      </c>
      <c r="F308" s="54" t="s">
        <v>1600</v>
      </c>
      <c r="G308" s="57" t="str">
        <f t="shared" si="1"/>
        <v>04-Feb-2025</v>
      </c>
      <c r="H308" s="54" t="s">
        <v>136</v>
      </c>
      <c r="I308" s="54" t="s">
        <v>1601</v>
      </c>
      <c r="J308" s="27" t="str">
        <f t="shared" si="4"/>
        <v>11-Jul-2025</v>
      </c>
      <c r="K308" s="54" t="s">
        <v>1602</v>
      </c>
      <c r="L308" s="27" t="str">
        <f t="shared" si="5"/>
        <v>20-May-2025</v>
      </c>
      <c r="M308" s="23" t="s">
        <v>285</v>
      </c>
      <c r="N308" s="23" t="s">
        <v>177</v>
      </c>
      <c r="O308" s="24"/>
      <c r="P308" s="54">
        <v>0.0</v>
      </c>
      <c r="Q308" s="58" t="s">
        <v>1603</v>
      </c>
      <c r="R308" s="27" t="str">
        <f>IFERROR(__xludf.DUMMYFUNCTION("IF(REGEXMATCH(N308, ""PRIORITY: Low""), ""Low"", IF(REGEXMATCH(N308, ""PRIORITY: Medium""), ""Medium"", IF(REGEXMATCH(N308, ""PRIORITY: High""), ""High"", """")))
"),"")</f>
        <v/>
      </c>
      <c r="S308" s="27" t="str">
        <f>IFERROR(__xludf.DUMMYFUNCTION("IF(REGEXMATCH(N308, ""SKILL: Low""), ""Low"", IF(REGEXMATCH(N308, ""SKILL: Medium""), ""Medium"", IF(REGEXMATCH(N308, ""SKILL: High""), ""High"", """")))"),"")</f>
        <v/>
      </c>
      <c r="T308" s="27" t="str">
        <f>IFERROR(__xludf.DUMMYFUNCTION("IF(REGEXMATCH(N308, ""STATUS: Dev Complete - Awaiting QA""), ""Dev Complete - Awaiting QA"", IF(REGEXMATCH(N308, ""STATUS: Follow-Up Required""), ""Follow-Up Required"", IF(REGEXMATCH(N308, ""STATUS: In Progress""), ""In Progress"", IF(REGEXMATCH(N308, """&amp;"STATUS: In QA""), ""In QA"", IF(REGEXMATCH(N308, ""STATUS: Needs Customer Feedback""), ""Needs Customer Feedback"", IF(REGEXMATCH(N308, ""STATUS: QA Passed - Awaiting Release""), ""QA Passed - Awaiting Release"", IF(REGEXMATCH(N308, ""STATUS: Release to P"&amp;"rod""), ""Release to Prod"", """")))))))"),"")</f>
        <v/>
      </c>
    </row>
    <row r="309">
      <c r="A309" s="23" t="s">
        <v>64</v>
      </c>
      <c r="B309" s="12" t="s">
        <v>65</v>
      </c>
      <c r="C309" s="54">
        <v>140.0</v>
      </c>
      <c r="D309" s="55" t="s">
        <v>1604</v>
      </c>
      <c r="E309" s="56" t="s">
        <v>246</v>
      </c>
      <c r="F309" s="54" t="s">
        <v>1605</v>
      </c>
      <c r="G309" s="57" t="str">
        <f t="shared" si="1"/>
        <v>04-Feb-2025</v>
      </c>
      <c r="H309" s="54" t="s">
        <v>136</v>
      </c>
      <c r="I309" s="54" t="s">
        <v>1606</v>
      </c>
      <c r="J309" s="27" t="str">
        <f t="shared" si="4"/>
        <v>16-Jul-2025</v>
      </c>
      <c r="K309" s="59"/>
      <c r="L309" s="27" t="str">
        <f t="shared" si="5"/>
        <v/>
      </c>
      <c r="M309" s="23" t="s">
        <v>291</v>
      </c>
      <c r="N309" s="23" t="s">
        <v>250</v>
      </c>
      <c r="O309" s="24"/>
      <c r="P309" s="54">
        <v>0.0</v>
      </c>
      <c r="Q309" s="58" t="s">
        <v>1607</v>
      </c>
      <c r="R309" s="27" t="str">
        <f>IFERROR(__xludf.DUMMYFUNCTION("IF(REGEXMATCH(N309, ""PRIORITY: Low""), ""Low"", IF(REGEXMATCH(N309, ""PRIORITY: Medium""), ""Medium"", IF(REGEXMATCH(N309, ""PRIORITY: High""), ""High"", """")))
"),"Low")</f>
        <v>Low</v>
      </c>
      <c r="S309" s="27" t="str">
        <f>IFERROR(__xludf.DUMMYFUNCTION("IF(REGEXMATCH(N309, ""SKILL: Low""), ""Low"", IF(REGEXMATCH(N309, ""SKILL: Medium""), ""Medium"", IF(REGEXMATCH(N309, ""SKILL: High""), ""High"", """")))"),"Low")</f>
        <v>Low</v>
      </c>
      <c r="T309" s="27" t="str">
        <f>IFERROR(__xludf.DUMMYFUNCTION("IF(REGEXMATCH(N309, ""STATUS: Dev Complete - Awaiting QA""), ""Dev Complete - Awaiting QA"", IF(REGEXMATCH(N309, ""STATUS: Follow-Up Required""), ""Follow-Up Required"", IF(REGEXMATCH(N309, ""STATUS: In Progress""), ""In Progress"", IF(REGEXMATCH(N309, """&amp;"STATUS: In QA""), ""In QA"", IF(REGEXMATCH(N309, ""STATUS: Needs Customer Feedback""), ""Needs Customer Feedback"", IF(REGEXMATCH(N309, ""STATUS: QA Passed - Awaiting Release""), ""QA Passed - Awaiting Release"", IF(REGEXMATCH(N309, ""STATUS: Release to P"&amp;"rod""), ""Release to Prod"", """")))))))"),"In Progress")</f>
        <v>In Progress</v>
      </c>
    </row>
    <row r="310">
      <c r="A310" s="23" t="s">
        <v>64</v>
      </c>
      <c r="B310" s="12" t="s">
        <v>65</v>
      </c>
      <c r="C310" s="54">
        <v>133.0</v>
      </c>
      <c r="D310" s="55" t="s">
        <v>1608</v>
      </c>
      <c r="E310" s="56" t="s">
        <v>246</v>
      </c>
      <c r="F310" s="54" t="s">
        <v>1609</v>
      </c>
      <c r="G310" s="57" t="str">
        <f t="shared" si="1"/>
        <v>20-Nov-2024</v>
      </c>
      <c r="H310" s="54" t="s">
        <v>136</v>
      </c>
      <c r="I310" s="54" t="s">
        <v>1610</v>
      </c>
      <c r="J310" s="27" t="str">
        <f t="shared" si="4"/>
        <v>16-Jul-2025</v>
      </c>
      <c r="K310" s="59"/>
      <c r="L310" s="27" t="str">
        <f t="shared" si="5"/>
        <v/>
      </c>
      <c r="M310" s="23" t="s">
        <v>291</v>
      </c>
      <c r="N310" s="23" t="s">
        <v>250</v>
      </c>
      <c r="O310" s="24"/>
      <c r="P310" s="54">
        <v>0.0</v>
      </c>
      <c r="Q310" s="58" t="s">
        <v>1611</v>
      </c>
      <c r="R310" s="27" t="str">
        <f>IFERROR(__xludf.DUMMYFUNCTION("IF(REGEXMATCH(N310, ""PRIORITY: Low""), ""Low"", IF(REGEXMATCH(N310, ""PRIORITY: Medium""), ""Medium"", IF(REGEXMATCH(N310, ""PRIORITY: High""), ""High"", """")))
"),"Low")</f>
        <v>Low</v>
      </c>
      <c r="S310" s="27" t="str">
        <f>IFERROR(__xludf.DUMMYFUNCTION("IF(REGEXMATCH(N310, ""SKILL: Low""), ""Low"", IF(REGEXMATCH(N310, ""SKILL: Medium""), ""Medium"", IF(REGEXMATCH(N310, ""SKILL: High""), ""High"", """")))"),"Low")</f>
        <v>Low</v>
      </c>
      <c r="T310" s="27" t="str">
        <f>IFERROR(__xludf.DUMMYFUNCTION("IF(REGEXMATCH(N310, ""STATUS: Dev Complete - Awaiting QA""), ""Dev Complete - Awaiting QA"", IF(REGEXMATCH(N310, ""STATUS: Follow-Up Required""), ""Follow-Up Required"", IF(REGEXMATCH(N310, ""STATUS: In Progress""), ""In Progress"", IF(REGEXMATCH(N310, """&amp;"STATUS: In QA""), ""In QA"", IF(REGEXMATCH(N310, ""STATUS: Needs Customer Feedback""), ""Needs Customer Feedback"", IF(REGEXMATCH(N310, ""STATUS: QA Passed - Awaiting Release""), ""QA Passed - Awaiting Release"", IF(REGEXMATCH(N310, ""STATUS: Release to P"&amp;"rod""), ""Release to Prod"", """")))))))"),"In Progress")</f>
        <v>In Progress</v>
      </c>
    </row>
    <row r="311" hidden="1">
      <c r="A311" s="23" t="s">
        <v>64</v>
      </c>
      <c r="B311" s="12" t="s">
        <v>65</v>
      </c>
      <c r="C311" s="54">
        <v>132.0</v>
      </c>
      <c r="D311" s="55" t="s">
        <v>1612</v>
      </c>
      <c r="E311" s="56" t="s">
        <v>173</v>
      </c>
      <c r="F311" s="54" t="s">
        <v>1613</v>
      </c>
      <c r="G311" s="57" t="str">
        <f t="shared" si="1"/>
        <v>20-Nov-2024</v>
      </c>
      <c r="H311" s="54" t="s">
        <v>136</v>
      </c>
      <c r="I311" s="54" t="s">
        <v>1614</v>
      </c>
      <c r="J311" s="27" t="str">
        <f t="shared" si="4"/>
        <v>11-Jul-2025</v>
      </c>
      <c r="K311" s="54" t="s">
        <v>1615</v>
      </c>
      <c r="L311" s="27" t="str">
        <f t="shared" si="5"/>
        <v>20-May-2025</v>
      </c>
      <c r="M311" s="23" t="s">
        <v>15</v>
      </c>
      <c r="N311" s="23" t="s">
        <v>177</v>
      </c>
      <c r="O311" s="24"/>
      <c r="P311" s="54">
        <v>0.0</v>
      </c>
      <c r="Q311" s="58" t="s">
        <v>1616</v>
      </c>
      <c r="R311" s="27" t="str">
        <f>IFERROR(__xludf.DUMMYFUNCTION("IF(REGEXMATCH(N311, ""PRIORITY: Low""), ""Low"", IF(REGEXMATCH(N311, ""PRIORITY: Medium""), ""Medium"", IF(REGEXMATCH(N311, ""PRIORITY: High""), ""High"", """")))
"),"")</f>
        <v/>
      </c>
      <c r="S311" s="27" t="str">
        <f>IFERROR(__xludf.DUMMYFUNCTION("IF(REGEXMATCH(N311, ""SKILL: Low""), ""Low"", IF(REGEXMATCH(N311, ""SKILL: Medium""), ""Medium"", IF(REGEXMATCH(N311, ""SKILL: High""), ""High"", """")))"),"")</f>
        <v/>
      </c>
      <c r="T311" s="27" t="str">
        <f>IFERROR(__xludf.DUMMYFUNCTION("IF(REGEXMATCH(N311, ""STATUS: Dev Complete - Awaiting QA""), ""Dev Complete - Awaiting QA"", IF(REGEXMATCH(N311, ""STATUS: Follow-Up Required""), ""Follow-Up Required"", IF(REGEXMATCH(N311, ""STATUS: In Progress""), ""In Progress"", IF(REGEXMATCH(N311, """&amp;"STATUS: In QA""), ""In QA"", IF(REGEXMATCH(N311, ""STATUS: Needs Customer Feedback""), ""Needs Customer Feedback"", IF(REGEXMATCH(N311, ""STATUS: QA Passed - Awaiting Release""), ""QA Passed - Awaiting Release"", IF(REGEXMATCH(N311, ""STATUS: Release to P"&amp;"rod""), ""Release to Prod"", """")))))))"),"")</f>
        <v/>
      </c>
    </row>
    <row r="312" hidden="1">
      <c r="A312" s="23" t="s">
        <v>64</v>
      </c>
      <c r="B312" s="12" t="s">
        <v>65</v>
      </c>
      <c r="C312" s="54">
        <v>131.0</v>
      </c>
      <c r="D312" s="55" t="s">
        <v>1617</v>
      </c>
      <c r="E312" s="56" t="s">
        <v>173</v>
      </c>
      <c r="F312" s="54" t="s">
        <v>1618</v>
      </c>
      <c r="G312" s="57" t="str">
        <f t="shared" si="1"/>
        <v>20-Nov-2024</v>
      </c>
      <c r="H312" s="54" t="s">
        <v>136</v>
      </c>
      <c r="I312" s="54" t="s">
        <v>1614</v>
      </c>
      <c r="J312" s="27" t="str">
        <f t="shared" si="4"/>
        <v>11-Jul-2025</v>
      </c>
      <c r="K312" s="54" t="s">
        <v>1615</v>
      </c>
      <c r="L312" s="27" t="str">
        <f t="shared" si="5"/>
        <v>20-May-2025</v>
      </c>
      <c r="M312" s="23" t="s">
        <v>15</v>
      </c>
      <c r="N312" s="23" t="s">
        <v>177</v>
      </c>
      <c r="O312" s="24"/>
      <c r="P312" s="54">
        <v>0.0</v>
      </c>
      <c r="Q312" s="58" t="s">
        <v>1619</v>
      </c>
      <c r="R312" s="27" t="str">
        <f>IFERROR(__xludf.DUMMYFUNCTION("IF(REGEXMATCH(N312, ""PRIORITY: Low""), ""Low"", IF(REGEXMATCH(N312, ""PRIORITY: Medium""), ""Medium"", IF(REGEXMATCH(N312, ""PRIORITY: High""), ""High"", """")))
"),"")</f>
        <v/>
      </c>
      <c r="S312" s="27" t="str">
        <f>IFERROR(__xludf.DUMMYFUNCTION("IF(REGEXMATCH(N312, ""SKILL: Low""), ""Low"", IF(REGEXMATCH(N312, ""SKILL: Medium""), ""Medium"", IF(REGEXMATCH(N312, ""SKILL: High""), ""High"", """")))"),"")</f>
        <v/>
      </c>
      <c r="T312" s="27" t="str">
        <f>IFERROR(__xludf.DUMMYFUNCTION("IF(REGEXMATCH(N312, ""STATUS: Dev Complete - Awaiting QA""), ""Dev Complete - Awaiting QA"", IF(REGEXMATCH(N312, ""STATUS: Follow-Up Required""), ""Follow-Up Required"", IF(REGEXMATCH(N312, ""STATUS: In Progress""), ""In Progress"", IF(REGEXMATCH(N312, """&amp;"STATUS: In QA""), ""In QA"", IF(REGEXMATCH(N312, ""STATUS: Needs Customer Feedback""), ""Needs Customer Feedback"", IF(REGEXMATCH(N312, ""STATUS: QA Passed - Awaiting Release""), ""QA Passed - Awaiting Release"", IF(REGEXMATCH(N312, ""STATUS: Release to P"&amp;"rod""), ""Release to Prod"", """")))))))"),"")</f>
        <v/>
      </c>
    </row>
    <row r="313" hidden="1">
      <c r="A313" s="23" t="s">
        <v>64</v>
      </c>
      <c r="B313" s="12" t="s">
        <v>65</v>
      </c>
      <c r="C313" s="54">
        <v>129.0</v>
      </c>
      <c r="D313" s="55" t="s">
        <v>1620</v>
      </c>
      <c r="E313" s="56" t="s">
        <v>173</v>
      </c>
      <c r="F313" s="54" t="s">
        <v>1621</v>
      </c>
      <c r="G313" s="57" t="str">
        <f t="shared" si="1"/>
        <v>20-Nov-2024</v>
      </c>
      <c r="H313" s="54" t="s">
        <v>136</v>
      </c>
      <c r="I313" s="54" t="s">
        <v>1622</v>
      </c>
      <c r="J313" s="27" t="str">
        <f t="shared" si="4"/>
        <v>11-Jul-2025</v>
      </c>
      <c r="K313" s="54" t="s">
        <v>1623</v>
      </c>
      <c r="L313" s="27" t="str">
        <f t="shared" si="5"/>
        <v>20-May-2025</v>
      </c>
      <c r="M313" s="23" t="s">
        <v>15</v>
      </c>
      <c r="N313" s="23" t="s">
        <v>177</v>
      </c>
      <c r="O313" s="24"/>
      <c r="P313" s="54">
        <v>0.0</v>
      </c>
      <c r="Q313" s="58" t="s">
        <v>1624</v>
      </c>
      <c r="R313" s="27" t="str">
        <f>IFERROR(__xludf.DUMMYFUNCTION("IF(REGEXMATCH(N313, ""PRIORITY: Low""), ""Low"", IF(REGEXMATCH(N313, ""PRIORITY: Medium""), ""Medium"", IF(REGEXMATCH(N313, ""PRIORITY: High""), ""High"", """")))
"),"")</f>
        <v/>
      </c>
      <c r="S313" s="27" t="str">
        <f>IFERROR(__xludf.DUMMYFUNCTION("IF(REGEXMATCH(N313, ""SKILL: Low""), ""Low"", IF(REGEXMATCH(N313, ""SKILL: Medium""), ""Medium"", IF(REGEXMATCH(N313, ""SKILL: High""), ""High"", """")))"),"")</f>
        <v/>
      </c>
      <c r="T313" s="27" t="str">
        <f>IFERROR(__xludf.DUMMYFUNCTION("IF(REGEXMATCH(N313, ""STATUS: Dev Complete - Awaiting QA""), ""Dev Complete - Awaiting QA"", IF(REGEXMATCH(N313, ""STATUS: Follow-Up Required""), ""Follow-Up Required"", IF(REGEXMATCH(N313, ""STATUS: In Progress""), ""In Progress"", IF(REGEXMATCH(N313, """&amp;"STATUS: In QA""), ""In QA"", IF(REGEXMATCH(N313, ""STATUS: Needs Customer Feedback""), ""Needs Customer Feedback"", IF(REGEXMATCH(N313, ""STATUS: QA Passed - Awaiting Release""), ""QA Passed - Awaiting Release"", IF(REGEXMATCH(N313, ""STATUS: Release to P"&amp;"rod""), ""Release to Prod"", """")))))))"),"")</f>
        <v/>
      </c>
    </row>
    <row r="314">
      <c r="A314" s="23" t="s">
        <v>64</v>
      </c>
      <c r="B314" s="12" t="s">
        <v>65</v>
      </c>
      <c r="C314" s="54">
        <v>126.0</v>
      </c>
      <c r="D314" s="55" t="s">
        <v>1625</v>
      </c>
      <c r="E314" s="56" t="s">
        <v>246</v>
      </c>
      <c r="F314" s="54" t="s">
        <v>1626</v>
      </c>
      <c r="G314" s="57" t="str">
        <f t="shared" si="1"/>
        <v>18-Nov-2024</v>
      </c>
      <c r="H314" s="54" t="s">
        <v>37</v>
      </c>
      <c r="I314" s="54" t="s">
        <v>1627</v>
      </c>
      <c r="J314" s="27" t="str">
        <f t="shared" si="4"/>
        <v>16-Jul-2025</v>
      </c>
      <c r="K314" s="59"/>
      <c r="L314" s="27" t="str">
        <f t="shared" si="5"/>
        <v/>
      </c>
      <c r="M314" s="23" t="s">
        <v>249</v>
      </c>
      <c r="N314" s="23" t="s">
        <v>1628</v>
      </c>
      <c r="O314" s="24"/>
      <c r="P314" s="54">
        <v>0.0</v>
      </c>
      <c r="Q314" s="58" t="s">
        <v>1629</v>
      </c>
      <c r="R314" s="27" t="str">
        <f>IFERROR(__xludf.DUMMYFUNCTION("IF(REGEXMATCH(N314, ""PRIORITY: Low""), ""Low"", IF(REGEXMATCH(N314, ""PRIORITY: Medium""), ""Medium"", IF(REGEXMATCH(N314, ""PRIORITY: High""), ""High"", """")))
"),"Low")</f>
        <v>Low</v>
      </c>
      <c r="S314" s="27" t="str">
        <f>IFERROR(__xludf.DUMMYFUNCTION("IF(REGEXMATCH(N314, ""SKILL: Low""), ""Low"", IF(REGEXMATCH(N314, ""SKILL: Medium""), ""Medium"", IF(REGEXMATCH(N314, ""SKILL: High""), ""High"", """")))"),"Medium")</f>
        <v>Medium</v>
      </c>
      <c r="T314" s="27" t="str">
        <f>IFERROR(__xludf.DUMMYFUNCTION("IF(REGEXMATCH(N314, ""STATUS: Dev Complete - Awaiting QA""), ""Dev Complete - Awaiting QA"", IF(REGEXMATCH(N314, ""STATUS: Follow-Up Required""), ""Follow-Up Required"", IF(REGEXMATCH(N314, ""STATUS: In Progress""), ""In Progress"", IF(REGEXMATCH(N314, """&amp;"STATUS: In QA""), ""In QA"", IF(REGEXMATCH(N314, ""STATUS: Needs Customer Feedback""), ""Needs Customer Feedback"", IF(REGEXMATCH(N314, ""STATUS: QA Passed - Awaiting Release""), ""QA Passed - Awaiting Release"", IF(REGEXMATCH(N314, ""STATUS: Release to P"&amp;"rod""), ""Release to Prod"", """")))))))"),"In Progress")</f>
        <v>In Progress</v>
      </c>
    </row>
    <row r="315">
      <c r="A315" s="23" t="s">
        <v>64</v>
      </c>
      <c r="B315" s="12" t="s">
        <v>65</v>
      </c>
      <c r="C315" s="54">
        <v>125.0</v>
      </c>
      <c r="D315" s="55" t="s">
        <v>1630</v>
      </c>
      <c r="E315" s="56" t="s">
        <v>246</v>
      </c>
      <c r="F315" s="54" t="s">
        <v>1631</v>
      </c>
      <c r="G315" s="57" t="str">
        <f t="shared" si="1"/>
        <v>18-Nov-2024</v>
      </c>
      <c r="H315" s="54" t="s">
        <v>37</v>
      </c>
      <c r="I315" s="54" t="s">
        <v>1632</v>
      </c>
      <c r="J315" s="27" t="str">
        <f t="shared" si="4"/>
        <v>16-Jul-2025</v>
      </c>
      <c r="K315" s="59"/>
      <c r="L315" s="27" t="str">
        <f t="shared" si="5"/>
        <v/>
      </c>
      <c r="M315" s="23" t="s">
        <v>249</v>
      </c>
      <c r="N315" s="23" t="s">
        <v>1633</v>
      </c>
      <c r="O315" s="24"/>
      <c r="P315" s="54">
        <v>0.0</v>
      </c>
      <c r="Q315" s="58" t="s">
        <v>1634</v>
      </c>
      <c r="R315" s="27" t="str">
        <f>IFERROR(__xludf.DUMMYFUNCTION("IF(REGEXMATCH(N315, ""PRIORITY: Low""), ""Low"", IF(REGEXMATCH(N315, ""PRIORITY: Medium""), ""Medium"", IF(REGEXMATCH(N315, ""PRIORITY: High""), ""High"", """")))
"),"Low")</f>
        <v>Low</v>
      </c>
      <c r="S315" s="27" t="str">
        <f>IFERROR(__xludf.DUMMYFUNCTION("IF(REGEXMATCH(N315, ""SKILL: Low""), ""Low"", IF(REGEXMATCH(N315, ""SKILL: Medium""), ""Medium"", IF(REGEXMATCH(N315, ""SKILL: High""), ""High"", """")))"),"High")</f>
        <v>High</v>
      </c>
      <c r="T315" s="27" t="str">
        <f>IFERROR(__xludf.DUMMYFUNCTION("IF(REGEXMATCH(N315, ""STATUS: Dev Complete - Awaiting QA""), ""Dev Complete - Awaiting QA"", IF(REGEXMATCH(N315, ""STATUS: Follow-Up Required""), ""Follow-Up Required"", IF(REGEXMATCH(N315, ""STATUS: In Progress""), ""In Progress"", IF(REGEXMATCH(N315, """&amp;"STATUS: In QA""), ""In QA"", IF(REGEXMATCH(N315, ""STATUS: Needs Customer Feedback""), ""Needs Customer Feedback"", IF(REGEXMATCH(N315, ""STATUS: QA Passed - Awaiting Release""), ""QA Passed - Awaiting Release"", IF(REGEXMATCH(N315, ""STATUS: Release to P"&amp;"rod""), ""Release to Prod"", """")))))))"),"In Progress")</f>
        <v>In Progress</v>
      </c>
    </row>
    <row r="316">
      <c r="A316" s="23" t="s">
        <v>64</v>
      </c>
      <c r="B316" s="12" t="s">
        <v>65</v>
      </c>
      <c r="C316" s="54">
        <v>124.0</v>
      </c>
      <c r="D316" s="55" t="s">
        <v>1635</v>
      </c>
      <c r="E316" s="56" t="s">
        <v>246</v>
      </c>
      <c r="F316" s="54" t="s">
        <v>1636</v>
      </c>
      <c r="G316" s="57" t="str">
        <f t="shared" si="1"/>
        <v>18-Nov-2024</v>
      </c>
      <c r="H316" s="54" t="s">
        <v>37</v>
      </c>
      <c r="I316" s="54" t="s">
        <v>1637</v>
      </c>
      <c r="J316" s="27" t="str">
        <f t="shared" si="4"/>
        <v>16-Jul-2025</v>
      </c>
      <c r="K316" s="59"/>
      <c r="L316" s="27" t="str">
        <f t="shared" si="5"/>
        <v/>
      </c>
      <c r="M316" s="23" t="s">
        <v>249</v>
      </c>
      <c r="N316" s="23" t="s">
        <v>1628</v>
      </c>
      <c r="O316" s="24"/>
      <c r="P316" s="54">
        <v>0.0</v>
      </c>
      <c r="Q316" s="58" t="s">
        <v>1638</v>
      </c>
      <c r="R316" s="27" t="str">
        <f>IFERROR(__xludf.DUMMYFUNCTION("IF(REGEXMATCH(N316, ""PRIORITY: Low""), ""Low"", IF(REGEXMATCH(N316, ""PRIORITY: Medium""), ""Medium"", IF(REGEXMATCH(N316, ""PRIORITY: High""), ""High"", """")))
"),"Low")</f>
        <v>Low</v>
      </c>
      <c r="S316" s="27" t="str">
        <f>IFERROR(__xludf.DUMMYFUNCTION("IF(REGEXMATCH(N316, ""SKILL: Low""), ""Low"", IF(REGEXMATCH(N316, ""SKILL: Medium""), ""Medium"", IF(REGEXMATCH(N316, ""SKILL: High""), ""High"", """")))"),"Medium")</f>
        <v>Medium</v>
      </c>
      <c r="T316" s="27" t="str">
        <f>IFERROR(__xludf.DUMMYFUNCTION("IF(REGEXMATCH(N316, ""STATUS: Dev Complete - Awaiting QA""), ""Dev Complete - Awaiting QA"", IF(REGEXMATCH(N316, ""STATUS: Follow-Up Required""), ""Follow-Up Required"", IF(REGEXMATCH(N316, ""STATUS: In Progress""), ""In Progress"", IF(REGEXMATCH(N316, """&amp;"STATUS: In QA""), ""In QA"", IF(REGEXMATCH(N316, ""STATUS: Needs Customer Feedback""), ""Needs Customer Feedback"", IF(REGEXMATCH(N316, ""STATUS: QA Passed - Awaiting Release""), ""QA Passed - Awaiting Release"", IF(REGEXMATCH(N316, ""STATUS: Release to P"&amp;"rod""), ""Release to Prod"", """")))))))"),"In Progress")</f>
        <v>In Progress</v>
      </c>
    </row>
    <row r="317">
      <c r="A317" s="23" t="s">
        <v>64</v>
      </c>
      <c r="B317" s="12" t="s">
        <v>65</v>
      </c>
      <c r="C317" s="54">
        <v>123.0</v>
      </c>
      <c r="D317" s="55" t="s">
        <v>1639</v>
      </c>
      <c r="E317" s="56" t="s">
        <v>246</v>
      </c>
      <c r="F317" s="54" t="s">
        <v>1640</v>
      </c>
      <c r="G317" s="57" t="str">
        <f t="shared" si="1"/>
        <v>18-Nov-2024</v>
      </c>
      <c r="H317" s="54" t="s">
        <v>37</v>
      </c>
      <c r="I317" s="54" t="s">
        <v>1641</v>
      </c>
      <c r="J317" s="27" t="str">
        <f t="shared" si="4"/>
        <v>16-Jul-2025</v>
      </c>
      <c r="K317" s="59"/>
      <c r="L317" s="27" t="str">
        <f t="shared" si="5"/>
        <v/>
      </c>
      <c r="M317" s="23" t="s">
        <v>249</v>
      </c>
      <c r="N317" s="23" t="s">
        <v>250</v>
      </c>
      <c r="O317" s="24"/>
      <c r="P317" s="54">
        <v>0.0</v>
      </c>
      <c r="Q317" s="58" t="s">
        <v>1642</v>
      </c>
      <c r="R317" s="27" t="str">
        <f>IFERROR(__xludf.DUMMYFUNCTION("IF(REGEXMATCH(N317, ""PRIORITY: Low""), ""Low"", IF(REGEXMATCH(N317, ""PRIORITY: Medium""), ""Medium"", IF(REGEXMATCH(N317, ""PRIORITY: High""), ""High"", """")))
"),"Low")</f>
        <v>Low</v>
      </c>
      <c r="S317" s="27" t="str">
        <f>IFERROR(__xludf.DUMMYFUNCTION("IF(REGEXMATCH(N317, ""SKILL: Low""), ""Low"", IF(REGEXMATCH(N317, ""SKILL: Medium""), ""Medium"", IF(REGEXMATCH(N317, ""SKILL: High""), ""High"", """")))"),"Low")</f>
        <v>Low</v>
      </c>
      <c r="T317" s="27" t="str">
        <f>IFERROR(__xludf.DUMMYFUNCTION("IF(REGEXMATCH(N317, ""STATUS: Dev Complete - Awaiting QA""), ""Dev Complete - Awaiting QA"", IF(REGEXMATCH(N317, ""STATUS: Follow-Up Required""), ""Follow-Up Required"", IF(REGEXMATCH(N317, ""STATUS: In Progress""), ""In Progress"", IF(REGEXMATCH(N317, """&amp;"STATUS: In QA""), ""In QA"", IF(REGEXMATCH(N317, ""STATUS: Needs Customer Feedback""), ""Needs Customer Feedback"", IF(REGEXMATCH(N317, ""STATUS: QA Passed - Awaiting Release""), ""QA Passed - Awaiting Release"", IF(REGEXMATCH(N317, ""STATUS: Release to P"&amp;"rod""), ""Release to Prod"", """")))))))"),"In Progress")</f>
        <v>In Progress</v>
      </c>
    </row>
    <row r="318" hidden="1">
      <c r="A318" s="23" t="s">
        <v>64</v>
      </c>
      <c r="B318" s="12" t="s">
        <v>65</v>
      </c>
      <c r="C318" s="54">
        <v>118.0</v>
      </c>
      <c r="D318" s="55" t="s">
        <v>1643</v>
      </c>
      <c r="E318" s="56" t="s">
        <v>173</v>
      </c>
      <c r="F318" s="54" t="s">
        <v>1644</v>
      </c>
      <c r="G318" s="57" t="str">
        <f t="shared" si="1"/>
        <v>15-Nov-2024</v>
      </c>
      <c r="H318" s="54" t="s">
        <v>37</v>
      </c>
      <c r="I318" s="54" t="s">
        <v>1645</v>
      </c>
      <c r="J318" s="27" t="str">
        <f t="shared" si="4"/>
        <v>19-Sep-2025</v>
      </c>
      <c r="K318" s="54" t="s">
        <v>1646</v>
      </c>
      <c r="L318" s="27" t="str">
        <f t="shared" si="5"/>
        <v>18-Nov-2024</v>
      </c>
      <c r="M318" s="23" t="s">
        <v>15</v>
      </c>
      <c r="N318" s="23" t="s">
        <v>177</v>
      </c>
      <c r="O318" s="24"/>
      <c r="P318" s="54">
        <v>0.0</v>
      </c>
      <c r="Q318" s="58" t="s">
        <v>1647</v>
      </c>
      <c r="R318" s="27" t="str">
        <f>IFERROR(__xludf.DUMMYFUNCTION("IF(REGEXMATCH(N318, ""PRIORITY: Low""), ""Low"", IF(REGEXMATCH(N318, ""PRIORITY: Medium""), ""Medium"", IF(REGEXMATCH(N318, ""PRIORITY: High""), ""High"", """")))
"),"")</f>
        <v/>
      </c>
      <c r="S318" s="27" t="str">
        <f>IFERROR(__xludf.DUMMYFUNCTION("IF(REGEXMATCH(N318, ""SKILL: Low""), ""Low"", IF(REGEXMATCH(N318, ""SKILL: Medium""), ""Medium"", IF(REGEXMATCH(N318, ""SKILL: High""), ""High"", """")))"),"")</f>
        <v/>
      </c>
      <c r="T318" s="27" t="str">
        <f>IFERROR(__xludf.DUMMYFUNCTION("IF(REGEXMATCH(N318, ""STATUS: Dev Complete - Awaiting QA""), ""Dev Complete - Awaiting QA"", IF(REGEXMATCH(N318, ""STATUS: Follow-Up Required""), ""Follow-Up Required"", IF(REGEXMATCH(N318, ""STATUS: In Progress""), ""In Progress"", IF(REGEXMATCH(N318, """&amp;"STATUS: In QA""), ""In QA"", IF(REGEXMATCH(N318, ""STATUS: Needs Customer Feedback""), ""Needs Customer Feedback"", IF(REGEXMATCH(N318, ""STATUS: QA Passed - Awaiting Release""), ""QA Passed - Awaiting Release"", IF(REGEXMATCH(N318, ""STATUS: Release to P"&amp;"rod""), ""Release to Prod"", """")))))))"),"")</f>
        <v/>
      </c>
    </row>
    <row r="319" hidden="1">
      <c r="A319" s="23" t="s">
        <v>64</v>
      </c>
      <c r="B319" s="12" t="s">
        <v>65</v>
      </c>
      <c r="C319" s="54">
        <v>116.0</v>
      </c>
      <c r="D319" s="55" t="s">
        <v>1648</v>
      </c>
      <c r="E319" s="56" t="s">
        <v>173</v>
      </c>
      <c r="F319" s="54" t="s">
        <v>1649</v>
      </c>
      <c r="G319" s="57" t="str">
        <f t="shared" si="1"/>
        <v>13-Nov-2024</v>
      </c>
      <c r="H319" s="54" t="s">
        <v>37</v>
      </c>
      <c r="I319" s="54" t="s">
        <v>1645</v>
      </c>
      <c r="J319" s="27" t="str">
        <f t="shared" si="4"/>
        <v>19-Sep-2025</v>
      </c>
      <c r="K319" s="54" t="s">
        <v>1650</v>
      </c>
      <c r="L319" s="27" t="str">
        <f t="shared" si="5"/>
        <v>18-Nov-2024</v>
      </c>
      <c r="M319" s="23" t="s">
        <v>15</v>
      </c>
      <c r="N319" s="23" t="s">
        <v>177</v>
      </c>
      <c r="O319" s="24"/>
      <c r="P319" s="54">
        <v>0.0</v>
      </c>
      <c r="Q319" s="58" t="s">
        <v>1651</v>
      </c>
      <c r="R319" s="27" t="str">
        <f>IFERROR(__xludf.DUMMYFUNCTION("IF(REGEXMATCH(N319, ""PRIORITY: Low""), ""Low"", IF(REGEXMATCH(N319, ""PRIORITY: Medium""), ""Medium"", IF(REGEXMATCH(N319, ""PRIORITY: High""), ""High"", """")))
"),"")</f>
        <v/>
      </c>
      <c r="S319" s="27" t="str">
        <f>IFERROR(__xludf.DUMMYFUNCTION("IF(REGEXMATCH(N319, ""SKILL: Low""), ""Low"", IF(REGEXMATCH(N319, ""SKILL: Medium""), ""Medium"", IF(REGEXMATCH(N319, ""SKILL: High""), ""High"", """")))"),"")</f>
        <v/>
      </c>
      <c r="T319" s="27" t="str">
        <f>IFERROR(__xludf.DUMMYFUNCTION("IF(REGEXMATCH(N319, ""STATUS: Dev Complete - Awaiting QA""), ""Dev Complete - Awaiting QA"", IF(REGEXMATCH(N319, ""STATUS: Follow-Up Required""), ""Follow-Up Required"", IF(REGEXMATCH(N319, ""STATUS: In Progress""), ""In Progress"", IF(REGEXMATCH(N319, """&amp;"STATUS: In QA""), ""In QA"", IF(REGEXMATCH(N319, ""STATUS: Needs Customer Feedback""), ""Needs Customer Feedback"", IF(REGEXMATCH(N319, ""STATUS: QA Passed - Awaiting Release""), ""QA Passed - Awaiting Release"", IF(REGEXMATCH(N319, ""STATUS: Release to P"&amp;"rod""), ""Release to Prod"", """")))))))"),"")</f>
        <v/>
      </c>
    </row>
    <row r="320" hidden="1">
      <c r="A320" s="23" t="s">
        <v>64</v>
      </c>
      <c r="B320" s="12" t="s">
        <v>65</v>
      </c>
      <c r="C320" s="54">
        <v>115.0</v>
      </c>
      <c r="D320" s="55" t="s">
        <v>1652</v>
      </c>
      <c r="E320" s="56" t="s">
        <v>173</v>
      </c>
      <c r="F320" s="54" t="s">
        <v>1653</v>
      </c>
      <c r="G320" s="57" t="str">
        <f t="shared" si="1"/>
        <v>13-Nov-2024</v>
      </c>
      <c r="H320" s="54" t="s">
        <v>37</v>
      </c>
      <c r="I320" s="54" t="s">
        <v>1654</v>
      </c>
      <c r="J320" s="27" t="str">
        <f t="shared" si="4"/>
        <v>19-Sep-2025</v>
      </c>
      <c r="K320" s="54" t="s">
        <v>1650</v>
      </c>
      <c r="L320" s="27" t="str">
        <f t="shared" si="5"/>
        <v>18-Nov-2024</v>
      </c>
      <c r="M320" s="23" t="s">
        <v>15</v>
      </c>
      <c r="N320" s="23" t="s">
        <v>177</v>
      </c>
      <c r="O320" s="24"/>
      <c r="P320" s="54">
        <v>0.0</v>
      </c>
      <c r="Q320" s="58" t="s">
        <v>1655</v>
      </c>
      <c r="R320" s="27" t="str">
        <f>IFERROR(__xludf.DUMMYFUNCTION("IF(REGEXMATCH(N320, ""PRIORITY: Low""), ""Low"", IF(REGEXMATCH(N320, ""PRIORITY: Medium""), ""Medium"", IF(REGEXMATCH(N320, ""PRIORITY: High""), ""High"", """")))
"),"")</f>
        <v/>
      </c>
      <c r="S320" s="27" t="str">
        <f>IFERROR(__xludf.DUMMYFUNCTION("IF(REGEXMATCH(N320, ""SKILL: Low""), ""Low"", IF(REGEXMATCH(N320, ""SKILL: Medium""), ""Medium"", IF(REGEXMATCH(N320, ""SKILL: High""), ""High"", """")))"),"")</f>
        <v/>
      </c>
      <c r="T320" s="27" t="str">
        <f>IFERROR(__xludf.DUMMYFUNCTION("IF(REGEXMATCH(N320, ""STATUS: Dev Complete - Awaiting QA""), ""Dev Complete - Awaiting QA"", IF(REGEXMATCH(N320, ""STATUS: Follow-Up Required""), ""Follow-Up Required"", IF(REGEXMATCH(N320, ""STATUS: In Progress""), ""In Progress"", IF(REGEXMATCH(N320, """&amp;"STATUS: In QA""), ""In QA"", IF(REGEXMATCH(N320, ""STATUS: Needs Customer Feedback""), ""Needs Customer Feedback"", IF(REGEXMATCH(N320, ""STATUS: QA Passed - Awaiting Release""), ""QA Passed - Awaiting Release"", IF(REGEXMATCH(N320, ""STATUS: Release to P"&amp;"rod""), ""Release to Prod"", """")))))))"),"")</f>
        <v/>
      </c>
    </row>
    <row r="321" hidden="1">
      <c r="A321" s="23" t="s">
        <v>64</v>
      </c>
      <c r="B321" s="12" t="s">
        <v>65</v>
      </c>
      <c r="C321" s="54">
        <v>111.0</v>
      </c>
      <c r="D321" s="55" t="s">
        <v>1656</v>
      </c>
      <c r="E321" s="56" t="s">
        <v>173</v>
      </c>
      <c r="F321" s="54" t="s">
        <v>1657</v>
      </c>
      <c r="G321" s="57" t="str">
        <f t="shared" si="1"/>
        <v>12-Nov-2024</v>
      </c>
      <c r="H321" s="54" t="s">
        <v>37</v>
      </c>
      <c r="I321" s="54" t="s">
        <v>1658</v>
      </c>
      <c r="J321" s="27" t="str">
        <f t="shared" si="4"/>
        <v>11-Jul-2025</v>
      </c>
      <c r="K321" s="54" t="s">
        <v>1623</v>
      </c>
      <c r="L321" s="27" t="str">
        <f t="shared" si="5"/>
        <v>20-May-2025</v>
      </c>
      <c r="M321" s="23" t="s">
        <v>15</v>
      </c>
      <c r="N321" s="23" t="s">
        <v>177</v>
      </c>
      <c r="O321" s="24"/>
      <c r="P321" s="54">
        <v>1.0</v>
      </c>
      <c r="Q321" s="58" t="s">
        <v>1659</v>
      </c>
      <c r="R321" s="27" t="str">
        <f>IFERROR(__xludf.DUMMYFUNCTION("IF(REGEXMATCH(N321, ""PRIORITY: Low""), ""Low"", IF(REGEXMATCH(N321, ""PRIORITY: Medium""), ""Medium"", IF(REGEXMATCH(N321, ""PRIORITY: High""), ""High"", """")))
"),"")</f>
        <v/>
      </c>
      <c r="S321" s="27" t="str">
        <f>IFERROR(__xludf.DUMMYFUNCTION("IF(REGEXMATCH(N321, ""SKILL: Low""), ""Low"", IF(REGEXMATCH(N321, ""SKILL: Medium""), ""Medium"", IF(REGEXMATCH(N321, ""SKILL: High""), ""High"", """")))"),"")</f>
        <v/>
      </c>
      <c r="T321" s="27" t="str">
        <f>IFERROR(__xludf.DUMMYFUNCTION("IF(REGEXMATCH(N321, ""STATUS: Dev Complete - Awaiting QA""), ""Dev Complete - Awaiting QA"", IF(REGEXMATCH(N321, ""STATUS: Follow-Up Required""), ""Follow-Up Required"", IF(REGEXMATCH(N321, ""STATUS: In Progress""), ""In Progress"", IF(REGEXMATCH(N321, """&amp;"STATUS: In QA""), ""In QA"", IF(REGEXMATCH(N321, ""STATUS: Needs Customer Feedback""), ""Needs Customer Feedback"", IF(REGEXMATCH(N321, ""STATUS: QA Passed - Awaiting Release""), ""QA Passed - Awaiting Release"", IF(REGEXMATCH(N321, ""STATUS: Release to P"&amp;"rod""), ""Release to Prod"", """")))))))"),"")</f>
        <v/>
      </c>
    </row>
    <row r="322" hidden="1">
      <c r="A322" s="23" t="s">
        <v>64</v>
      </c>
      <c r="B322" s="12" t="s">
        <v>65</v>
      </c>
      <c r="C322" s="54">
        <v>110.0</v>
      </c>
      <c r="D322" s="55" t="s">
        <v>1660</v>
      </c>
      <c r="E322" s="56" t="s">
        <v>173</v>
      </c>
      <c r="F322" s="54" t="s">
        <v>1661</v>
      </c>
      <c r="G322" s="57" t="str">
        <f t="shared" si="1"/>
        <v>12-Nov-2024</v>
      </c>
      <c r="H322" s="54" t="s">
        <v>37</v>
      </c>
      <c r="I322" s="54" t="s">
        <v>1662</v>
      </c>
      <c r="J322" s="27" t="str">
        <f t="shared" si="4"/>
        <v>11-Jul-2025</v>
      </c>
      <c r="K322" s="54" t="s">
        <v>1663</v>
      </c>
      <c r="L322" s="27" t="str">
        <f t="shared" si="5"/>
        <v>20-May-2025</v>
      </c>
      <c r="M322" s="23" t="s">
        <v>15</v>
      </c>
      <c r="N322" s="23" t="s">
        <v>177</v>
      </c>
      <c r="O322" s="24"/>
      <c r="P322" s="54">
        <v>1.0</v>
      </c>
      <c r="Q322" s="58" t="s">
        <v>1664</v>
      </c>
      <c r="R322" s="27" t="str">
        <f>IFERROR(__xludf.DUMMYFUNCTION("IF(REGEXMATCH(N322, ""PRIORITY: Low""), ""Low"", IF(REGEXMATCH(N322, ""PRIORITY: Medium""), ""Medium"", IF(REGEXMATCH(N322, ""PRIORITY: High""), ""High"", """")))
"),"")</f>
        <v/>
      </c>
      <c r="S322" s="27" t="str">
        <f>IFERROR(__xludf.DUMMYFUNCTION("IF(REGEXMATCH(N322, ""SKILL: Low""), ""Low"", IF(REGEXMATCH(N322, ""SKILL: Medium""), ""Medium"", IF(REGEXMATCH(N322, ""SKILL: High""), ""High"", """")))"),"")</f>
        <v/>
      </c>
      <c r="T322" s="27" t="str">
        <f>IFERROR(__xludf.DUMMYFUNCTION("IF(REGEXMATCH(N322, ""STATUS: Dev Complete - Awaiting QA""), ""Dev Complete - Awaiting QA"", IF(REGEXMATCH(N322, ""STATUS: Follow-Up Required""), ""Follow-Up Required"", IF(REGEXMATCH(N322, ""STATUS: In Progress""), ""In Progress"", IF(REGEXMATCH(N322, """&amp;"STATUS: In QA""), ""In QA"", IF(REGEXMATCH(N322, ""STATUS: Needs Customer Feedback""), ""Needs Customer Feedback"", IF(REGEXMATCH(N322, ""STATUS: QA Passed - Awaiting Release""), ""QA Passed - Awaiting Release"", IF(REGEXMATCH(N322, ""STATUS: Release to P"&amp;"rod""), ""Release to Prod"", """")))))))"),"")</f>
        <v/>
      </c>
    </row>
    <row r="323" hidden="1">
      <c r="A323" s="23" t="s">
        <v>64</v>
      </c>
      <c r="B323" s="12" t="s">
        <v>65</v>
      </c>
      <c r="C323" s="54">
        <v>109.0</v>
      </c>
      <c r="D323" s="55" t="s">
        <v>1665</v>
      </c>
      <c r="E323" s="56" t="s">
        <v>173</v>
      </c>
      <c r="F323" s="54" t="s">
        <v>1666</v>
      </c>
      <c r="G323" s="57" t="str">
        <f t="shared" si="1"/>
        <v>12-Nov-2024</v>
      </c>
      <c r="H323" s="54" t="s">
        <v>37</v>
      </c>
      <c r="I323" s="54" t="s">
        <v>1662</v>
      </c>
      <c r="J323" s="27" t="str">
        <f t="shared" si="4"/>
        <v>11-Jul-2025</v>
      </c>
      <c r="K323" s="54" t="s">
        <v>1663</v>
      </c>
      <c r="L323" s="27" t="str">
        <f t="shared" si="5"/>
        <v>20-May-2025</v>
      </c>
      <c r="M323" s="23" t="s">
        <v>15</v>
      </c>
      <c r="N323" s="23" t="s">
        <v>177</v>
      </c>
      <c r="O323" s="24"/>
      <c r="P323" s="54">
        <v>1.0</v>
      </c>
      <c r="Q323" s="58" t="s">
        <v>1667</v>
      </c>
      <c r="R323" s="27" t="str">
        <f>IFERROR(__xludf.DUMMYFUNCTION("IF(REGEXMATCH(N323, ""PRIORITY: Low""), ""Low"", IF(REGEXMATCH(N323, ""PRIORITY: Medium""), ""Medium"", IF(REGEXMATCH(N323, ""PRIORITY: High""), ""High"", """")))
"),"")</f>
        <v/>
      </c>
      <c r="S323" s="27" t="str">
        <f>IFERROR(__xludf.DUMMYFUNCTION("IF(REGEXMATCH(N323, ""SKILL: Low""), ""Low"", IF(REGEXMATCH(N323, ""SKILL: Medium""), ""Medium"", IF(REGEXMATCH(N323, ""SKILL: High""), ""High"", """")))"),"")</f>
        <v/>
      </c>
      <c r="T323" s="27" t="str">
        <f>IFERROR(__xludf.DUMMYFUNCTION("IF(REGEXMATCH(N323, ""STATUS: Dev Complete - Awaiting QA""), ""Dev Complete - Awaiting QA"", IF(REGEXMATCH(N323, ""STATUS: Follow-Up Required""), ""Follow-Up Required"", IF(REGEXMATCH(N323, ""STATUS: In Progress""), ""In Progress"", IF(REGEXMATCH(N323, """&amp;"STATUS: In QA""), ""In QA"", IF(REGEXMATCH(N323, ""STATUS: Needs Customer Feedback""), ""Needs Customer Feedback"", IF(REGEXMATCH(N323, ""STATUS: QA Passed - Awaiting Release""), ""QA Passed - Awaiting Release"", IF(REGEXMATCH(N323, ""STATUS: Release to P"&amp;"rod""), ""Release to Prod"", """")))))))"),"")</f>
        <v/>
      </c>
    </row>
    <row r="324" hidden="1">
      <c r="A324" s="23" t="s">
        <v>64</v>
      </c>
      <c r="B324" s="12" t="s">
        <v>65</v>
      </c>
      <c r="C324" s="54">
        <v>103.0</v>
      </c>
      <c r="D324" s="55" t="s">
        <v>1668</v>
      </c>
      <c r="E324" s="56" t="s">
        <v>173</v>
      </c>
      <c r="F324" s="54" t="s">
        <v>1669</v>
      </c>
      <c r="G324" s="57" t="str">
        <f t="shared" si="1"/>
        <v>08-Nov-2024</v>
      </c>
      <c r="H324" s="54" t="s">
        <v>136</v>
      </c>
      <c r="I324" s="54" t="s">
        <v>1654</v>
      </c>
      <c r="J324" s="27" t="str">
        <f t="shared" si="4"/>
        <v>19-Sep-2025</v>
      </c>
      <c r="K324" s="54" t="s">
        <v>1670</v>
      </c>
      <c r="L324" s="27" t="str">
        <f t="shared" si="5"/>
        <v>22-Nov-2024</v>
      </c>
      <c r="M324" s="23" t="s">
        <v>15</v>
      </c>
      <c r="N324" s="23" t="s">
        <v>177</v>
      </c>
      <c r="O324" s="24"/>
      <c r="P324" s="54">
        <v>0.0</v>
      </c>
      <c r="Q324" s="58" t="s">
        <v>1671</v>
      </c>
      <c r="R324" s="27" t="str">
        <f>IFERROR(__xludf.DUMMYFUNCTION("IF(REGEXMATCH(N324, ""PRIORITY: Low""), ""Low"", IF(REGEXMATCH(N324, ""PRIORITY: Medium""), ""Medium"", IF(REGEXMATCH(N324, ""PRIORITY: High""), ""High"", """")))
"),"")</f>
        <v/>
      </c>
      <c r="S324" s="27" t="str">
        <f>IFERROR(__xludf.DUMMYFUNCTION("IF(REGEXMATCH(N324, ""SKILL: Low""), ""Low"", IF(REGEXMATCH(N324, ""SKILL: Medium""), ""Medium"", IF(REGEXMATCH(N324, ""SKILL: High""), ""High"", """")))"),"")</f>
        <v/>
      </c>
      <c r="T324" s="27" t="str">
        <f>IFERROR(__xludf.DUMMYFUNCTION("IF(REGEXMATCH(N324, ""STATUS: Dev Complete - Awaiting QA""), ""Dev Complete - Awaiting QA"", IF(REGEXMATCH(N324, ""STATUS: Follow-Up Required""), ""Follow-Up Required"", IF(REGEXMATCH(N324, ""STATUS: In Progress""), ""In Progress"", IF(REGEXMATCH(N324, """&amp;"STATUS: In QA""), ""In QA"", IF(REGEXMATCH(N324, ""STATUS: Needs Customer Feedback""), ""Needs Customer Feedback"", IF(REGEXMATCH(N324, ""STATUS: QA Passed - Awaiting Release""), ""QA Passed - Awaiting Release"", IF(REGEXMATCH(N324, ""STATUS: Release to P"&amp;"rod""), ""Release to Prod"", """")))))))"),"")</f>
        <v/>
      </c>
    </row>
    <row r="325" hidden="1">
      <c r="A325" s="23" t="s">
        <v>64</v>
      </c>
      <c r="B325" s="12" t="s">
        <v>65</v>
      </c>
      <c r="C325" s="54">
        <v>102.0</v>
      </c>
      <c r="D325" s="55" t="s">
        <v>1672</v>
      </c>
      <c r="E325" s="56" t="s">
        <v>173</v>
      </c>
      <c r="F325" s="54" t="s">
        <v>1673</v>
      </c>
      <c r="G325" s="57" t="str">
        <f t="shared" si="1"/>
        <v>07-Nov-2024</v>
      </c>
      <c r="H325" s="54" t="s">
        <v>136</v>
      </c>
      <c r="I325" s="54" t="s">
        <v>1674</v>
      </c>
      <c r="J325" s="27" t="str">
        <f t="shared" si="4"/>
        <v>11-Jul-2025</v>
      </c>
      <c r="K325" s="54" t="s">
        <v>1675</v>
      </c>
      <c r="L325" s="27" t="str">
        <f t="shared" si="5"/>
        <v>15-Nov-2024</v>
      </c>
      <c r="M325" s="23" t="s">
        <v>15</v>
      </c>
      <c r="N325" s="23" t="s">
        <v>177</v>
      </c>
      <c r="O325" s="24"/>
      <c r="P325" s="54">
        <v>1.0</v>
      </c>
      <c r="Q325" s="58" t="s">
        <v>1676</v>
      </c>
      <c r="R325" s="27" t="str">
        <f>IFERROR(__xludf.DUMMYFUNCTION("IF(REGEXMATCH(N325, ""PRIORITY: Low""), ""Low"", IF(REGEXMATCH(N325, ""PRIORITY: Medium""), ""Medium"", IF(REGEXMATCH(N325, ""PRIORITY: High""), ""High"", """")))
"),"")</f>
        <v/>
      </c>
      <c r="S325" s="27" t="str">
        <f>IFERROR(__xludf.DUMMYFUNCTION("IF(REGEXMATCH(N325, ""SKILL: Low""), ""Low"", IF(REGEXMATCH(N325, ""SKILL: Medium""), ""Medium"", IF(REGEXMATCH(N325, ""SKILL: High""), ""High"", """")))"),"")</f>
        <v/>
      </c>
      <c r="T325" s="27" t="str">
        <f>IFERROR(__xludf.DUMMYFUNCTION("IF(REGEXMATCH(N325, ""STATUS: Dev Complete - Awaiting QA""), ""Dev Complete - Awaiting QA"", IF(REGEXMATCH(N325, ""STATUS: Follow-Up Required""), ""Follow-Up Required"", IF(REGEXMATCH(N325, ""STATUS: In Progress""), ""In Progress"", IF(REGEXMATCH(N325, """&amp;"STATUS: In QA""), ""In QA"", IF(REGEXMATCH(N325, ""STATUS: Needs Customer Feedback""), ""Needs Customer Feedback"", IF(REGEXMATCH(N325, ""STATUS: QA Passed - Awaiting Release""), ""QA Passed - Awaiting Release"", IF(REGEXMATCH(N325, ""STATUS: Release to P"&amp;"rod""), ""Release to Prod"", """")))))))"),"")</f>
        <v/>
      </c>
    </row>
    <row r="326" hidden="1">
      <c r="A326" s="23" t="s">
        <v>64</v>
      </c>
      <c r="B326" s="12" t="s">
        <v>65</v>
      </c>
      <c r="C326" s="54">
        <v>101.0</v>
      </c>
      <c r="D326" s="55" t="s">
        <v>1677</v>
      </c>
      <c r="E326" s="56" t="s">
        <v>173</v>
      </c>
      <c r="F326" s="54" t="s">
        <v>1678</v>
      </c>
      <c r="G326" s="57" t="str">
        <f t="shared" si="1"/>
        <v>07-Nov-2024</v>
      </c>
      <c r="H326" s="54" t="s">
        <v>37</v>
      </c>
      <c r="I326" s="54" t="s">
        <v>1654</v>
      </c>
      <c r="J326" s="27" t="str">
        <f t="shared" si="4"/>
        <v>19-Sep-2025</v>
      </c>
      <c r="K326" s="54" t="s">
        <v>1679</v>
      </c>
      <c r="L326" s="27" t="str">
        <f t="shared" si="5"/>
        <v>22-Nov-2024</v>
      </c>
      <c r="M326" s="23" t="s">
        <v>15</v>
      </c>
      <c r="N326" s="23" t="s">
        <v>177</v>
      </c>
      <c r="O326" s="24"/>
      <c r="P326" s="54">
        <v>0.0</v>
      </c>
      <c r="Q326" s="58" t="s">
        <v>1680</v>
      </c>
      <c r="R326" s="27" t="str">
        <f>IFERROR(__xludf.DUMMYFUNCTION("IF(REGEXMATCH(N326, ""PRIORITY: Low""), ""Low"", IF(REGEXMATCH(N326, ""PRIORITY: Medium""), ""Medium"", IF(REGEXMATCH(N326, ""PRIORITY: High""), ""High"", """")))
"),"")</f>
        <v/>
      </c>
      <c r="S326" s="27" t="str">
        <f>IFERROR(__xludf.DUMMYFUNCTION("IF(REGEXMATCH(N326, ""SKILL: Low""), ""Low"", IF(REGEXMATCH(N326, ""SKILL: Medium""), ""Medium"", IF(REGEXMATCH(N326, ""SKILL: High""), ""High"", """")))"),"")</f>
        <v/>
      </c>
      <c r="T326" s="27" t="str">
        <f>IFERROR(__xludf.DUMMYFUNCTION("IF(REGEXMATCH(N326, ""STATUS: Dev Complete - Awaiting QA""), ""Dev Complete - Awaiting QA"", IF(REGEXMATCH(N326, ""STATUS: Follow-Up Required""), ""Follow-Up Required"", IF(REGEXMATCH(N326, ""STATUS: In Progress""), ""In Progress"", IF(REGEXMATCH(N326, """&amp;"STATUS: In QA""), ""In QA"", IF(REGEXMATCH(N326, ""STATUS: Needs Customer Feedback""), ""Needs Customer Feedback"", IF(REGEXMATCH(N326, ""STATUS: QA Passed - Awaiting Release""), ""QA Passed - Awaiting Release"", IF(REGEXMATCH(N326, ""STATUS: Release to P"&amp;"rod""), ""Release to Prod"", """")))))))"),"")</f>
        <v/>
      </c>
    </row>
    <row r="327" hidden="1">
      <c r="A327" s="23" t="s">
        <v>64</v>
      </c>
      <c r="B327" s="12" t="s">
        <v>65</v>
      </c>
      <c r="C327" s="54">
        <v>100.0</v>
      </c>
      <c r="D327" s="55" t="s">
        <v>1681</v>
      </c>
      <c r="E327" s="56" t="s">
        <v>173</v>
      </c>
      <c r="F327" s="54" t="s">
        <v>1682</v>
      </c>
      <c r="G327" s="57" t="str">
        <f t="shared" si="1"/>
        <v>07-Nov-2024</v>
      </c>
      <c r="H327" s="54" t="s">
        <v>141</v>
      </c>
      <c r="I327" s="54" t="s">
        <v>1683</v>
      </c>
      <c r="J327" s="27" t="str">
        <f t="shared" si="4"/>
        <v>11-Jul-2025</v>
      </c>
      <c r="K327" s="54" t="s">
        <v>1684</v>
      </c>
      <c r="L327" s="27" t="str">
        <f t="shared" si="5"/>
        <v>15-Nov-2024</v>
      </c>
      <c r="M327" s="23" t="s">
        <v>15</v>
      </c>
      <c r="N327" s="23" t="s">
        <v>177</v>
      </c>
      <c r="O327" s="24"/>
      <c r="P327" s="54">
        <v>0.0</v>
      </c>
      <c r="Q327" s="58" t="s">
        <v>1685</v>
      </c>
      <c r="R327" s="27" t="str">
        <f>IFERROR(__xludf.DUMMYFUNCTION("IF(REGEXMATCH(N327, ""PRIORITY: Low""), ""Low"", IF(REGEXMATCH(N327, ""PRIORITY: Medium""), ""Medium"", IF(REGEXMATCH(N327, ""PRIORITY: High""), ""High"", """")))
"),"")</f>
        <v/>
      </c>
      <c r="S327" s="27" t="str">
        <f>IFERROR(__xludf.DUMMYFUNCTION("IF(REGEXMATCH(N327, ""SKILL: Low""), ""Low"", IF(REGEXMATCH(N327, ""SKILL: Medium""), ""Medium"", IF(REGEXMATCH(N327, ""SKILL: High""), ""High"", """")))"),"")</f>
        <v/>
      </c>
      <c r="T327" s="27" t="str">
        <f>IFERROR(__xludf.DUMMYFUNCTION("IF(REGEXMATCH(N327, ""STATUS: Dev Complete - Awaiting QA""), ""Dev Complete - Awaiting QA"", IF(REGEXMATCH(N327, ""STATUS: Follow-Up Required""), ""Follow-Up Required"", IF(REGEXMATCH(N327, ""STATUS: In Progress""), ""In Progress"", IF(REGEXMATCH(N327, """&amp;"STATUS: In QA""), ""In QA"", IF(REGEXMATCH(N327, ""STATUS: Needs Customer Feedback""), ""Needs Customer Feedback"", IF(REGEXMATCH(N327, ""STATUS: QA Passed - Awaiting Release""), ""QA Passed - Awaiting Release"", IF(REGEXMATCH(N327, ""STATUS: Release to P"&amp;"rod""), ""Release to Prod"", """")))))))"),"")</f>
        <v/>
      </c>
    </row>
    <row r="328" hidden="1">
      <c r="A328" s="23" t="s">
        <v>64</v>
      </c>
      <c r="B328" s="12" t="s">
        <v>65</v>
      </c>
      <c r="C328" s="54">
        <v>99.0</v>
      </c>
      <c r="D328" s="55" t="s">
        <v>1686</v>
      </c>
      <c r="E328" s="56" t="s">
        <v>173</v>
      </c>
      <c r="F328" s="54" t="s">
        <v>1687</v>
      </c>
      <c r="G328" s="57" t="str">
        <f t="shared" si="1"/>
        <v>07-Nov-2024</v>
      </c>
      <c r="H328" s="54" t="s">
        <v>141</v>
      </c>
      <c r="I328" s="54" t="s">
        <v>1688</v>
      </c>
      <c r="J328" s="27" t="str">
        <f t="shared" si="4"/>
        <v>11-Jul-2025</v>
      </c>
      <c r="K328" s="54" t="s">
        <v>1684</v>
      </c>
      <c r="L328" s="27" t="str">
        <f t="shared" si="5"/>
        <v>15-Nov-2024</v>
      </c>
      <c r="M328" s="23" t="s">
        <v>15</v>
      </c>
      <c r="N328" s="23" t="s">
        <v>177</v>
      </c>
      <c r="O328" s="24"/>
      <c r="P328" s="54">
        <v>1.0</v>
      </c>
      <c r="Q328" s="58" t="s">
        <v>1689</v>
      </c>
      <c r="R328" s="27" t="str">
        <f>IFERROR(__xludf.DUMMYFUNCTION("IF(REGEXMATCH(N328, ""PRIORITY: Low""), ""Low"", IF(REGEXMATCH(N328, ""PRIORITY: Medium""), ""Medium"", IF(REGEXMATCH(N328, ""PRIORITY: High""), ""High"", """")))
"),"")</f>
        <v/>
      </c>
      <c r="S328" s="27" t="str">
        <f>IFERROR(__xludf.DUMMYFUNCTION("IF(REGEXMATCH(N328, ""SKILL: Low""), ""Low"", IF(REGEXMATCH(N328, ""SKILL: Medium""), ""Medium"", IF(REGEXMATCH(N328, ""SKILL: High""), ""High"", """")))"),"")</f>
        <v/>
      </c>
      <c r="T328" s="27" t="str">
        <f>IFERROR(__xludf.DUMMYFUNCTION("IF(REGEXMATCH(N328, ""STATUS: Dev Complete - Awaiting QA""), ""Dev Complete - Awaiting QA"", IF(REGEXMATCH(N328, ""STATUS: Follow-Up Required""), ""Follow-Up Required"", IF(REGEXMATCH(N328, ""STATUS: In Progress""), ""In Progress"", IF(REGEXMATCH(N328, """&amp;"STATUS: In QA""), ""In QA"", IF(REGEXMATCH(N328, ""STATUS: Needs Customer Feedback""), ""Needs Customer Feedback"", IF(REGEXMATCH(N328, ""STATUS: QA Passed - Awaiting Release""), ""QA Passed - Awaiting Release"", IF(REGEXMATCH(N328, ""STATUS: Release to P"&amp;"rod""), ""Release to Prod"", """")))))))"),"")</f>
        <v/>
      </c>
    </row>
    <row r="329" hidden="1">
      <c r="A329" s="23" t="s">
        <v>64</v>
      </c>
      <c r="B329" s="12" t="s">
        <v>65</v>
      </c>
      <c r="C329" s="54">
        <v>98.0</v>
      </c>
      <c r="D329" s="55" t="s">
        <v>1690</v>
      </c>
      <c r="E329" s="56" t="s">
        <v>173</v>
      </c>
      <c r="F329" s="54" t="s">
        <v>1691</v>
      </c>
      <c r="G329" s="57" t="str">
        <f t="shared" si="1"/>
        <v>07-Nov-2024</v>
      </c>
      <c r="H329" s="54" t="s">
        <v>141</v>
      </c>
      <c r="I329" s="54" t="s">
        <v>1692</v>
      </c>
      <c r="J329" s="27" t="str">
        <f t="shared" si="4"/>
        <v>11-Jul-2025</v>
      </c>
      <c r="K329" s="54" t="s">
        <v>1693</v>
      </c>
      <c r="L329" s="27" t="str">
        <f t="shared" si="5"/>
        <v>15-Nov-2024</v>
      </c>
      <c r="M329" s="23" t="s">
        <v>15</v>
      </c>
      <c r="N329" s="23" t="s">
        <v>177</v>
      </c>
      <c r="O329" s="24"/>
      <c r="P329" s="54">
        <v>1.0</v>
      </c>
      <c r="Q329" s="58" t="s">
        <v>1694</v>
      </c>
      <c r="R329" s="27" t="str">
        <f>IFERROR(__xludf.DUMMYFUNCTION("IF(REGEXMATCH(N329, ""PRIORITY: Low""), ""Low"", IF(REGEXMATCH(N329, ""PRIORITY: Medium""), ""Medium"", IF(REGEXMATCH(N329, ""PRIORITY: High""), ""High"", """")))
"),"")</f>
        <v/>
      </c>
      <c r="S329" s="27" t="str">
        <f>IFERROR(__xludf.DUMMYFUNCTION("IF(REGEXMATCH(N329, ""SKILL: Low""), ""Low"", IF(REGEXMATCH(N329, ""SKILL: Medium""), ""Medium"", IF(REGEXMATCH(N329, ""SKILL: High""), ""High"", """")))"),"")</f>
        <v/>
      </c>
      <c r="T329" s="27" t="str">
        <f>IFERROR(__xludf.DUMMYFUNCTION("IF(REGEXMATCH(N329, ""STATUS: Dev Complete - Awaiting QA""), ""Dev Complete - Awaiting QA"", IF(REGEXMATCH(N329, ""STATUS: Follow-Up Required""), ""Follow-Up Required"", IF(REGEXMATCH(N329, ""STATUS: In Progress""), ""In Progress"", IF(REGEXMATCH(N329, """&amp;"STATUS: In QA""), ""In QA"", IF(REGEXMATCH(N329, ""STATUS: Needs Customer Feedback""), ""Needs Customer Feedback"", IF(REGEXMATCH(N329, ""STATUS: QA Passed - Awaiting Release""), ""QA Passed - Awaiting Release"", IF(REGEXMATCH(N329, ""STATUS: Release to P"&amp;"rod""), ""Release to Prod"", """")))))))"),"")</f>
        <v/>
      </c>
    </row>
    <row r="330" hidden="1">
      <c r="A330" s="23" t="s">
        <v>64</v>
      </c>
      <c r="B330" s="12" t="s">
        <v>65</v>
      </c>
      <c r="C330" s="54">
        <v>97.0</v>
      </c>
      <c r="D330" s="55" t="s">
        <v>1695</v>
      </c>
      <c r="E330" s="56" t="s">
        <v>173</v>
      </c>
      <c r="F330" s="54" t="s">
        <v>1696</v>
      </c>
      <c r="G330" s="57" t="str">
        <f t="shared" si="1"/>
        <v>07-Nov-2024</v>
      </c>
      <c r="H330" s="54" t="s">
        <v>141</v>
      </c>
      <c r="I330" s="54" t="s">
        <v>1692</v>
      </c>
      <c r="J330" s="27" t="str">
        <f t="shared" si="4"/>
        <v>11-Jul-2025</v>
      </c>
      <c r="K330" s="54" t="s">
        <v>1693</v>
      </c>
      <c r="L330" s="27" t="str">
        <f t="shared" si="5"/>
        <v>15-Nov-2024</v>
      </c>
      <c r="M330" s="23" t="s">
        <v>15</v>
      </c>
      <c r="N330" s="23" t="s">
        <v>177</v>
      </c>
      <c r="O330" s="24"/>
      <c r="P330" s="54">
        <v>1.0</v>
      </c>
      <c r="Q330" s="58" t="s">
        <v>1697</v>
      </c>
      <c r="R330" s="27" t="str">
        <f>IFERROR(__xludf.DUMMYFUNCTION("IF(REGEXMATCH(N330, ""PRIORITY: Low""), ""Low"", IF(REGEXMATCH(N330, ""PRIORITY: Medium""), ""Medium"", IF(REGEXMATCH(N330, ""PRIORITY: High""), ""High"", """")))
"),"")</f>
        <v/>
      </c>
      <c r="S330" s="27" t="str">
        <f>IFERROR(__xludf.DUMMYFUNCTION("IF(REGEXMATCH(N330, ""SKILL: Low""), ""Low"", IF(REGEXMATCH(N330, ""SKILL: Medium""), ""Medium"", IF(REGEXMATCH(N330, ""SKILL: High""), ""High"", """")))"),"")</f>
        <v/>
      </c>
      <c r="T330" s="27" t="str">
        <f>IFERROR(__xludf.DUMMYFUNCTION("IF(REGEXMATCH(N330, ""STATUS: Dev Complete - Awaiting QA""), ""Dev Complete - Awaiting QA"", IF(REGEXMATCH(N330, ""STATUS: Follow-Up Required""), ""Follow-Up Required"", IF(REGEXMATCH(N330, ""STATUS: In Progress""), ""In Progress"", IF(REGEXMATCH(N330, """&amp;"STATUS: In QA""), ""In QA"", IF(REGEXMATCH(N330, ""STATUS: Needs Customer Feedback""), ""Needs Customer Feedback"", IF(REGEXMATCH(N330, ""STATUS: QA Passed - Awaiting Release""), ""QA Passed - Awaiting Release"", IF(REGEXMATCH(N330, ""STATUS: Release to P"&amp;"rod""), ""Release to Prod"", """")))))))"),"")</f>
        <v/>
      </c>
    </row>
    <row r="331" hidden="1">
      <c r="A331" s="23" t="s">
        <v>64</v>
      </c>
      <c r="B331" s="12" t="s">
        <v>65</v>
      </c>
      <c r="C331" s="54">
        <v>96.0</v>
      </c>
      <c r="D331" s="55" t="s">
        <v>1698</v>
      </c>
      <c r="E331" s="56" t="s">
        <v>173</v>
      </c>
      <c r="F331" s="54" t="s">
        <v>1699</v>
      </c>
      <c r="G331" s="57" t="str">
        <f t="shared" si="1"/>
        <v>07-Nov-2024</v>
      </c>
      <c r="H331" s="54" t="s">
        <v>141</v>
      </c>
      <c r="I331" s="54" t="s">
        <v>1700</v>
      </c>
      <c r="J331" s="27" t="str">
        <f t="shared" si="4"/>
        <v>11-Jul-2025</v>
      </c>
      <c r="K331" s="54" t="s">
        <v>1693</v>
      </c>
      <c r="L331" s="27" t="str">
        <f t="shared" si="5"/>
        <v>15-Nov-2024</v>
      </c>
      <c r="M331" s="23" t="s">
        <v>15</v>
      </c>
      <c r="N331" s="23" t="s">
        <v>177</v>
      </c>
      <c r="O331" s="24"/>
      <c r="P331" s="54">
        <v>1.0</v>
      </c>
      <c r="Q331" s="58" t="s">
        <v>1701</v>
      </c>
      <c r="R331" s="27" t="str">
        <f>IFERROR(__xludf.DUMMYFUNCTION("IF(REGEXMATCH(N331, ""PRIORITY: Low""), ""Low"", IF(REGEXMATCH(N331, ""PRIORITY: Medium""), ""Medium"", IF(REGEXMATCH(N331, ""PRIORITY: High""), ""High"", """")))
"),"")</f>
        <v/>
      </c>
      <c r="S331" s="27" t="str">
        <f>IFERROR(__xludf.DUMMYFUNCTION("IF(REGEXMATCH(N331, ""SKILL: Low""), ""Low"", IF(REGEXMATCH(N331, ""SKILL: Medium""), ""Medium"", IF(REGEXMATCH(N331, ""SKILL: High""), ""High"", """")))"),"")</f>
        <v/>
      </c>
      <c r="T331" s="27" t="str">
        <f>IFERROR(__xludf.DUMMYFUNCTION("IF(REGEXMATCH(N331, ""STATUS: Dev Complete - Awaiting QA""), ""Dev Complete - Awaiting QA"", IF(REGEXMATCH(N331, ""STATUS: Follow-Up Required""), ""Follow-Up Required"", IF(REGEXMATCH(N331, ""STATUS: In Progress""), ""In Progress"", IF(REGEXMATCH(N331, """&amp;"STATUS: In QA""), ""In QA"", IF(REGEXMATCH(N331, ""STATUS: Needs Customer Feedback""), ""Needs Customer Feedback"", IF(REGEXMATCH(N331, ""STATUS: QA Passed - Awaiting Release""), ""QA Passed - Awaiting Release"", IF(REGEXMATCH(N331, ""STATUS: Release to P"&amp;"rod""), ""Release to Prod"", """")))))))"),"")</f>
        <v/>
      </c>
    </row>
    <row r="332" hidden="1">
      <c r="A332" s="23" t="s">
        <v>64</v>
      </c>
      <c r="B332" s="12" t="s">
        <v>65</v>
      </c>
      <c r="C332" s="54">
        <v>95.0</v>
      </c>
      <c r="D332" s="55" t="s">
        <v>1702</v>
      </c>
      <c r="E332" s="56" t="s">
        <v>173</v>
      </c>
      <c r="F332" s="54" t="s">
        <v>1703</v>
      </c>
      <c r="G332" s="57" t="str">
        <f t="shared" si="1"/>
        <v>07-Nov-2024</v>
      </c>
      <c r="H332" s="54" t="s">
        <v>141</v>
      </c>
      <c r="I332" s="54" t="s">
        <v>1704</v>
      </c>
      <c r="J332" s="27" t="str">
        <f t="shared" si="4"/>
        <v>11-Jul-2025</v>
      </c>
      <c r="K332" s="54" t="s">
        <v>1705</v>
      </c>
      <c r="L332" s="27" t="str">
        <f t="shared" si="5"/>
        <v>15-Nov-2024</v>
      </c>
      <c r="M332" s="23" t="s">
        <v>15</v>
      </c>
      <c r="N332" s="23" t="s">
        <v>177</v>
      </c>
      <c r="O332" s="24"/>
      <c r="P332" s="54">
        <v>1.0</v>
      </c>
      <c r="Q332" s="58" t="s">
        <v>1706</v>
      </c>
      <c r="R332" s="27" t="str">
        <f>IFERROR(__xludf.DUMMYFUNCTION("IF(REGEXMATCH(N332, ""PRIORITY: Low""), ""Low"", IF(REGEXMATCH(N332, ""PRIORITY: Medium""), ""Medium"", IF(REGEXMATCH(N332, ""PRIORITY: High""), ""High"", """")))
"),"")</f>
        <v/>
      </c>
      <c r="S332" s="27" t="str">
        <f>IFERROR(__xludf.DUMMYFUNCTION("IF(REGEXMATCH(N332, ""SKILL: Low""), ""Low"", IF(REGEXMATCH(N332, ""SKILL: Medium""), ""Medium"", IF(REGEXMATCH(N332, ""SKILL: High""), ""High"", """")))"),"")</f>
        <v/>
      </c>
      <c r="T332" s="27" t="str">
        <f>IFERROR(__xludf.DUMMYFUNCTION("IF(REGEXMATCH(N332, ""STATUS: Dev Complete - Awaiting QA""), ""Dev Complete - Awaiting QA"", IF(REGEXMATCH(N332, ""STATUS: Follow-Up Required""), ""Follow-Up Required"", IF(REGEXMATCH(N332, ""STATUS: In Progress""), ""In Progress"", IF(REGEXMATCH(N332, """&amp;"STATUS: In QA""), ""In QA"", IF(REGEXMATCH(N332, ""STATUS: Needs Customer Feedback""), ""Needs Customer Feedback"", IF(REGEXMATCH(N332, ""STATUS: QA Passed - Awaiting Release""), ""QA Passed - Awaiting Release"", IF(REGEXMATCH(N332, ""STATUS: Release to P"&amp;"rod""), ""Release to Prod"", """")))))))"),"")</f>
        <v/>
      </c>
    </row>
    <row r="333" hidden="1">
      <c r="A333" s="23" t="s">
        <v>64</v>
      </c>
      <c r="B333" s="12" t="s">
        <v>65</v>
      </c>
      <c r="C333" s="54">
        <v>94.0</v>
      </c>
      <c r="D333" s="55" t="s">
        <v>1707</v>
      </c>
      <c r="E333" s="56" t="s">
        <v>173</v>
      </c>
      <c r="F333" s="54" t="s">
        <v>1708</v>
      </c>
      <c r="G333" s="57" t="str">
        <f t="shared" si="1"/>
        <v>07-Nov-2024</v>
      </c>
      <c r="H333" s="54" t="s">
        <v>141</v>
      </c>
      <c r="I333" s="54" t="s">
        <v>1704</v>
      </c>
      <c r="J333" s="27" t="str">
        <f t="shared" si="4"/>
        <v>11-Jul-2025</v>
      </c>
      <c r="K333" s="54" t="s">
        <v>1709</v>
      </c>
      <c r="L333" s="27" t="str">
        <f t="shared" si="5"/>
        <v>07-Nov-2024</v>
      </c>
      <c r="M333" s="23" t="s">
        <v>15</v>
      </c>
      <c r="N333" s="23" t="s">
        <v>177</v>
      </c>
      <c r="O333" s="24"/>
      <c r="P333" s="54">
        <v>0.0</v>
      </c>
      <c r="Q333" s="58" t="s">
        <v>1710</v>
      </c>
      <c r="R333" s="27" t="str">
        <f>IFERROR(__xludf.DUMMYFUNCTION("IF(REGEXMATCH(N333, ""PRIORITY: Low""), ""Low"", IF(REGEXMATCH(N333, ""PRIORITY: Medium""), ""Medium"", IF(REGEXMATCH(N333, ""PRIORITY: High""), ""High"", """")))
"),"")</f>
        <v/>
      </c>
      <c r="S333" s="27" t="str">
        <f>IFERROR(__xludf.DUMMYFUNCTION("IF(REGEXMATCH(N333, ""SKILL: Low""), ""Low"", IF(REGEXMATCH(N333, ""SKILL: Medium""), ""Medium"", IF(REGEXMATCH(N333, ""SKILL: High""), ""High"", """")))"),"")</f>
        <v/>
      </c>
      <c r="T333" s="27" t="str">
        <f>IFERROR(__xludf.DUMMYFUNCTION("IF(REGEXMATCH(N333, ""STATUS: Dev Complete - Awaiting QA""), ""Dev Complete - Awaiting QA"", IF(REGEXMATCH(N333, ""STATUS: Follow-Up Required""), ""Follow-Up Required"", IF(REGEXMATCH(N333, ""STATUS: In Progress""), ""In Progress"", IF(REGEXMATCH(N333, """&amp;"STATUS: In QA""), ""In QA"", IF(REGEXMATCH(N333, ""STATUS: Needs Customer Feedback""), ""Needs Customer Feedback"", IF(REGEXMATCH(N333, ""STATUS: QA Passed - Awaiting Release""), ""QA Passed - Awaiting Release"", IF(REGEXMATCH(N333, ""STATUS: Release to P"&amp;"rod""), ""Release to Prod"", """")))))))"),"")</f>
        <v/>
      </c>
    </row>
    <row r="334" hidden="1">
      <c r="A334" s="23" t="s">
        <v>64</v>
      </c>
      <c r="B334" s="12" t="s">
        <v>65</v>
      </c>
      <c r="C334" s="54">
        <v>93.0</v>
      </c>
      <c r="D334" s="55" t="s">
        <v>1711</v>
      </c>
      <c r="E334" s="56" t="s">
        <v>173</v>
      </c>
      <c r="F334" s="54" t="s">
        <v>1712</v>
      </c>
      <c r="G334" s="57" t="str">
        <f t="shared" si="1"/>
        <v>07-Nov-2024</v>
      </c>
      <c r="H334" s="54" t="s">
        <v>141</v>
      </c>
      <c r="I334" s="54" t="s">
        <v>1713</v>
      </c>
      <c r="J334" s="27" t="str">
        <f t="shared" si="4"/>
        <v>11-Jul-2025</v>
      </c>
      <c r="K334" s="54" t="s">
        <v>1705</v>
      </c>
      <c r="L334" s="27" t="str">
        <f t="shared" si="5"/>
        <v>15-Nov-2024</v>
      </c>
      <c r="M334" s="23" t="s">
        <v>15</v>
      </c>
      <c r="N334" s="23" t="s">
        <v>177</v>
      </c>
      <c r="O334" s="24"/>
      <c r="P334" s="54">
        <v>1.0</v>
      </c>
      <c r="Q334" s="58" t="s">
        <v>1714</v>
      </c>
      <c r="R334" s="27" t="str">
        <f>IFERROR(__xludf.DUMMYFUNCTION("IF(REGEXMATCH(N334, ""PRIORITY: Low""), ""Low"", IF(REGEXMATCH(N334, ""PRIORITY: Medium""), ""Medium"", IF(REGEXMATCH(N334, ""PRIORITY: High""), ""High"", """")))
"),"")</f>
        <v/>
      </c>
      <c r="S334" s="27" t="str">
        <f>IFERROR(__xludf.DUMMYFUNCTION("IF(REGEXMATCH(N334, ""SKILL: Low""), ""Low"", IF(REGEXMATCH(N334, ""SKILL: Medium""), ""Medium"", IF(REGEXMATCH(N334, ""SKILL: High""), ""High"", """")))"),"")</f>
        <v/>
      </c>
      <c r="T334" s="27" t="str">
        <f>IFERROR(__xludf.DUMMYFUNCTION("IF(REGEXMATCH(N334, ""STATUS: Dev Complete - Awaiting QA""), ""Dev Complete - Awaiting QA"", IF(REGEXMATCH(N334, ""STATUS: Follow-Up Required""), ""Follow-Up Required"", IF(REGEXMATCH(N334, ""STATUS: In Progress""), ""In Progress"", IF(REGEXMATCH(N334, """&amp;"STATUS: In QA""), ""In QA"", IF(REGEXMATCH(N334, ""STATUS: Needs Customer Feedback""), ""Needs Customer Feedback"", IF(REGEXMATCH(N334, ""STATUS: QA Passed - Awaiting Release""), ""QA Passed - Awaiting Release"", IF(REGEXMATCH(N334, ""STATUS: Release to P"&amp;"rod""), ""Release to Prod"", """")))))))"),"")</f>
        <v/>
      </c>
    </row>
    <row r="335" hidden="1">
      <c r="A335" s="23" t="s">
        <v>64</v>
      </c>
      <c r="B335" s="12" t="s">
        <v>65</v>
      </c>
      <c r="C335" s="54">
        <v>84.0</v>
      </c>
      <c r="D335" s="55" t="s">
        <v>1715</v>
      </c>
      <c r="E335" s="56" t="s">
        <v>173</v>
      </c>
      <c r="F335" s="54" t="s">
        <v>1716</v>
      </c>
      <c r="G335" s="57" t="str">
        <f t="shared" si="1"/>
        <v>05-Nov-2024</v>
      </c>
      <c r="H335" s="54" t="s">
        <v>98</v>
      </c>
      <c r="I335" s="54" t="s">
        <v>1717</v>
      </c>
      <c r="J335" s="27" t="str">
        <f t="shared" si="4"/>
        <v>19-Sep-2025</v>
      </c>
      <c r="K335" s="54" t="s">
        <v>1718</v>
      </c>
      <c r="L335" s="27" t="str">
        <f t="shared" si="5"/>
        <v>20-May-2025</v>
      </c>
      <c r="M335" s="23" t="s">
        <v>15</v>
      </c>
      <c r="N335" s="23" t="s">
        <v>177</v>
      </c>
      <c r="O335" s="24"/>
      <c r="P335" s="54">
        <v>0.0</v>
      </c>
      <c r="Q335" s="58" t="s">
        <v>1719</v>
      </c>
      <c r="R335" s="27" t="str">
        <f>IFERROR(__xludf.DUMMYFUNCTION("IF(REGEXMATCH(N335, ""PRIORITY: Low""), ""Low"", IF(REGEXMATCH(N335, ""PRIORITY: Medium""), ""Medium"", IF(REGEXMATCH(N335, ""PRIORITY: High""), ""High"", """")))
"),"")</f>
        <v/>
      </c>
      <c r="S335" s="27" t="str">
        <f>IFERROR(__xludf.DUMMYFUNCTION("IF(REGEXMATCH(N335, ""SKILL: Low""), ""Low"", IF(REGEXMATCH(N335, ""SKILL: Medium""), ""Medium"", IF(REGEXMATCH(N335, ""SKILL: High""), ""High"", """")))"),"")</f>
        <v/>
      </c>
      <c r="T335" s="27" t="str">
        <f>IFERROR(__xludf.DUMMYFUNCTION("IF(REGEXMATCH(N335, ""STATUS: Dev Complete - Awaiting QA""), ""Dev Complete - Awaiting QA"", IF(REGEXMATCH(N335, ""STATUS: Follow-Up Required""), ""Follow-Up Required"", IF(REGEXMATCH(N335, ""STATUS: In Progress""), ""In Progress"", IF(REGEXMATCH(N335, """&amp;"STATUS: In QA""), ""In QA"", IF(REGEXMATCH(N335, ""STATUS: Needs Customer Feedback""), ""Needs Customer Feedback"", IF(REGEXMATCH(N335, ""STATUS: QA Passed - Awaiting Release""), ""QA Passed - Awaiting Release"", IF(REGEXMATCH(N335, ""STATUS: Release to P"&amp;"rod""), ""Release to Prod"", """")))))))"),"")</f>
        <v/>
      </c>
    </row>
    <row r="336" hidden="1">
      <c r="A336" s="23" t="s">
        <v>64</v>
      </c>
      <c r="B336" s="12" t="s">
        <v>65</v>
      </c>
      <c r="C336" s="54">
        <v>83.0</v>
      </c>
      <c r="D336" s="55" t="s">
        <v>1720</v>
      </c>
      <c r="E336" s="56" t="s">
        <v>173</v>
      </c>
      <c r="F336" s="54" t="s">
        <v>1721</v>
      </c>
      <c r="G336" s="57" t="str">
        <f t="shared" si="1"/>
        <v>05-Nov-2024</v>
      </c>
      <c r="H336" s="54" t="s">
        <v>37</v>
      </c>
      <c r="I336" s="54" t="s">
        <v>1722</v>
      </c>
      <c r="J336" s="27" t="str">
        <f t="shared" si="4"/>
        <v>11-Jul-2025</v>
      </c>
      <c r="K336" s="54" t="s">
        <v>1723</v>
      </c>
      <c r="L336" s="27" t="str">
        <f t="shared" si="5"/>
        <v>06-Nov-2024</v>
      </c>
      <c r="M336" s="23" t="s">
        <v>15</v>
      </c>
      <c r="N336" s="23" t="s">
        <v>177</v>
      </c>
      <c r="O336" s="24"/>
      <c r="P336" s="54">
        <v>0.0</v>
      </c>
      <c r="Q336" s="58" t="s">
        <v>1724</v>
      </c>
      <c r="R336" s="27" t="str">
        <f>IFERROR(__xludf.DUMMYFUNCTION("IF(REGEXMATCH(N336, ""PRIORITY: Low""), ""Low"", IF(REGEXMATCH(N336, ""PRIORITY: Medium""), ""Medium"", IF(REGEXMATCH(N336, ""PRIORITY: High""), ""High"", """")))
"),"")</f>
        <v/>
      </c>
      <c r="S336" s="27" t="str">
        <f>IFERROR(__xludf.DUMMYFUNCTION("IF(REGEXMATCH(N336, ""SKILL: Low""), ""Low"", IF(REGEXMATCH(N336, ""SKILL: Medium""), ""Medium"", IF(REGEXMATCH(N336, ""SKILL: High""), ""High"", """")))"),"")</f>
        <v/>
      </c>
      <c r="T336" s="27" t="str">
        <f>IFERROR(__xludf.DUMMYFUNCTION("IF(REGEXMATCH(N336, ""STATUS: Dev Complete - Awaiting QA""), ""Dev Complete - Awaiting QA"", IF(REGEXMATCH(N336, ""STATUS: Follow-Up Required""), ""Follow-Up Required"", IF(REGEXMATCH(N336, ""STATUS: In Progress""), ""In Progress"", IF(REGEXMATCH(N336, """&amp;"STATUS: In QA""), ""In QA"", IF(REGEXMATCH(N336, ""STATUS: Needs Customer Feedback""), ""Needs Customer Feedback"", IF(REGEXMATCH(N336, ""STATUS: QA Passed - Awaiting Release""), ""QA Passed - Awaiting Release"", IF(REGEXMATCH(N336, ""STATUS: Release to P"&amp;"rod""), ""Release to Prod"", """")))))))"),"")</f>
        <v/>
      </c>
    </row>
    <row r="337" hidden="1">
      <c r="A337" s="23" t="s">
        <v>64</v>
      </c>
      <c r="B337" s="12" t="s">
        <v>65</v>
      </c>
      <c r="C337" s="54">
        <v>82.0</v>
      </c>
      <c r="D337" s="55" t="s">
        <v>1725</v>
      </c>
      <c r="E337" s="56" t="s">
        <v>173</v>
      </c>
      <c r="F337" s="54" t="s">
        <v>1726</v>
      </c>
      <c r="G337" s="57" t="str">
        <f t="shared" si="1"/>
        <v>05-Nov-2024</v>
      </c>
      <c r="H337" s="54" t="s">
        <v>37</v>
      </c>
      <c r="I337" s="54" t="s">
        <v>1722</v>
      </c>
      <c r="J337" s="27" t="str">
        <f t="shared" si="4"/>
        <v>11-Jul-2025</v>
      </c>
      <c r="K337" s="54" t="s">
        <v>1718</v>
      </c>
      <c r="L337" s="27" t="str">
        <f t="shared" si="5"/>
        <v>20-May-2025</v>
      </c>
      <c r="M337" s="23" t="s">
        <v>15</v>
      </c>
      <c r="N337" s="23" t="s">
        <v>177</v>
      </c>
      <c r="O337" s="24"/>
      <c r="P337" s="54">
        <v>0.0</v>
      </c>
      <c r="Q337" s="58" t="s">
        <v>1727</v>
      </c>
      <c r="R337" s="27" t="str">
        <f>IFERROR(__xludf.DUMMYFUNCTION("IF(REGEXMATCH(N337, ""PRIORITY: Low""), ""Low"", IF(REGEXMATCH(N337, ""PRIORITY: Medium""), ""Medium"", IF(REGEXMATCH(N337, ""PRIORITY: High""), ""High"", """")))
"),"")</f>
        <v/>
      </c>
      <c r="S337" s="27" t="str">
        <f>IFERROR(__xludf.DUMMYFUNCTION("IF(REGEXMATCH(N337, ""SKILL: Low""), ""Low"", IF(REGEXMATCH(N337, ""SKILL: Medium""), ""Medium"", IF(REGEXMATCH(N337, ""SKILL: High""), ""High"", """")))"),"")</f>
        <v/>
      </c>
      <c r="T337" s="27" t="str">
        <f>IFERROR(__xludf.DUMMYFUNCTION("IF(REGEXMATCH(N337, ""STATUS: Dev Complete - Awaiting QA""), ""Dev Complete - Awaiting QA"", IF(REGEXMATCH(N337, ""STATUS: Follow-Up Required""), ""Follow-Up Required"", IF(REGEXMATCH(N337, ""STATUS: In Progress""), ""In Progress"", IF(REGEXMATCH(N337, """&amp;"STATUS: In QA""), ""In QA"", IF(REGEXMATCH(N337, ""STATUS: Needs Customer Feedback""), ""Needs Customer Feedback"", IF(REGEXMATCH(N337, ""STATUS: QA Passed - Awaiting Release""), ""QA Passed - Awaiting Release"", IF(REGEXMATCH(N337, ""STATUS: Release to P"&amp;"rod""), ""Release to Prod"", """")))))))"),"")</f>
        <v/>
      </c>
    </row>
    <row r="338" hidden="1">
      <c r="A338" s="23" t="s">
        <v>64</v>
      </c>
      <c r="B338" s="12" t="s">
        <v>65</v>
      </c>
      <c r="C338" s="54">
        <v>81.0</v>
      </c>
      <c r="D338" s="55" t="s">
        <v>1728</v>
      </c>
      <c r="E338" s="56" t="s">
        <v>173</v>
      </c>
      <c r="F338" s="54" t="s">
        <v>1729</v>
      </c>
      <c r="G338" s="57" t="str">
        <f t="shared" si="1"/>
        <v>05-Nov-2024</v>
      </c>
      <c r="H338" s="54" t="s">
        <v>37</v>
      </c>
      <c r="I338" s="54" t="s">
        <v>1730</v>
      </c>
      <c r="J338" s="27" t="str">
        <f t="shared" si="4"/>
        <v>11-Jul-2025</v>
      </c>
      <c r="K338" s="54" t="s">
        <v>1731</v>
      </c>
      <c r="L338" s="27" t="str">
        <f t="shared" si="5"/>
        <v>06-Nov-2024</v>
      </c>
      <c r="M338" s="23" t="s">
        <v>15</v>
      </c>
      <c r="N338" s="23" t="s">
        <v>177</v>
      </c>
      <c r="O338" s="24"/>
      <c r="P338" s="54">
        <v>1.0</v>
      </c>
      <c r="Q338" s="58" t="s">
        <v>1732</v>
      </c>
      <c r="R338" s="27" t="str">
        <f>IFERROR(__xludf.DUMMYFUNCTION("IF(REGEXMATCH(N338, ""PRIORITY: Low""), ""Low"", IF(REGEXMATCH(N338, ""PRIORITY: Medium""), ""Medium"", IF(REGEXMATCH(N338, ""PRIORITY: High""), ""High"", """")))
"),"")</f>
        <v/>
      </c>
      <c r="S338" s="27" t="str">
        <f>IFERROR(__xludf.DUMMYFUNCTION("IF(REGEXMATCH(N338, ""SKILL: Low""), ""Low"", IF(REGEXMATCH(N338, ""SKILL: Medium""), ""Medium"", IF(REGEXMATCH(N338, ""SKILL: High""), ""High"", """")))"),"")</f>
        <v/>
      </c>
      <c r="T338" s="27" t="str">
        <f>IFERROR(__xludf.DUMMYFUNCTION("IF(REGEXMATCH(N338, ""STATUS: Dev Complete - Awaiting QA""), ""Dev Complete - Awaiting QA"", IF(REGEXMATCH(N338, ""STATUS: Follow-Up Required""), ""Follow-Up Required"", IF(REGEXMATCH(N338, ""STATUS: In Progress""), ""In Progress"", IF(REGEXMATCH(N338, """&amp;"STATUS: In QA""), ""In QA"", IF(REGEXMATCH(N338, ""STATUS: Needs Customer Feedback""), ""Needs Customer Feedback"", IF(REGEXMATCH(N338, ""STATUS: QA Passed - Awaiting Release""), ""QA Passed - Awaiting Release"", IF(REGEXMATCH(N338, ""STATUS: Release to P"&amp;"rod""), ""Release to Prod"", """")))))))"),"")</f>
        <v/>
      </c>
    </row>
    <row r="339" hidden="1">
      <c r="A339" s="61" t="s">
        <v>64</v>
      </c>
      <c r="B339" s="12" t="s">
        <v>65</v>
      </c>
      <c r="C339" s="61">
        <v>80.0</v>
      </c>
      <c r="D339" s="62" t="s">
        <v>1733</v>
      </c>
      <c r="E339" s="56" t="s">
        <v>173</v>
      </c>
      <c r="F339" s="61" t="s">
        <v>1734</v>
      </c>
      <c r="G339" s="57" t="str">
        <f t="shared" si="1"/>
        <v>05-Nov-2024</v>
      </c>
      <c r="H339" s="61" t="s">
        <v>37</v>
      </c>
      <c r="I339" s="61" t="s">
        <v>1735</v>
      </c>
      <c r="J339" s="27" t="str">
        <f t="shared" si="4"/>
        <v>11-Jul-2025</v>
      </c>
      <c r="K339" s="61" t="s">
        <v>1736</v>
      </c>
      <c r="L339" s="27" t="str">
        <f t="shared" si="5"/>
        <v>06-Nov-2024</v>
      </c>
      <c r="M339" s="63" t="s">
        <v>15</v>
      </c>
      <c r="N339" s="61" t="s">
        <v>177</v>
      </c>
      <c r="O339" s="27"/>
      <c r="P339" s="61">
        <v>1.0</v>
      </c>
      <c r="Q339" s="64" t="s">
        <v>1737</v>
      </c>
      <c r="R339" s="27" t="str">
        <f>IFERROR(__xludf.DUMMYFUNCTION("IF(REGEXMATCH(N339, ""PRIORITY: Low""), ""Low"", IF(REGEXMATCH(N339, ""PRIORITY: Medium""), ""Medium"", IF(REGEXMATCH(N339, ""PRIORITY: High""), ""High"", """")))
"),"")</f>
        <v/>
      </c>
      <c r="S339" s="27" t="str">
        <f>IFERROR(__xludf.DUMMYFUNCTION("IF(REGEXMATCH(N339, ""SKILL: Low""), ""Low"", IF(REGEXMATCH(N339, ""SKILL: Medium""), ""Medium"", IF(REGEXMATCH(N339, ""SKILL: High""), ""High"", """")))"),"")</f>
        <v/>
      </c>
      <c r="T339" s="27" t="str">
        <f>IFERROR(__xludf.DUMMYFUNCTION("IF(REGEXMATCH(N339, ""STATUS: Dev Complete - Awaiting QA""), ""Dev Complete - Awaiting QA"", IF(REGEXMATCH(N339, ""STATUS: Follow-Up Required""), ""Follow-Up Required"", IF(REGEXMATCH(N339, ""STATUS: In Progress""), ""In Progress"", IF(REGEXMATCH(N339, """&amp;"STATUS: In QA""), ""In QA"", IF(REGEXMATCH(N339, ""STATUS: Needs Customer Feedback""), ""Needs Customer Feedback"", IF(REGEXMATCH(N339, ""STATUS: QA Passed - Awaiting Release""), ""QA Passed - Awaiting Release"", IF(REGEXMATCH(N339, ""STATUS: Release to P"&amp;"rod""), ""Release to Prod"", """")))))))"),"")</f>
        <v/>
      </c>
    </row>
    <row r="340" hidden="1">
      <c r="A340" s="61" t="s">
        <v>64</v>
      </c>
      <c r="B340" s="12" t="s">
        <v>65</v>
      </c>
      <c r="C340" s="61">
        <v>79.0</v>
      </c>
      <c r="D340" s="62" t="s">
        <v>1738</v>
      </c>
      <c r="E340" s="56" t="s">
        <v>173</v>
      </c>
      <c r="F340" s="61" t="s">
        <v>1739</v>
      </c>
      <c r="G340" s="57" t="str">
        <f t="shared" si="1"/>
        <v>05-Nov-2024</v>
      </c>
      <c r="H340" s="61" t="s">
        <v>37</v>
      </c>
      <c r="I340" s="61" t="s">
        <v>1735</v>
      </c>
      <c r="J340" s="27" t="str">
        <f t="shared" si="4"/>
        <v>11-Jul-2025</v>
      </c>
      <c r="K340" s="61" t="s">
        <v>1740</v>
      </c>
      <c r="L340" s="27" t="str">
        <f t="shared" si="5"/>
        <v>05-Nov-2024</v>
      </c>
      <c r="M340" s="63" t="s">
        <v>15</v>
      </c>
      <c r="N340" s="61" t="s">
        <v>177</v>
      </c>
      <c r="O340" s="27"/>
      <c r="P340" s="61">
        <v>0.0</v>
      </c>
      <c r="Q340" s="64" t="s">
        <v>1741</v>
      </c>
      <c r="R340" s="27" t="str">
        <f>IFERROR(__xludf.DUMMYFUNCTION("IF(REGEXMATCH(N340, ""PRIORITY: Low""), ""Low"", IF(REGEXMATCH(N340, ""PRIORITY: Medium""), ""Medium"", IF(REGEXMATCH(N340, ""PRIORITY: High""), ""High"", """")))
"),"")</f>
        <v/>
      </c>
      <c r="S340" s="27" t="str">
        <f>IFERROR(__xludf.DUMMYFUNCTION("IF(REGEXMATCH(N340, ""SKILL: Low""), ""Low"", IF(REGEXMATCH(N340, ""SKILL: Medium""), ""Medium"", IF(REGEXMATCH(N340, ""SKILL: High""), ""High"", """")))"),"")</f>
        <v/>
      </c>
      <c r="T340" s="27" t="str">
        <f>IFERROR(__xludf.DUMMYFUNCTION("IF(REGEXMATCH(N340, ""STATUS: Dev Complete - Awaiting QA""), ""Dev Complete - Awaiting QA"", IF(REGEXMATCH(N340, ""STATUS: Follow-Up Required""), ""Follow-Up Required"", IF(REGEXMATCH(N340, ""STATUS: In Progress""), ""In Progress"", IF(REGEXMATCH(N340, """&amp;"STATUS: In QA""), ""In QA"", IF(REGEXMATCH(N340, ""STATUS: Needs Customer Feedback""), ""Needs Customer Feedback"", IF(REGEXMATCH(N340, ""STATUS: QA Passed - Awaiting Release""), ""QA Passed - Awaiting Release"", IF(REGEXMATCH(N340, ""STATUS: Release to P"&amp;"rod""), ""Release to Prod"", """")))))))"),"")</f>
        <v/>
      </c>
    </row>
    <row r="341" hidden="1">
      <c r="A341" s="61" t="s">
        <v>64</v>
      </c>
      <c r="B341" s="12" t="s">
        <v>65</v>
      </c>
      <c r="C341" s="61">
        <v>78.0</v>
      </c>
      <c r="D341" s="62" t="s">
        <v>1742</v>
      </c>
      <c r="E341" s="56" t="s">
        <v>173</v>
      </c>
      <c r="F341" s="61" t="s">
        <v>1743</v>
      </c>
      <c r="G341" s="57" t="str">
        <f t="shared" si="1"/>
        <v>05-Nov-2024</v>
      </c>
      <c r="H341" s="61" t="s">
        <v>37</v>
      </c>
      <c r="I341" s="61" t="s">
        <v>1744</v>
      </c>
      <c r="J341" s="27" t="str">
        <f t="shared" si="4"/>
        <v>11-Jul-2025</v>
      </c>
      <c r="K341" s="61" t="s">
        <v>1745</v>
      </c>
      <c r="L341" s="27" t="str">
        <f t="shared" si="5"/>
        <v>07-Nov-2024</v>
      </c>
      <c r="M341" s="63" t="s">
        <v>15</v>
      </c>
      <c r="N341" s="61" t="s">
        <v>177</v>
      </c>
      <c r="O341" s="27"/>
      <c r="P341" s="61">
        <v>1.0</v>
      </c>
      <c r="Q341" s="64" t="s">
        <v>1746</v>
      </c>
      <c r="R341" s="27" t="str">
        <f>IFERROR(__xludf.DUMMYFUNCTION("IF(REGEXMATCH(N341, ""PRIORITY: Low""), ""Low"", IF(REGEXMATCH(N341, ""PRIORITY: Medium""), ""Medium"", IF(REGEXMATCH(N341, ""PRIORITY: High""), ""High"", """")))
"),"")</f>
        <v/>
      </c>
      <c r="S341" s="27" t="str">
        <f>IFERROR(__xludf.DUMMYFUNCTION("IF(REGEXMATCH(N341, ""SKILL: Low""), ""Low"", IF(REGEXMATCH(N341, ""SKILL: Medium""), ""Medium"", IF(REGEXMATCH(N341, ""SKILL: High""), ""High"", """")))"),"")</f>
        <v/>
      </c>
      <c r="T341" s="27" t="str">
        <f>IFERROR(__xludf.DUMMYFUNCTION("IF(REGEXMATCH(N341, ""STATUS: Dev Complete - Awaiting QA""), ""Dev Complete - Awaiting QA"", IF(REGEXMATCH(N341, ""STATUS: Follow-Up Required""), ""Follow-Up Required"", IF(REGEXMATCH(N341, ""STATUS: In Progress""), ""In Progress"", IF(REGEXMATCH(N341, """&amp;"STATUS: In QA""), ""In QA"", IF(REGEXMATCH(N341, ""STATUS: Needs Customer Feedback""), ""Needs Customer Feedback"", IF(REGEXMATCH(N341, ""STATUS: QA Passed - Awaiting Release""), ""QA Passed - Awaiting Release"", IF(REGEXMATCH(N341, ""STATUS: Release to P"&amp;"rod""), ""Release to Prod"", """")))))))"),"")</f>
        <v/>
      </c>
    </row>
    <row r="342" hidden="1">
      <c r="A342" s="61" t="s">
        <v>64</v>
      </c>
      <c r="B342" s="12" t="s">
        <v>65</v>
      </c>
      <c r="C342" s="61">
        <v>77.0</v>
      </c>
      <c r="D342" s="62" t="s">
        <v>1747</v>
      </c>
      <c r="E342" s="56" t="s">
        <v>173</v>
      </c>
      <c r="F342" s="61" t="s">
        <v>1748</v>
      </c>
      <c r="G342" s="57" t="str">
        <f t="shared" si="1"/>
        <v>05-Nov-2024</v>
      </c>
      <c r="H342" s="61" t="s">
        <v>37</v>
      </c>
      <c r="I342" s="61" t="s">
        <v>1749</v>
      </c>
      <c r="J342" s="27" t="str">
        <f t="shared" si="4"/>
        <v>11-Jul-2025</v>
      </c>
      <c r="K342" s="61" t="s">
        <v>1750</v>
      </c>
      <c r="L342" s="27" t="str">
        <f t="shared" si="5"/>
        <v>07-Nov-2024</v>
      </c>
      <c r="M342" s="63" t="s">
        <v>15</v>
      </c>
      <c r="N342" s="61" t="s">
        <v>177</v>
      </c>
      <c r="O342" s="27"/>
      <c r="P342" s="61">
        <v>1.0</v>
      </c>
      <c r="Q342" s="64" t="s">
        <v>1751</v>
      </c>
      <c r="R342" s="27" t="str">
        <f>IFERROR(__xludf.DUMMYFUNCTION("IF(REGEXMATCH(N342, ""PRIORITY: Low""), ""Low"", IF(REGEXMATCH(N342, ""PRIORITY: Medium""), ""Medium"", IF(REGEXMATCH(N342, ""PRIORITY: High""), ""High"", """")))
"),"")</f>
        <v/>
      </c>
      <c r="S342" s="27" t="str">
        <f>IFERROR(__xludf.DUMMYFUNCTION("IF(REGEXMATCH(N342, ""SKILL: Low""), ""Low"", IF(REGEXMATCH(N342, ""SKILL: Medium""), ""Medium"", IF(REGEXMATCH(N342, ""SKILL: High""), ""High"", """")))"),"")</f>
        <v/>
      </c>
      <c r="T342" s="27" t="str">
        <f>IFERROR(__xludf.DUMMYFUNCTION("IF(REGEXMATCH(N342, ""STATUS: Dev Complete - Awaiting QA""), ""Dev Complete - Awaiting QA"", IF(REGEXMATCH(N342, ""STATUS: Follow-Up Required""), ""Follow-Up Required"", IF(REGEXMATCH(N342, ""STATUS: In Progress""), ""In Progress"", IF(REGEXMATCH(N342, """&amp;"STATUS: In QA""), ""In QA"", IF(REGEXMATCH(N342, ""STATUS: Needs Customer Feedback""), ""Needs Customer Feedback"", IF(REGEXMATCH(N342, ""STATUS: QA Passed - Awaiting Release""), ""QA Passed - Awaiting Release"", IF(REGEXMATCH(N342, ""STATUS: Release to P"&amp;"rod""), ""Release to Prod"", """")))))))"),"")</f>
        <v/>
      </c>
    </row>
    <row r="343" hidden="1">
      <c r="A343" s="61" t="s">
        <v>64</v>
      </c>
      <c r="B343" s="12" t="s">
        <v>65</v>
      </c>
      <c r="C343" s="61">
        <v>46.0</v>
      </c>
      <c r="D343" s="62" t="s">
        <v>1752</v>
      </c>
      <c r="E343" s="56" t="s">
        <v>173</v>
      </c>
      <c r="F343" s="61" t="s">
        <v>1753</v>
      </c>
      <c r="G343" s="57" t="str">
        <f t="shared" si="1"/>
        <v>22-Oct-2024</v>
      </c>
      <c r="H343" s="61" t="s">
        <v>136</v>
      </c>
      <c r="I343" s="61" t="s">
        <v>1754</v>
      </c>
      <c r="J343" s="27" t="str">
        <f t="shared" si="4"/>
        <v>11-Jul-2025</v>
      </c>
      <c r="K343" s="61" t="s">
        <v>1755</v>
      </c>
      <c r="L343" s="27" t="str">
        <f t="shared" si="5"/>
        <v>06-Nov-2024</v>
      </c>
      <c r="M343" s="63" t="s">
        <v>15</v>
      </c>
      <c r="N343" s="61" t="s">
        <v>177</v>
      </c>
      <c r="O343" s="27"/>
      <c r="P343" s="61">
        <v>1.0</v>
      </c>
      <c r="Q343" s="64" t="s">
        <v>1756</v>
      </c>
      <c r="R343" s="27" t="str">
        <f>IFERROR(__xludf.DUMMYFUNCTION("IF(REGEXMATCH(N343, ""PRIORITY: Low""), ""Low"", IF(REGEXMATCH(N343, ""PRIORITY: Medium""), ""Medium"", IF(REGEXMATCH(N343, ""PRIORITY: High""), ""High"", """")))
"),"")</f>
        <v/>
      </c>
      <c r="S343" s="27" t="str">
        <f>IFERROR(__xludf.DUMMYFUNCTION("IF(REGEXMATCH(N343, ""SKILL: Low""), ""Low"", IF(REGEXMATCH(N343, ""SKILL: Medium""), ""Medium"", IF(REGEXMATCH(N343, ""SKILL: High""), ""High"", """")))"),"")</f>
        <v/>
      </c>
      <c r="T343" s="27" t="str">
        <f>IFERROR(__xludf.DUMMYFUNCTION("IF(REGEXMATCH(N343, ""STATUS: Dev Complete - Awaiting QA""), ""Dev Complete - Awaiting QA"", IF(REGEXMATCH(N343, ""STATUS: Follow-Up Required""), ""Follow-Up Required"", IF(REGEXMATCH(N343, ""STATUS: In Progress""), ""In Progress"", IF(REGEXMATCH(N343, """&amp;"STATUS: In QA""), ""In QA"", IF(REGEXMATCH(N343, ""STATUS: Needs Customer Feedback""), ""Needs Customer Feedback"", IF(REGEXMATCH(N343, ""STATUS: QA Passed - Awaiting Release""), ""QA Passed - Awaiting Release"", IF(REGEXMATCH(N343, ""STATUS: Release to P"&amp;"rod""), ""Release to Prod"", """")))))))"),"")</f>
        <v/>
      </c>
    </row>
    <row r="344" hidden="1">
      <c r="A344" s="61" t="s">
        <v>64</v>
      </c>
      <c r="B344" s="12" t="s">
        <v>65</v>
      </c>
      <c r="C344" s="61">
        <v>45.0</v>
      </c>
      <c r="D344" s="62" t="s">
        <v>1757</v>
      </c>
      <c r="E344" s="56" t="s">
        <v>173</v>
      </c>
      <c r="F344" s="61" t="s">
        <v>1758</v>
      </c>
      <c r="G344" s="57" t="str">
        <f t="shared" si="1"/>
        <v>22-Oct-2024</v>
      </c>
      <c r="H344" s="61" t="s">
        <v>136</v>
      </c>
      <c r="I344" s="61" t="s">
        <v>1759</v>
      </c>
      <c r="J344" s="27" t="str">
        <f t="shared" si="4"/>
        <v>11-Jul-2025</v>
      </c>
      <c r="K344" s="61" t="s">
        <v>1760</v>
      </c>
      <c r="L344" s="27" t="str">
        <f t="shared" si="5"/>
        <v>07-Nov-2024</v>
      </c>
      <c r="M344" s="63" t="s">
        <v>15</v>
      </c>
      <c r="N344" s="61" t="s">
        <v>177</v>
      </c>
      <c r="O344" s="27"/>
      <c r="P344" s="61">
        <v>1.0</v>
      </c>
      <c r="Q344" s="64" t="s">
        <v>1761</v>
      </c>
      <c r="R344" s="27" t="str">
        <f>IFERROR(__xludf.DUMMYFUNCTION("IF(REGEXMATCH(N344, ""PRIORITY: Low""), ""Low"", IF(REGEXMATCH(N344, ""PRIORITY: Medium""), ""Medium"", IF(REGEXMATCH(N344, ""PRIORITY: High""), ""High"", """")))
"),"")</f>
        <v/>
      </c>
      <c r="S344" s="27" t="str">
        <f>IFERROR(__xludf.DUMMYFUNCTION("IF(REGEXMATCH(N344, ""SKILL: Low""), ""Low"", IF(REGEXMATCH(N344, ""SKILL: Medium""), ""Medium"", IF(REGEXMATCH(N344, ""SKILL: High""), ""High"", """")))"),"")</f>
        <v/>
      </c>
      <c r="T344" s="27" t="str">
        <f>IFERROR(__xludf.DUMMYFUNCTION("IF(REGEXMATCH(N344, ""STATUS: Dev Complete - Awaiting QA""), ""Dev Complete - Awaiting QA"", IF(REGEXMATCH(N344, ""STATUS: Follow-Up Required""), ""Follow-Up Required"", IF(REGEXMATCH(N344, ""STATUS: In Progress""), ""In Progress"", IF(REGEXMATCH(N344, """&amp;"STATUS: In QA""), ""In QA"", IF(REGEXMATCH(N344, ""STATUS: Needs Customer Feedback""), ""Needs Customer Feedback"", IF(REGEXMATCH(N344, ""STATUS: QA Passed - Awaiting Release""), ""QA Passed - Awaiting Release"", IF(REGEXMATCH(N344, ""STATUS: Release to P"&amp;"rod""), ""Release to Prod"", """")))))))"),"")</f>
        <v/>
      </c>
    </row>
    <row r="345" hidden="1">
      <c r="A345" s="61" t="s">
        <v>64</v>
      </c>
      <c r="B345" s="12" t="s">
        <v>65</v>
      </c>
      <c r="C345" s="61">
        <v>44.0</v>
      </c>
      <c r="D345" s="62" t="s">
        <v>1762</v>
      </c>
      <c r="E345" s="56" t="s">
        <v>173</v>
      </c>
      <c r="F345" s="61" t="s">
        <v>1763</v>
      </c>
      <c r="G345" s="57" t="str">
        <f t="shared" si="1"/>
        <v>22-Oct-2024</v>
      </c>
      <c r="H345" s="61" t="s">
        <v>136</v>
      </c>
      <c r="I345" s="61" t="s">
        <v>1764</v>
      </c>
      <c r="J345" s="27" t="str">
        <f t="shared" si="4"/>
        <v>11-Jul-2025</v>
      </c>
      <c r="K345" s="61" t="s">
        <v>1718</v>
      </c>
      <c r="L345" s="27" t="str">
        <f t="shared" si="5"/>
        <v>20-May-2025</v>
      </c>
      <c r="M345" s="63" t="s">
        <v>15</v>
      </c>
      <c r="N345" s="61" t="s">
        <v>177</v>
      </c>
      <c r="O345" s="24"/>
      <c r="P345" s="61">
        <v>0.0</v>
      </c>
      <c r="Q345" s="64" t="s">
        <v>1765</v>
      </c>
      <c r="R345" s="27" t="str">
        <f>IFERROR(__xludf.DUMMYFUNCTION("IF(REGEXMATCH(N345, ""PRIORITY: Low""), ""Low"", IF(REGEXMATCH(N345, ""PRIORITY: Medium""), ""Medium"", IF(REGEXMATCH(N345, ""PRIORITY: High""), ""High"", """")))
"),"")</f>
        <v/>
      </c>
      <c r="S345" s="27" t="str">
        <f>IFERROR(__xludf.DUMMYFUNCTION("IF(REGEXMATCH(N345, ""SKILL: Low""), ""Low"", IF(REGEXMATCH(N345, ""SKILL: Medium""), ""Medium"", IF(REGEXMATCH(N345, ""SKILL: High""), ""High"", """")))"),"")</f>
        <v/>
      </c>
      <c r="T345" s="27" t="str">
        <f>IFERROR(__xludf.DUMMYFUNCTION("IF(REGEXMATCH(N345, ""STATUS: Dev Complete - Awaiting QA""), ""Dev Complete - Awaiting QA"", IF(REGEXMATCH(N345, ""STATUS: Follow-Up Required""), ""Follow-Up Required"", IF(REGEXMATCH(N345, ""STATUS: In Progress""), ""In Progress"", IF(REGEXMATCH(N345, """&amp;"STATUS: In QA""), ""In QA"", IF(REGEXMATCH(N345, ""STATUS: Needs Customer Feedback""), ""Needs Customer Feedback"", IF(REGEXMATCH(N345, ""STATUS: QA Passed - Awaiting Release""), ""QA Passed - Awaiting Release"", IF(REGEXMATCH(N345, ""STATUS: Release to P"&amp;"rod""), ""Release to Prod"", """")))))))"),"")</f>
        <v/>
      </c>
    </row>
    <row r="346">
      <c r="A346" s="61" t="s">
        <v>64</v>
      </c>
      <c r="B346" s="12" t="s">
        <v>65</v>
      </c>
      <c r="C346" s="61">
        <v>43.0</v>
      </c>
      <c r="D346" s="62" t="s">
        <v>1766</v>
      </c>
      <c r="E346" s="56" t="s">
        <v>246</v>
      </c>
      <c r="F346" s="61" t="s">
        <v>1767</v>
      </c>
      <c r="G346" s="57" t="str">
        <f t="shared" si="1"/>
        <v>22-Oct-2024</v>
      </c>
      <c r="H346" s="61" t="s">
        <v>136</v>
      </c>
      <c r="I346" s="61" t="s">
        <v>1768</v>
      </c>
      <c r="J346" s="27" t="str">
        <f t="shared" si="4"/>
        <v>16-Jul-2025</v>
      </c>
      <c r="K346" s="27"/>
      <c r="L346" s="27" t="str">
        <f t="shared" si="5"/>
        <v/>
      </c>
      <c r="M346" s="63" t="s">
        <v>291</v>
      </c>
      <c r="N346" s="61" t="s">
        <v>1633</v>
      </c>
      <c r="O346" s="27"/>
      <c r="P346" s="61">
        <v>0.0</v>
      </c>
      <c r="Q346" s="64" t="s">
        <v>1769</v>
      </c>
      <c r="R346" s="27" t="str">
        <f>IFERROR(__xludf.DUMMYFUNCTION("IF(REGEXMATCH(N346, ""PRIORITY: Low""), ""Low"", IF(REGEXMATCH(N346, ""PRIORITY: Medium""), ""Medium"", IF(REGEXMATCH(N346, ""PRIORITY: High""), ""High"", """")))
"),"Low")</f>
        <v>Low</v>
      </c>
      <c r="S346" s="27" t="str">
        <f>IFERROR(__xludf.DUMMYFUNCTION("IF(REGEXMATCH(N346, ""SKILL: Low""), ""Low"", IF(REGEXMATCH(N346, ""SKILL: Medium""), ""Medium"", IF(REGEXMATCH(N346, ""SKILL: High""), ""High"", """")))"),"High")</f>
        <v>High</v>
      </c>
      <c r="T346" s="27" t="str">
        <f>IFERROR(__xludf.DUMMYFUNCTION("IF(REGEXMATCH(N346, ""STATUS: Dev Complete - Awaiting QA""), ""Dev Complete - Awaiting QA"", IF(REGEXMATCH(N346, ""STATUS: Follow-Up Required""), ""Follow-Up Required"", IF(REGEXMATCH(N346, ""STATUS: In Progress""), ""In Progress"", IF(REGEXMATCH(N346, """&amp;"STATUS: In QA""), ""In QA"", IF(REGEXMATCH(N346, ""STATUS: Needs Customer Feedback""), ""Needs Customer Feedback"", IF(REGEXMATCH(N346, ""STATUS: QA Passed - Awaiting Release""), ""QA Passed - Awaiting Release"", IF(REGEXMATCH(N346, ""STATUS: Release to P"&amp;"rod""), ""Release to Prod"", """")))))))"),"In Progress")</f>
        <v>In Progress</v>
      </c>
    </row>
    <row r="347">
      <c r="A347" s="61" t="s">
        <v>64</v>
      </c>
      <c r="B347" s="12" t="s">
        <v>65</v>
      </c>
      <c r="C347" s="61">
        <v>42.0</v>
      </c>
      <c r="D347" s="62" t="s">
        <v>1770</v>
      </c>
      <c r="E347" s="56" t="s">
        <v>246</v>
      </c>
      <c r="F347" s="61" t="s">
        <v>1771</v>
      </c>
      <c r="G347" s="57" t="str">
        <f t="shared" si="1"/>
        <v>22-Oct-2024</v>
      </c>
      <c r="H347" s="61" t="s">
        <v>136</v>
      </c>
      <c r="I347" s="61" t="s">
        <v>1772</v>
      </c>
      <c r="J347" s="27" t="str">
        <f t="shared" si="4"/>
        <v>16-Jul-2025</v>
      </c>
      <c r="K347" s="27"/>
      <c r="L347" s="27" t="str">
        <f t="shared" si="5"/>
        <v/>
      </c>
      <c r="M347" s="63" t="s">
        <v>291</v>
      </c>
      <c r="N347" s="61" t="s">
        <v>1773</v>
      </c>
      <c r="O347" s="27"/>
      <c r="P347" s="61">
        <v>0.0</v>
      </c>
      <c r="Q347" s="64" t="s">
        <v>1774</v>
      </c>
      <c r="R347" s="27" t="str">
        <f>IFERROR(__xludf.DUMMYFUNCTION("IF(REGEXMATCH(N347, ""PRIORITY: Low""), ""Low"", IF(REGEXMATCH(N347, ""PRIORITY: Medium""), ""Medium"", IF(REGEXMATCH(N347, ""PRIORITY: High""), ""High"", """")))
"),"Low")</f>
        <v>Low</v>
      </c>
      <c r="S347" s="27" t="str">
        <f>IFERROR(__xludf.DUMMYFUNCTION("IF(REGEXMATCH(N347, ""SKILL: Low""), ""Low"", IF(REGEXMATCH(N347, ""SKILL: Medium""), ""Medium"", IF(REGEXMATCH(N347, ""SKILL: High""), ""High"", """")))"),"")</f>
        <v/>
      </c>
      <c r="T347" s="27" t="str">
        <f>IFERROR(__xludf.DUMMYFUNCTION("IF(REGEXMATCH(N347, ""STATUS: Dev Complete - Awaiting QA""), ""Dev Complete - Awaiting QA"", IF(REGEXMATCH(N347, ""STATUS: Follow-Up Required""), ""Follow-Up Required"", IF(REGEXMATCH(N347, ""STATUS: In Progress""), ""In Progress"", IF(REGEXMATCH(N347, """&amp;"STATUS: In QA""), ""In QA"", IF(REGEXMATCH(N347, ""STATUS: Needs Customer Feedback""), ""Needs Customer Feedback"", IF(REGEXMATCH(N347, ""STATUS: QA Passed - Awaiting Release""), ""QA Passed - Awaiting Release"", IF(REGEXMATCH(N347, ""STATUS: Release to P"&amp;"rod""), ""Release to Prod"", """")))))))"),"In Progress")</f>
        <v>In Progress</v>
      </c>
    </row>
    <row r="348" hidden="1">
      <c r="A348" s="61" t="s">
        <v>64</v>
      </c>
      <c r="B348" s="12" t="s">
        <v>65</v>
      </c>
      <c r="C348" s="61">
        <v>41.0</v>
      </c>
      <c r="D348" s="62" t="s">
        <v>1775</v>
      </c>
      <c r="E348" s="56" t="s">
        <v>173</v>
      </c>
      <c r="F348" s="61" t="s">
        <v>1776</v>
      </c>
      <c r="G348" s="57" t="str">
        <f t="shared" si="1"/>
        <v>22-Oct-2024</v>
      </c>
      <c r="H348" s="61" t="s">
        <v>37</v>
      </c>
      <c r="I348" s="61" t="s">
        <v>1777</v>
      </c>
      <c r="J348" s="27" t="str">
        <f t="shared" si="4"/>
        <v>11-Jul-2025</v>
      </c>
      <c r="K348" s="61" t="s">
        <v>1778</v>
      </c>
      <c r="L348" s="27" t="str">
        <f t="shared" si="5"/>
        <v>05-Nov-2024</v>
      </c>
      <c r="M348" s="63" t="s">
        <v>15</v>
      </c>
      <c r="N348" s="61" t="s">
        <v>177</v>
      </c>
      <c r="O348" s="27"/>
      <c r="P348" s="61">
        <v>0.0</v>
      </c>
      <c r="Q348" s="64" t="s">
        <v>1779</v>
      </c>
      <c r="R348" s="27" t="str">
        <f>IFERROR(__xludf.DUMMYFUNCTION("IF(REGEXMATCH(N348, ""PRIORITY: Low""), ""Low"", IF(REGEXMATCH(N348, ""PRIORITY: Medium""), ""Medium"", IF(REGEXMATCH(N348, ""PRIORITY: High""), ""High"", """")))
"),"")</f>
        <v/>
      </c>
      <c r="S348" s="27" t="str">
        <f>IFERROR(__xludf.DUMMYFUNCTION("IF(REGEXMATCH(N348, ""SKILL: Low""), ""Low"", IF(REGEXMATCH(N348, ""SKILL: Medium""), ""Medium"", IF(REGEXMATCH(N348, ""SKILL: High""), ""High"", """")))"),"")</f>
        <v/>
      </c>
      <c r="T348" s="27" t="str">
        <f>IFERROR(__xludf.DUMMYFUNCTION("IF(REGEXMATCH(N348, ""STATUS: Dev Complete - Awaiting QA""), ""Dev Complete - Awaiting QA"", IF(REGEXMATCH(N348, ""STATUS: Follow-Up Required""), ""Follow-Up Required"", IF(REGEXMATCH(N348, ""STATUS: In Progress""), ""In Progress"", IF(REGEXMATCH(N348, """&amp;"STATUS: In QA""), ""In QA"", IF(REGEXMATCH(N348, ""STATUS: Needs Customer Feedback""), ""Needs Customer Feedback"", IF(REGEXMATCH(N348, ""STATUS: QA Passed - Awaiting Release""), ""QA Passed - Awaiting Release"", IF(REGEXMATCH(N348, ""STATUS: Release to P"&amp;"rod""), ""Release to Prod"", """")))))))"),"")</f>
        <v/>
      </c>
    </row>
    <row r="349" hidden="1">
      <c r="A349" s="61" t="s">
        <v>64</v>
      </c>
      <c r="B349" s="12" t="s">
        <v>65</v>
      </c>
      <c r="C349" s="61">
        <v>38.0</v>
      </c>
      <c r="D349" s="62" t="s">
        <v>1780</v>
      </c>
      <c r="E349" s="56" t="s">
        <v>173</v>
      </c>
      <c r="F349" s="61" t="s">
        <v>1781</v>
      </c>
      <c r="G349" s="57" t="str">
        <f t="shared" si="1"/>
        <v>22-Oct-2024</v>
      </c>
      <c r="H349" s="61" t="s">
        <v>37</v>
      </c>
      <c r="I349" s="61" t="s">
        <v>1782</v>
      </c>
      <c r="J349" s="27" t="str">
        <f t="shared" si="4"/>
        <v>11-Jul-2025</v>
      </c>
      <c r="K349" s="61" t="s">
        <v>1778</v>
      </c>
      <c r="L349" s="27" t="str">
        <f t="shared" si="5"/>
        <v>05-Nov-2024</v>
      </c>
      <c r="M349" s="63" t="s">
        <v>15</v>
      </c>
      <c r="N349" s="61" t="s">
        <v>177</v>
      </c>
      <c r="O349" s="27"/>
      <c r="P349" s="61">
        <v>0.0</v>
      </c>
      <c r="Q349" s="64" t="s">
        <v>1783</v>
      </c>
      <c r="R349" s="27" t="str">
        <f>IFERROR(__xludf.DUMMYFUNCTION("IF(REGEXMATCH(N349, ""PRIORITY: Low""), ""Low"", IF(REGEXMATCH(N349, ""PRIORITY: Medium""), ""Medium"", IF(REGEXMATCH(N349, ""PRIORITY: High""), ""High"", """")))
"),"")</f>
        <v/>
      </c>
      <c r="S349" s="27" t="str">
        <f>IFERROR(__xludf.DUMMYFUNCTION("IF(REGEXMATCH(N349, ""SKILL: Low""), ""Low"", IF(REGEXMATCH(N349, ""SKILL: Medium""), ""Medium"", IF(REGEXMATCH(N349, ""SKILL: High""), ""High"", """")))"),"")</f>
        <v/>
      </c>
      <c r="T349" s="27" t="str">
        <f>IFERROR(__xludf.DUMMYFUNCTION("IF(REGEXMATCH(N349, ""STATUS: Dev Complete - Awaiting QA""), ""Dev Complete - Awaiting QA"", IF(REGEXMATCH(N349, ""STATUS: Follow-Up Required""), ""Follow-Up Required"", IF(REGEXMATCH(N349, ""STATUS: In Progress""), ""In Progress"", IF(REGEXMATCH(N349, """&amp;"STATUS: In QA""), ""In QA"", IF(REGEXMATCH(N349, ""STATUS: Needs Customer Feedback""), ""Needs Customer Feedback"", IF(REGEXMATCH(N349, ""STATUS: QA Passed - Awaiting Release""), ""QA Passed - Awaiting Release"", IF(REGEXMATCH(N349, ""STATUS: Release to P"&amp;"rod""), ""Release to Prod"", """")))))))"),"")</f>
        <v/>
      </c>
    </row>
    <row r="350">
      <c r="A350" s="61" t="s">
        <v>64</v>
      </c>
      <c r="B350" s="12" t="s">
        <v>65</v>
      </c>
      <c r="C350" s="61">
        <v>37.0</v>
      </c>
      <c r="D350" s="62" t="s">
        <v>1784</v>
      </c>
      <c r="E350" s="56" t="s">
        <v>246</v>
      </c>
      <c r="F350" s="61" t="s">
        <v>1785</v>
      </c>
      <c r="G350" s="57" t="str">
        <f t="shared" si="1"/>
        <v>22-Oct-2024</v>
      </c>
      <c r="H350" s="61" t="s">
        <v>37</v>
      </c>
      <c r="I350" s="61" t="s">
        <v>1786</v>
      </c>
      <c r="J350" s="27" t="str">
        <f t="shared" si="4"/>
        <v>16-Jul-2025</v>
      </c>
      <c r="K350" s="27"/>
      <c r="L350" s="27" t="str">
        <f t="shared" si="5"/>
        <v/>
      </c>
      <c r="M350" s="63" t="s">
        <v>249</v>
      </c>
      <c r="N350" s="61" t="s">
        <v>1633</v>
      </c>
      <c r="O350" s="65"/>
      <c r="P350" s="61">
        <v>0.0</v>
      </c>
      <c r="Q350" s="64" t="s">
        <v>1787</v>
      </c>
      <c r="R350" s="27" t="str">
        <f>IFERROR(__xludf.DUMMYFUNCTION("IF(REGEXMATCH(N350, ""PRIORITY: Low""), ""Low"", IF(REGEXMATCH(N350, ""PRIORITY: Medium""), ""Medium"", IF(REGEXMATCH(N350, ""PRIORITY: High""), ""High"", """")))
"),"Low")</f>
        <v>Low</v>
      </c>
      <c r="S350" s="27" t="str">
        <f>IFERROR(__xludf.DUMMYFUNCTION("IF(REGEXMATCH(N350, ""SKILL: Low""), ""Low"", IF(REGEXMATCH(N350, ""SKILL: Medium""), ""Medium"", IF(REGEXMATCH(N350, ""SKILL: High""), ""High"", """")))"),"High")</f>
        <v>High</v>
      </c>
      <c r="T350" s="27" t="str">
        <f>IFERROR(__xludf.DUMMYFUNCTION("IF(REGEXMATCH(N350, ""STATUS: Dev Complete - Awaiting QA""), ""Dev Complete - Awaiting QA"", IF(REGEXMATCH(N350, ""STATUS: Follow-Up Required""), ""Follow-Up Required"", IF(REGEXMATCH(N350, ""STATUS: In Progress""), ""In Progress"", IF(REGEXMATCH(N350, """&amp;"STATUS: In QA""), ""In QA"", IF(REGEXMATCH(N350, ""STATUS: Needs Customer Feedback""), ""Needs Customer Feedback"", IF(REGEXMATCH(N350, ""STATUS: QA Passed - Awaiting Release""), ""QA Passed - Awaiting Release"", IF(REGEXMATCH(N350, ""STATUS: Release to P"&amp;"rod""), ""Release to Prod"", """")))))))"),"In Progress")</f>
        <v>In Progress</v>
      </c>
    </row>
    <row r="351">
      <c r="A351" s="61" t="s">
        <v>64</v>
      </c>
      <c r="B351" s="12" t="s">
        <v>65</v>
      </c>
      <c r="C351" s="61">
        <v>36.0</v>
      </c>
      <c r="D351" s="62" t="s">
        <v>1788</v>
      </c>
      <c r="E351" s="56" t="s">
        <v>246</v>
      </c>
      <c r="F351" s="61" t="s">
        <v>1789</v>
      </c>
      <c r="G351" s="57" t="str">
        <f t="shared" si="1"/>
        <v>22-Oct-2024</v>
      </c>
      <c r="H351" s="61" t="s">
        <v>37</v>
      </c>
      <c r="I351" s="61" t="s">
        <v>1790</v>
      </c>
      <c r="J351" s="27" t="str">
        <f t="shared" si="4"/>
        <v>16-Jul-2025</v>
      </c>
      <c r="K351" s="27"/>
      <c r="L351" s="27" t="str">
        <f t="shared" si="5"/>
        <v/>
      </c>
      <c r="M351" s="63" t="s">
        <v>249</v>
      </c>
      <c r="N351" s="61" t="s">
        <v>1633</v>
      </c>
      <c r="O351" s="65"/>
      <c r="P351" s="61">
        <v>0.0</v>
      </c>
      <c r="Q351" s="64" t="s">
        <v>1791</v>
      </c>
      <c r="R351" s="27" t="str">
        <f>IFERROR(__xludf.DUMMYFUNCTION("IF(REGEXMATCH(N351, ""PRIORITY: Low""), ""Low"", IF(REGEXMATCH(N351, ""PRIORITY: Medium""), ""Medium"", IF(REGEXMATCH(N351, ""PRIORITY: High""), ""High"", """")))
"),"Low")</f>
        <v>Low</v>
      </c>
      <c r="S351" s="27" t="str">
        <f>IFERROR(__xludf.DUMMYFUNCTION("IF(REGEXMATCH(N351, ""SKILL: Low""), ""Low"", IF(REGEXMATCH(N351, ""SKILL: Medium""), ""Medium"", IF(REGEXMATCH(N351, ""SKILL: High""), ""High"", """")))"),"High")</f>
        <v>High</v>
      </c>
      <c r="T351" s="27" t="str">
        <f>IFERROR(__xludf.DUMMYFUNCTION("IF(REGEXMATCH(N351, ""STATUS: Dev Complete - Awaiting QA""), ""Dev Complete - Awaiting QA"", IF(REGEXMATCH(N351, ""STATUS: Follow-Up Required""), ""Follow-Up Required"", IF(REGEXMATCH(N351, ""STATUS: In Progress""), ""In Progress"", IF(REGEXMATCH(N351, """&amp;"STATUS: In QA""), ""In QA"", IF(REGEXMATCH(N351, ""STATUS: Needs Customer Feedback""), ""Needs Customer Feedback"", IF(REGEXMATCH(N351, ""STATUS: QA Passed - Awaiting Release""), ""QA Passed - Awaiting Release"", IF(REGEXMATCH(N351, ""STATUS: Release to P"&amp;"rod""), ""Release to Prod"", """")))))))"),"In Progress")</f>
        <v>In Progress</v>
      </c>
    </row>
    <row r="352" hidden="1">
      <c r="A352" s="61" t="s">
        <v>64</v>
      </c>
      <c r="B352" s="12" t="s">
        <v>65</v>
      </c>
      <c r="C352" s="61">
        <v>35.0</v>
      </c>
      <c r="D352" s="62" t="s">
        <v>1792</v>
      </c>
      <c r="E352" s="56" t="s">
        <v>173</v>
      </c>
      <c r="F352" s="61" t="s">
        <v>1793</v>
      </c>
      <c r="G352" s="57" t="str">
        <f t="shared" si="1"/>
        <v>22-Oct-2024</v>
      </c>
      <c r="H352" s="61" t="s">
        <v>37</v>
      </c>
      <c r="I352" s="61" t="s">
        <v>1794</v>
      </c>
      <c r="J352" s="27" t="str">
        <f t="shared" si="4"/>
        <v>11-Jul-2025</v>
      </c>
      <c r="K352" s="61" t="s">
        <v>1795</v>
      </c>
      <c r="L352" s="27" t="str">
        <f t="shared" si="5"/>
        <v>22-Oct-2024</v>
      </c>
      <c r="M352" s="63" t="s">
        <v>15</v>
      </c>
      <c r="N352" s="61" t="s">
        <v>177</v>
      </c>
      <c r="O352" s="61" t="s">
        <v>37</v>
      </c>
      <c r="P352" s="61">
        <v>0.0</v>
      </c>
      <c r="Q352" s="64" t="s">
        <v>1796</v>
      </c>
      <c r="R352" s="27" t="str">
        <f>IFERROR(__xludf.DUMMYFUNCTION("IF(REGEXMATCH(N352, ""PRIORITY: Low""), ""Low"", IF(REGEXMATCH(N352, ""PRIORITY: Medium""), ""Medium"", IF(REGEXMATCH(N352, ""PRIORITY: High""), ""High"", """")))
"),"")</f>
        <v/>
      </c>
      <c r="S352" s="27" t="str">
        <f>IFERROR(__xludf.DUMMYFUNCTION("IF(REGEXMATCH(N352, ""SKILL: Low""), ""Low"", IF(REGEXMATCH(N352, ""SKILL: Medium""), ""Medium"", IF(REGEXMATCH(N352, ""SKILL: High""), ""High"", """")))"),"")</f>
        <v/>
      </c>
      <c r="T352" s="27" t="str">
        <f>IFERROR(__xludf.DUMMYFUNCTION("IF(REGEXMATCH(N352, ""STATUS: Dev Complete - Awaiting QA""), ""Dev Complete - Awaiting QA"", IF(REGEXMATCH(N352, ""STATUS: Follow-Up Required""), ""Follow-Up Required"", IF(REGEXMATCH(N352, ""STATUS: In Progress""), ""In Progress"", IF(REGEXMATCH(N352, """&amp;"STATUS: In QA""), ""In QA"", IF(REGEXMATCH(N352, ""STATUS: Needs Customer Feedback""), ""Needs Customer Feedback"", IF(REGEXMATCH(N352, ""STATUS: QA Passed - Awaiting Release""), ""QA Passed - Awaiting Release"", IF(REGEXMATCH(N352, ""STATUS: Release to P"&amp;"rod""), ""Release to Prod"", """")))))))"),"")</f>
        <v/>
      </c>
    </row>
    <row r="353" hidden="1">
      <c r="A353" s="61" t="s">
        <v>64</v>
      </c>
      <c r="B353" s="12" t="s">
        <v>65</v>
      </c>
      <c r="C353" s="61">
        <v>34.0</v>
      </c>
      <c r="D353" s="62" t="s">
        <v>1797</v>
      </c>
      <c r="E353" s="56" t="s">
        <v>173</v>
      </c>
      <c r="F353" s="61" t="s">
        <v>1798</v>
      </c>
      <c r="G353" s="57" t="str">
        <f t="shared" si="1"/>
        <v>22-Oct-2024</v>
      </c>
      <c r="H353" s="61" t="s">
        <v>37</v>
      </c>
      <c r="I353" s="61" t="s">
        <v>1794</v>
      </c>
      <c r="J353" s="27" t="str">
        <f t="shared" si="4"/>
        <v>11-Jul-2025</v>
      </c>
      <c r="K353" s="61" t="s">
        <v>1799</v>
      </c>
      <c r="L353" s="27" t="str">
        <f t="shared" si="5"/>
        <v>22-Oct-2024</v>
      </c>
      <c r="M353" s="63" t="s">
        <v>15</v>
      </c>
      <c r="N353" s="61" t="s">
        <v>177</v>
      </c>
      <c r="O353" s="61" t="s">
        <v>37</v>
      </c>
      <c r="P353" s="61">
        <v>0.0</v>
      </c>
      <c r="Q353" s="64" t="s">
        <v>1800</v>
      </c>
      <c r="R353" s="27" t="str">
        <f>IFERROR(__xludf.DUMMYFUNCTION("IF(REGEXMATCH(N353, ""PRIORITY: Low""), ""Low"", IF(REGEXMATCH(N353, ""PRIORITY: Medium""), ""Medium"", IF(REGEXMATCH(N353, ""PRIORITY: High""), ""High"", """")))
"),"")</f>
        <v/>
      </c>
      <c r="S353" s="27" t="str">
        <f>IFERROR(__xludf.DUMMYFUNCTION("IF(REGEXMATCH(N353, ""SKILL: Low""), ""Low"", IF(REGEXMATCH(N353, ""SKILL: Medium""), ""Medium"", IF(REGEXMATCH(N353, ""SKILL: High""), ""High"", """")))"),"")</f>
        <v/>
      </c>
      <c r="T353" s="27" t="str">
        <f>IFERROR(__xludf.DUMMYFUNCTION("IF(REGEXMATCH(N353, ""STATUS: Dev Complete - Awaiting QA""), ""Dev Complete - Awaiting QA"", IF(REGEXMATCH(N353, ""STATUS: Follow-Up Required""), ""Follow-Up Required"", IF(REGEXMATCH(N353, ""STATUS: In Progress""), ""In Progress"", IF(REGEXMATCH(N353, """&amp;"STATUS: In QA""), ""In QA"", IF(REGEXMATCH(N353, ""STATUS: Needs Customer Feedback""), ""Needs Customer Feedback"", IF(REGEXMATCH(N353, ""STATUS: QA Passed - Awaiting Release""), ""QA Passed - Awaiting Release"", IF(REGEXMATCH(N353, ""STATUS: Release to P"&amp;"rod""), ""Release to Prod"", """")))))))"),"")</f>
        <v/>
      </c>
    </row>
    <row r="354" hidden="1">
      <c r="A354" s="61" t="s">
        <v>64</v>
      </c>
      <c r="B354" s="12" t="s">
        <v>65</v>
      </c>
      <c r="C354" s="61">
        <v>33.0</v>
      </c>
      <c r="D354" s="62" t="s">
        <v>1801</v>
      </c>
      <c r="E354" s="56" t="s">
        <v>173</v>
      </c>
      <c r="F354" s="61" t="s">
        <v>1802</v>
      </c>
      <c r="G354" s="57" t="str">
        <f t="shared" si="1"/>
        <v>22-Oct-2024</v>
      </c>
      <c r="H354" s="61" t="s">
        <v>37</v>
      </c>
      <c r="I354" s="61" t="s">
        <v>1803</v>
      </c>
      <c r="J354" s="27" t="str">
        <f t="shared" si="4"/>
        <v>11-Jul-2025</v>
      </c>
      <c r="K354" s="61" t="s">
        <v>1804</v>
      </c>
      <c r="L354" s="27" t="str">
        <f t="shared" si="5"/>
        <v>05-Nov-2024</v>
      </c>
      <c r="M354" s="63" t="s">
        <v>15</v>
      </c>
      <c r="N354" s="61" t="s">
        <v>177</v>
      </c>
      <c r="O354" s="27"/>
      <c r="P354" s="61">
        <v>0.0</v>
      </c>
      <c r="Q354" s="64" t="s">
        <v>1805</v>
      </c>
      <c r="R354" s="27" t="str">
        <f>IFERROR(__xludf.DUMMYFUNCTION("IF(REGEXMATCH(N354, ""PRIORITY: Low""), ""Low"", IF(REGEXMATCH(N354, ""PRIORITY: Medium""), ""Medium"", IF(REGEXMATCH(N354, ""PRIORITY: High""), ""High"", """")))
"),"")</f>
        <v/>
      </c>
      <c r="S354" s="27" t="str">
        <f>IFERROR(__xludf.DUMMYFUNCTION("IF(REGEXMATCH(N354, ""SKILL: Low""), ""Low"", IF(REGEXMATCH(N354, ""SKILL: Medium""), ""Medium"", IF(REGEXMATCH(N354, ""SKILL: High""), ""High"", """")))"),"")</f>
        <v/>
      </c>
      <c r="T354" s="27" t="str">
        <f>IFERROR(__xludf.DUMMYFUNCTION("IF(REGEXMATCH(N354, ""STATUS: Dev Complete - Awaiting QA""), ""Dev Complete - Awaiting QA"", IF(REGEXMATCH(N354, ""STATUS: Follow-Up Required""), ""Follow-Up Required"", IF(REGEXMATCH(N354, ""STATUS: In Progress""), ""In Progress"", IF(REGEXMATCH(N354, """&amp;"STATUS: In QA""), ""In QA"", IF(REGEXMATCH(N354, ""STATUS: Needs Customer Feedback""), ""Needs Customer Feedback"", IF(REGEXMATCH(N354, ""STATUS: QA Passed - Awaiting Release""), ""QA Passed - Awaiting Release"", IF(REGEXMATCH(N354, ""STATUS: Release to P"&amp;"rod""), ""Release to Prod"", """")))))))"),"")</f>
        <v/>
      </c>
    </row>
    <row r="355">
      <c r="A355" s="61" t="s">
        <v>64</v>
      </c>
      <c r="B355" s="12" t="s">
        <v>65</v>
      </c>
      <c r="C355" s="61">
        <v>32.0</v>
      </c>
      <c r="D355" s="62" t="s">
        <v>1806</v>
      </c>
      <c r="E355" s="56" t="s">
        <v>246</v>
      </c>
      <c r="F355" s="61" t="s">
        <v>1807</v>
      </c>
      <c r="G355" s="57" t="str">
        <f t="shared" si="1"/>
        <v>22-Oct-2024</v>
      </c>
      <c r="H355" s="61" t="s">
        <v>37</v>
      </c>
      <c r="I355" s="61" t="s">
        <v>1808</v>
      </c>
      <c r="J355" s="27" t="str">
        <f t="shared" si="4"/>
        <v>16-Jul-2025</v>
      </c>
      <c r="K355" s="27"/>
      <c r="L355" s="27" t="str">
        <f t="shared" si="5"/>
        <v/>
      </c>
      <c r="M355" s="63" t="s">
        <v>291</v>
      </c>
      <c r="N355" s="61" t="s">
        <v>1628</v>
      </c>
      <c r="O355" s="65"/>
      <c r="P355" s="61">
        <v>0.0</v>
      </c>
      <c r="Q355" s="64" t="s">
        <v>1809</v>
      </c>
      <c r="R355" s="27" t="str">
        <f>IFERROR(__xludf.DUMMYFUNCTION("IF(REGEXMATCH(N355, ""PRIORITY: Low""), ""Low"", IF(REGEXMATCH(N355, ""PRIORITY: Medium""), ""Medium"", IF(REGEXMATCH(N355, ""PRIORITY: High""), ""High"", """")))
"),"Low")</f>
        <v>Low</v>
      </c>
      <c r="S355" s="27" t="str">
        <f>IFERROR(__xludf.DUMMYFUNCTION("IF(REGEXMATCH(N355, ""SKILL: Low""), ""Low"", IF(REGEXMATCH(N355, ""SKILL: Medium""), ""Medium"", IF(REGEXMATCH(N355, ""SKILL: High""), ""High"", """")))"),"Medium")</f>
        <v>Medium</v>
      </c>
      <c r="T355" s="27" t="str">
        <f>IFERROR(__xludf.DUMMYFUNCTION("IF(REGEXMATCH(N355, ""STATUS: Dev Complete - Awaiting QA""), ""Dev Complete - Awaiting QA"", IF(REGEXMATCH(N355, ""STATUS: Follow-Up Required""), ""Follow-Up Required"", IF(REGEXMATCH(N355, ""STATUS: In Progress""), ""In Progress"", IF(REGEXMATCH(N355, """&amp;"STATUS: In QA""), ""In QA"", IF(REGEXMATCH(N355, ""STATUS: Needs Customer Feedback""), ""Needs Customer Feedback"", IF(REGEXMATCH(N355, ""STATUS: QA Passed - Awaiting Release""), ""QA Passed - Awaiting Release"", IF(REGEXMATCH(N355, ""STATUS: Release to P"&amp;"rod""), ""Release to Prod"", """")))))))"),"In Progress")</f>
        <v>In Progress</v>
      </c>
    </row>
    <row r="356" hidden="1">
      <c r="A356" s="61" t="s">
        <v>64</v>
      </c>
      <c r="B356" s="12" t="s">
        <v>65</v>
      </c>
      <c r="C356" s="61">
        <v>31.0</v>
      </c>
      <c r="D356" s="62" t="s">
        <v>1810</v>
      </c>
      <c r="E356" s="56" t="s">
        <v>173</v>
      </c>
      <c r="F356" s="61" t="s">
        <v>1811</v>
      </c>
      <c r="G356" s="57" t="str">
        <f t="shared" si="1"/>
        <v>22-Oct-2024</v>
      </c>
      <c r="H356" s="61" t="s">
        <v>37</v>
      </c>
      <c r="I356" s="61" t="s">
        <v>1812</v>
      </c>
      <c r="J356" s="27" t="str">
        <f t="shared" si="4"/>
        <v>11-Jul-2025</v>
      </c>
      <c r="K356" s="61" t="s">
        <v>1804</v>
      </c>
      <c r="L356" s="27" t="str">
        <f t="shared" si="5"/>
        <v>05-Nov-2024</v>
      </c>
      <c r="M356" s="63" t="s">
        <v>15</v>
      </c>
      <c r="N356" s="61" t="s">
        <v>177</v>
      </c>
      <c r="O356" s="27"/>
      <c r="P356" s="61">
        <v>1.0</v>
      </c>
      <c r="Q356" s="64" t="s">
        <v>1813</v>
      </c>
      <c r="R356" s="27" t="str">
        <f>IFERROR(__xludf.DUMMYFUNCTION("IF(REGEXMATCH(N356, ""PRIORITY: Low""), ""Low"", IF(REGEXMATCH(N356, ""PRIORITY: Medium""), ""Medium"", IF(REGEXMATCH(N356, ""PRIORITY: High""), ""High"", """")))
"),"")</f>
        <v/>
      </c>
      <c r="S356" s="27" t="str">
        <f>IFERROR(__xludf.DUMMYFUNCTION("IF(REGEXMATCH(N356, ""SKILL: Low""), ""Low"", IF(REGEXMATCH(N356, ""SKILL: Medium""), ""Medium"", IF(REGEXMATCH(N356, ""SKILL: High""), ""High"", """")))"),"")</f>
        <v/>
      </c>
      <c r="T356" s="27" t="str">
        <f>IFERROR(__xludf.DUMMYFUNCTION("IF(REGEXMATCH(N356, ""STATUS: Dev Complete - Awaiting QA""), ""Dev Complete - Awaiting QA"", IF(REGEXMATCH(N356, ""STATUS: Follow-Up Required""), ""Follow-Up Required"", IF(REGEXMATCH(N356, ""STATUS: In Progress""), ""In Progress"", IF(REGEXMATCH(N356, """&amp;"STATUS: In QA""), ""In QA"", IF(REGEXMATCH(N356, ""STATUS: Needs Customer Feedback""), ""Needs Customer Feedback"", IF(REGEXMATCH(N356, ""STATUS: QA Passed - Awaiting Release""), ""QA Passed - Awaiting Release"", IF(REGEXMATCH(N356, ""STATUS: Release to P"&amp;"rod""), ""Release to Prod"", """")))))))"),"")</f>
        <v/>
      </c>
    </row>
    <row r="357" hidden="1">
      <c r="A357" s="61" t="s">
        <v>64</v>
      </c>
      <c r="B357" s="12" t="s">
        <v>65</v>
      </c>
      <c r="C357" s="61">
        <v>30.0</v>
      </c>
      <c r="D357" s="62" t="s">
        <v>1814</v>
      </c>
      <c r="E357" s="56" t="s">
        <v>173</v>
      </c>
      <c r="F357" s="61" t="s">
        <v>1815</v>
      </c>
      <c r="G357" s="57" t="str">
        <f t="shared" si="1"/>
        <v>22-Oct-2024</v>
      </c>
      <c r="H357" s="61" t="s">
        <v>37</v>
      </c>
      <c r="I357" s="61" t="s">
        <v>1816</v>
      </c>
      <c r="J357" s="27" t="str">
        <f t="shared" si="4"/>
        <v>11-Jul-2025</v>
      </c>
      <c r="K357" s="61" t="s">
        <v>1804</v>
      </c>
      <c r="L357" s="27" t="str">
        <f t="shared" si="5"/>
        <v>05-Nov-2024</v>
      </c>
      <c r="M357" s="63" t="s">
        <v>15</v>
      </c>
      <c r="N357" s="61" t="s">
        <v>177</v>
      </c>
      <c r="O357" s="27"/>
      <c r="P357" s="61">
        <v>1.0</v>
      </c>
      <c r="Q357" s="64" t="s">
        <v>1817</v>
      </c>
      <c r="R357" s="27" t="str">
        <f>IFERROR(__xludf.DUMMYFUNCTION("IF(REGEXMATCH(N357, ""PRIORITY: Low""), ""Low"", IF(REGEXMATCH(N357, ""PRIORITY: Medium""), ""Medium"", IF(REGEXMATCH(N357, ""PRIORITY: High""), ""High"", """")))
"),"")</f>
        <v/>
      </c>
      <c r="S357" s="27" t="str">
        <f>IFERROR(__xludf.DUMMYFUNCTION("IF(REGEXMATCH(N357, ""SKILL: Low""), ""Low"", IF(REGEXMATCH(N357, ""SKILL: Medium""), ""Medium"", IF(REGEXMATCH(N357, ""SKILL: High""), ""High"", """")))"),"")</f>
        <v/>
      </c>
      <c r="T357" s="27" t="str">
        <f>IFERROR(__xludf.DUMMYFUNCTION("IF(REGEXMATCH(N357, ""STATUS: Dev Complete - Awaiting QA""), ""Dev Complete - Awaiting QA"", IF(REGEXMATCH(N357, ""STATUS: Follow-Up Required""), ""Follow-Up Required"", IF(REGEXMATCH(N357, ""STATUS: In Progress""), ""In Progress"", IF(REGEXMATCH(N357, """&amp;"STATUS: In QA""), ""In QA"", IF(REGEXMATCH(N357, ""STATUS: Needs Customer Feedback""), ""Needs Customer Feedback"", IF(REGEXMATCH(N357, ""STATUS: QA Passed - Awaiting Release""), ""QA Passed - Awaiting Release"", IF(REGEXMATCH(N357, ""STATUS: Release to P"&amp;"rod""), ""Release to Prod"", """")))))))"),"")</f>
        <v/>
      </c>
    </row>
    <row r="358" hidden="1">
      <c r="A358" s="61" t="s">
        <v>64</v>
      </c>
      <c r="B358" s="12" t="s">
        <v>65</v>
      </c>
      <c r="C358" s="61">
        <v>29.0</v>
      </c>
      <c r="D358" s="62" t="s">
        <v>1818</v>
      </c>
      <c r="E358" s="56" t="s">
        <v>173</v>
      </c>
      <c r="F358" s="61" t="s">
        <v>1819</v>
      </c>
      <c r="G358" s="57" t="str">
        <f t="shared" si="1"/>
        <v>22-Oct-2024</v>
      </c>
      <c r="H358" s="61" t="s">
        <v>37</v>
      </c>
      <c r="I358" s="61" t="s">
        <v>1816</v>
      </c>
      <c r="J358" s="27" t="str">
        <f t="shared" si="4"/>
        <v>11-Jul-2025</v>
      </c>
      <c r="K358" s="61" t="s">
        <v>1820</v>
      </c>
      <c r="L358" s="27" t="str">
        <f t="shared" si="5"/>
        <v>05-Nov-2024</v>
      </c>
      <c r="M358" s="63" t="s">
        <v>15</v>
      </c>
      <c r="N358" s="61" t="s">
        <v>177</v>
      </c>
      <c r="O358" s="27"/>
      <c r="P358" s="61">
        <v>1.0</v>
      </c>
      <c r="Q358" s="64" t="s">
        <v>1821</v>
      </c>
      <c r="R358" s="27" t="str">
        <f>IFERROR(__xludf.DUMMYFUNCTION("IF(REGEXMATCH(N358, ""PRIORITY: Low""), ""Low"", IF(REGEXMATCH(N358, ""PRIORITY: Medium""), ""Medium"", IF(REGEXMATCH(N358, ""PRIORITY: High""), ""High"", """")))
"),"")</f>
        <v/>
      </c>
      <c r="S358" s="27" t="str">
        <f>IFERROR(__xludf.DUMMYFUNCTION("IF(REGEXMATCH(N358, ""SKILL: Low""), ""Low"", IF(REGEXMATCH(N358, ""SKILL: Medium""), ""Medium"", IF(REGEXMATCH(N358, ""SKILL: High""), ""High"", """")))"),"")</f>
        <v/>
      </c>
      <c r="T358" s="27" t="str">
        <f>IFERROR(__xludf.DUMMYFUNCTION("IF(REGEXMATCH(N358, ""STATUS: Dev Complete - Awaiting QA""), ""Dev Complete - Awaiting QA"", IF(REGEXMATCH(N358, ""STATUS: Follow-Up Required""), ""Follow-Up Required"", IF(REGEXMATCH(N358, ""STATUS: In Progress""), ""In Progress"", IF(REGEXMATCH(N358, """&amp;"STATUS: In QA""), ""In QA"", IF(REGEXMATCH(N358, ""STATUS: Needs Customer Feedback""), ""Needs Customer Feedback"", IF(REGEXMATCH(N358, ""STATUS: QA Passed - Awaiting Release""), ""QA Passed - Awaiting Release"", IF(REGEXMATCH(N358, ""STATUS: Release to P"&amp;"rod""), ""Release to Prod"", """")))))))"),"")</f>
        <v/>
      </c>
    </row>
    <row r="359" hidden="1">
      <c r="A359" s="61" t="s">
        <v>64</v>
      </c>
      <c r="B359" s="12" t="s">
        <v>65</v>
      </c>
      <c r="C359" s="61">
        <v>28.0</v>
      </c>
      <c r="D359" s="62" t="s">
        <v>1822</v>
      </c>
      <c r="E359" s="56" t="s">
        <v>173</v>
      </c>
      <c r="F359" s="61" t="s">
        <v>1823</v>
      </c>
      <c r="G359" s="57" t="str">
        <f t="shared" si="1"/>
        <v>22-Oct-2024</v>
      </c>
      <c r="H359" s="61" t="s">
        <v>37</v>
      </c>
      <c r="I359" s="61" t="s">
        <v>1824</v>
      </c>
      <c r="J359" s="27" t="str">
        <f t="shared" si="4"/>
        <v>11-Jul-2025</v>
      </c>
      <c r="K359" s="61" t="s">
        <v>1820</v>
      </c>
      <c r="L359" s="27" t="str">
        <f t="shared" si="5"/>
        <v>05-Nov-2024</v>
      </c>
      <c r="M359" s="63" t="s">
        <v>15</v>
      </c>
      <c r="N359" s="61" t="s">
        <v>177</v>
      </c>
      <c r="O359" s="27"/>
      <c r="P359" s="61">
        <v>1.0</v>
      </c>
      <c r="Q359" s="64" t="s">
        <v>1825</v>
      </c>
      <c r="R359" s="27" t="str">
        <f>IFERROR(__xludf.DUMMYFUNCTION("IF(REGEXMATCH(N359, ""PRIORITY: Low""), ""Low"", IF(REGEXMATCH(N359, ""PRIORITY: Medium""), ""Medium"", IF(REGEXMATCH(N359, ""PRIORITY: High""), ""High"", """")))
"),"")</f>
        <v/>
      </c>
      <c r="S359" s="27" t="str">
        <f>IFERROR(__xludf.DUMMYFUNCTION("IF(REGEXMATCH(N359, ""SKILL: Low""), ""Low"", IF(REGEXMATCH(N359, ""SKILL: Medium""), ""Medium"", IF(REGEXMATCH(N359, ""SKILL: High""), ""High"", """")))"),"")</f>
        <v/>
      </c>
      <c r="T359" s="27" t="str">
        <f>IFERROR(__xludf.DUMMYFUNCTION("IF(REGEXMATCH(N359, ""STATUS: Dev Complete - Awaiting QA""), ""Dev Complete - Awaiting QA"", IF(REGEXMATCH(N359, ""STATUS: Follow-Up Required""), ""Follow-Up Required"", IF(REGEXMATCH(N359, ""STATUS: In Progress""), ""In Progress"", IF(REGEXMATCH(N359, """&amp;"STATUS: In QA""), ""In QA"", IF(REGEXMATCH(N359, ""STATUS: Needs Customer Feedback""), ""Needs Customer Feedback"", IF(REGEXMATCH(N359, ""STATUS: QA Passed - Awaiting Release""), ""QA Passed - Awaiting Release"", IF(REGEXMATCH(N359, ""STATUS: Release to P"&amp;"rod""), ""Release to Prod"", """")))))))"),"")</f>
        <v/>
      </c>
    </row>
    <row r="360" hidden="1">
      <c r="A360" s="61" t="s">
        <v>64</v>
      </c>
      <c r="B360" s="12" t="s">
        <v>65</v>
      </c>
      <c r="C360" s="61">
        <v>27.0</v>
      </c>
      <c r="D360" s="62" t="s">
        <v>1826</v>
      </c>
      <c r="E360" s="56" t="s">
        <v>173</v>
      </c>
      <c r="F360" s="61" t="s">
        <v>1827</v>
      </c>
      <c r="G360" s="57" t="str">
        <f t="shared" si="1"/>
        <v>22-Oct-2024</v>
      </c>
      <c r="H360" s="61" t="s">
        <v>37</v>
      </c>
      <c r="I360" s="61" t="s">
        <v>1828</v>
      </c>
      <c r="J360" s="27" t="str">
        <f t="shared" si="4"/>
        <v>11-Jul-2025</v>
      </c>
      <c r="K360" s="61" t="s">
        <v>1829</v>
      </c>
      <c r="L360" s="27" t="str">
        <f t="shared" si="5"/>
        <v>05-Nov-2024</v>
      </c>
      <c r="M360" s="63" t="s">
        <v>15</v>
      </c>
      <c r="N360" s="61" t="s">
        <v>177</v>
      </c>
      <c r="O360" s="27"/>
      <c r="P360" s="61">
        <v>1.0</v>
      </c>
      <c r="Q360" s="64" t="s">
        <v>1830</v>
      </c>
      <c r="R360" s="27" t="str">
        <f>IFERROR(__xludf.DUMMYFUNCTION("IF(REGEXMATCH(N360, ""PRIORITY: Low""), ""Low"", IF(REGEXMATCH(N360, ""PRIORITY: Medium""), ""Medium"", IF(REGEXMATCH(N360, ""PRIORITY: High""), ""High"", """")))
"),"")</f>
        <v/>
      </c>
      <c r="S360" s="27" t="str">
        <f>IFERROR(__xludf.DUMMYFUNCTION("IF(REGEXMATCH(N360, ""SKILL: Low""), ""Low"", IF(REGEXMATCH(N360, ""SKILL: Medium""), ""Medium"", IF(REGEXMATCH(N360, ""SKILL: High""), ""High"", """")))"),"")</f>
        <v/>
      </c>
      <c r="T360" s="27" t="str">
        <f>IFERROR(__xludf.DUMMYFUNCTION("IF(REGEXMATCH(N360, ""STATUS: Dev Complete - Awaiting QA""), ""Dev Complete - Awaiting QA"", IF(REGEXMATCH(N360, ""STATUS: Follow-Up Required""), ""Follow-Up Required"", IF(REGEXMATCH(N360, ""STATUS: In Progress""), ""In Progress"", IF(REGEXMATCH(N360, """&amp;"STATUS: In QA""), ""In QA"", IF(REGEXMATCH(N360, ""STATUS: Needs Customer Feedback""), ""Needs Customer Feedback"", IF(REGEXMATCH(N360, ""STATUS: QA Passed - Awaiting Release""), ""QA Passed - Awaiting Release"", IF(REGEXMATCH(N360, ""STATUS: Release to P"&amp;"rod""), ""Release to Prod"", """")))))))"),"")</f>
        <v/>
      </c>
    </row>
    <row r="361" hidden="1">
      <c r="A361" s="61" t="s">
        <v>64</v>
      </c>
      <c r="B361" s="12" t="s">
        <v>65</v>
      </c>
      <c r="C361" s="61">
        <v>26.0</v>
      </c>
      <c r="D361" s="62" t="s">
        <v>1831</v>
      </c>
      <c r="E361" s="56" t="s">
        <v>173</v>
      </c>
      <c r="F361" s="61" t="s">
        <v>1832</v>
      </c>
      <c r="G361" s="57" t="str">
        <f t="shared" si="1"/>
        <v>22-Oct-2024</v>
      </c>
      <c r="H361" s="61" t="s">
        <v>37</v>
      </c>
      <c r="I361" s="61" t="s">
        <v>1828</v>
      </c>
      <c r="J361" s="27" t="str">
        <f t="shared" si="4"/>
        <v>11-Jul-2025</v>
      </c>
      <c r="K361" s="61" t="s">
        <v>1829</v>
      </c>
      <c r="L361" s="27" t="str">
        <f t="shared" si="5"/>
        <v>05-Nov-2024</v>
      </c>
      <c r="M361" s="63" t="s">
        <v>15</v>
      </c>
      <c r="N361" s="61" t="s">
        <v>177</v>
      </c>
      <c r="O361" s="27"/>
      <c r="P361" s="61">
        <v>0.0</v>
      </c>
      <c r="Q361" s="64" t="s">
        <v>1833</v>
      </c>
      <c r="R361" s="27" t="str">
        <f>IFERROR(__xludf.DUMMYFUNCTION("IF(REGEXMATCH(N361, ""PRIORITY: Low""), ""Low"", IF(REGEXMATCH(N361, ""PRIORITY: Medium""), ""Medium"", IF(REGEXMATCH(N361, ""PRIORITY: High""), ""High"", """")))
"),"")</f>
        <v/>
      </c>
      <c r="S361" s="27" t="str">
        <f>IFERROR(__xludf.DUMMYFUNCTION("IF(REGEXMATCH(N361, ""SKILL: Low""), ""Low"", IF(REGEXMATCH(N361, ""SKILL: Medium""), ""Medium"", IF(REGEXMATCH(N361, ""SKILL: High""), ""High"", """")))"),"")</f>
        <v/>
      </c>
      <c r="T361" s="27" t="str">
        <f>IFERROR(__xludf.DUMMYFUNCTION("IF(REGEXMATCH(N361, ""STATUS: Dev Complete - Awaiting QA""), ""Dev Complete - Awaiting QA"", IF(REGEXMATCH(N361, ""STATUS: Follow-Up Required""), ""Follow-Up Required"", IF(REGEXMATCH(N361, ""STATUS: In Progress""), ""In Progress"", IF(REGEXMATCH(N361, """&amp;"STATUS: In QA""), ""In QA"", IF(REGEXMATCH(N361, ""STATUS: Needs Customer Feedback""), ""Needs Customer Feedback"", IF(REGEXMATCH(N361, ""STATUS: QA Passed - Awaiting Release""), ""QA Passed - Awaiting Release"", IF(REGEXMATCH(N361, ""STATUS: Release to P"&amp;"rod""), ""Release to Prod"", """")))))))"),"")</f>
        <v/>
      </c>
    </row>
    <row r="362" hidden="1">
      <c r="A362" s="61" t="s">
        <v>64</v>
      </c>
      <c r="B362" s="12" t="s">
        <v>65</v>
      </c>
      <c r="C362" s="61">
        <v>25.0</v>
      </c>
      <c r="D362" s="62" t="s">
        <v>1834</v>
      </c>
      <c r="E362" s="56" t="s">
        <v>173</v>
      </c>
      <c r="F362" s="61" t="s">
        <v>1835</v>
      </c>
      <c r="G362" s="57" t="str">
        <f t="shared" si="1"/>
        <v>21-Oct-2024</v>
      </c>
      <c r="H362" s="61" t="s">
        <v>136</v>
      </c>
      <c r="I362" s="61" t="s">
        <v>1836</v>
      </c>
      <c r="J362" s="27" t="str">
        <f t="shared" si="4"/>
        <v>11-Jul-2025</v>
      </c>
      <c r="K362" s="61" t="s">
        <v>1829</v>
      </c>
      <c r="L362" s="27" t="str">
        <f t="shared" si="5"/>
        <v>05-Nov-2024</v>
      </c>
      <c r="M362" s="63" t="s">
        <v>15</v>
      </c>
      <c r="N362" s="61" t="s">
        <v>177</v>
      </c>
      <c r="O362" s="27"/>
      <c r="P362" s="61">
        <v>0.0</v>
      </c>
      <c r="Q362" s="64" t="s">
        <v>1837</v>
      </c>
      <c r="R362" s="27" t="str">
        <f>IFERROR(__xludf.DUMMYFUNCTION("IF(REGEXMATCH(N362, ""PRIORITY: Low""), ""Low"", IF(REGEXMATCH(N362, ""PRIORITY: Medium""), ""Medium"", IF(REGEXMATCH(N362, ""PRIORITY: High""), ""High"", """")))
"),"")</f>
        <v/>
      </c>
      <c r="S362" s="27" t="str">
        <f>IFERROR(__xludf.DUMMYFUNCTION("IF(REGEXMATCH(N362, ""SKILL: Low""), ""Low"", IF(REGEXMATCH(N362, ""SKILL: Medium""), ""Medium"", IF(REGEXMATCH(N362, ""SKILL: High""), ""High"", """")))"),"")</f>
        <v/>
      </c>
      <c r="T362" s="27" t="str">
        <f>IFERROR(__xludf.DUMMYFUNCTION("IF(REGEXMATCH(N362, ""STATUS: Dev Complete - Awaiting QA""), ""Dev Complete - Awaiting QA"", IF(REGEXMATCH(N362, ""STATUS: Follow-Up Required""), ""Follow-Up Required"", IF(REGEXMATCH(N362, ""STATUS: In Progress""), ""In Progress"", IF(REGEXMATCH(N362, """&amp;"STATUS: In QA""), ""In QA"", IF(REGEXMATCH(N362, ""STATUS: Needs Customer Feedback""), ""Needs Customer Feedback"", IF(REGEXMATCH(N362, ""STATUS: QA Passed - Awaiting Release""), ""QA Passed - Awaiting Release"", IF(REGEXMATCH(N362, ""STATUS: Release to P"&amp;"rod""), ""Release to Prod"", """")))))))"),"")</f>
        <v/>
      </c>
    </row>
    <row r="363" hidden="1">
      <c r="A363" s="61" t="s">
        <v>64</v>
      </c>
      <c r="B363" s="12" t="s">
        <v>65</v>
      </c>
      <c r="C363" s="61">
        <v>22.0</v>
      </c>
      <c r="D363" s="62" t="s">
        <v>1838</v>
      </c>
      <c r="E363" s="56" t="s">
        <v>173</v>
      </c>
      <c r="F363" s="61" t="s">
        <v>1839</v>
      </c>
      <c r="G363" s="57" t="str">
        <f t="shared" si="1"/>
        <v>21-Oct-2024</v>
      </c>
      <c r="H363" s="61" t="s">
        <v>136</v>
      </c>
      <c r="I363" s="61" t="s">
        <v>1840</v>
      </c>
      <c r="J363" s="27" t="str">
        <f t="shared" si="4"/>
        <v>11-Jul-2025</v>
      </c>
      <c r="K363" s="61" t="s">
        <v>1841</v>
      </c>
      <c r="L363" s="27" t="str">
        <f t="shared" si="5"/>
        <v>05-Nov-2024</v>
      </c>
      <c r="M363" s="63" t="s">
        <v>15</v>
      </c>
      <c r="N363" s="61" t="s">
        <v>177</v>
      </c>
      <c r="O363" s="27"/>
      <c r="P363" s="61">
        <v>0.0</v>
      </c>
      <c r="Q363" s="64" t="s">
        <v>1842</v>
      </c>
      <c r="R363" s="27" t="str">
        <f>IFERROR(__xludf.DUMMYFUNCTION("IF(REGEXMATCH(N363, ""PRIORITY: Low""), ""Low"", IF(REGEXMATCH(N363, ""PRIORITY: Medium""), ""Medium"", IF(REGEXMATCH(N363, ""PRIORITY: High""), ""High"", """")))
"),"")</f>
        <v/>
      </c>
      <c r="S363" s="27" t="str">
        <f>IFERROR(__xludf.DUMMYFUNCTION("IF(REGEXMATCH(N363, ""SKILL: Low""), ""Low"", IF(REGEXMATCH(N363, ""SKILL: Medium""), ""Medium"", IF(REGEXMATCH(N363, ""SKILL: High""), ""High"", """")))"),"")</f>
        <v/>
      </c>
      <c r="T363" s="27" t="str">
        <f>IFERROR(__xludf.DUMMYFUNCTION("IF(REGEXMATCH(N363, ""STATUS: Dev Complete - Awaiting QA""), ""Dev Complete - Awaiting QA"", IF(REGEXMATCH(N363, ""STATUS: Follow-Up Required""), ""Follow-Up Required"", IF(REGEXMATCH(N363, ""STATUS: In Progress""), ""In Progress"", IF(REGEXMATCH(N363, """&amp;"STATUS: In QA""), ""In QA"", IF(REGEXMATCH(N363, ""STATUS: Needs Customer Feedback""), ""Needs Customer Feedback"", IF(REGEXMATCH(N363, ""STATUS: QA Passed - Awaiting Release""), ""QA Passed - Awaiting Release"", IF(REGEXMATCH(N363, ""STATUS: Release to P"&amp;"rod""), ""Release to Prod"", """")))))))"),"")</f>
        <v/>
      </c>
    </row>
    <row r="364" hidden="1">
      <c r="A364" s="61" t="s">
        <v>64</v>
      </c>
      <c r="B364" s="12" t="s">
        <v>65</v>
      </c>
      <c r="C364" s="61">
        <v>21.0</v>
      </c>
      <c r="D364" s="62" t="s">
        <v>1843</v>
      </c>
      <c r="E364" s="56" t="s">
        <v>173</v>
      </c>
      <c r="F364" s="61" t="s">
        <v>1844</v>
      </c>
      <c r="G364" s="57" t="str">
        <f t="shared" si="1"/>
        <v>21-Oct-2024</v>
      </c>
      <c r="H364" s="61" t="s">
        <v>136</v>
      </c>
      <c r="I364" s="61" t="s">
        <v>1845</v>
      </c>
      <c r="J364" s="27" t="str">
        <f t="shared" si="4"/>
        <v>11-Jul-2025</v>
      </c>
      <c r="K364" s="61" t="s">
        <v>1846</v>
      </c>
      <c r="L364" s="27" t="str">
        <f t="shared" si="5"/>
        <v>20-May-2025</v>
      </c>
      <c r="M364" s="63" t="s">
        <v>15</v>
      </c>
      <c r="N364" s="61" t="s">
        <v>177</v>
      </c>
      <c r="O364" s="27"/>
      <c r="P364" s="61">
        <v>0.0</v>
      </c>
      <c r="Q364" s="66" t="s">
        <v>1847</v>
      </c>
      <c r="R364" s="27" t="str">
        <f>IFERROR(__xludf.DUMMYFUNCTION("IF(REGEXMATCH(N364, ""PRIORITY: Low""), ""Low"", IF(REGEXMATCH(N364, ""PRIORITY: Medium""), ""Medium"", IF(REGEXMATCH(N364, ""PRIORITY: High""), ""High"", """")))
"),"")</f>
        <v/>
      </c>
      <c r="S364" s="27" t="str">
        <f>IFERROR(__xludf.DUMMYFUNCTION("IF(REGEXMATCH(N364, ""SKILL: Low""), ""Low"", IF(REGEXMATCH(N364, ""SKILL: Medium""), ""Medium"", IF(REGEXMATCH(N364, ""SKILL: High""), ""High"", """")))"),"")</f>
        <v/>
      </c>
      <c r="T364" s="27" t="str">
        <f>IFERROR(__xludf.DUMMYFUNCTION("IF(REGEXMATCH(N364, ""STATUS: Dev Complete - Awaiting QA""), ""Dev Complete - Awaiting QA"", IF(REGEXMATCH(N364, ""STATUS: Follow-Up Required""), ""Follow-Up Required"", IF(REGEXMATCH(N364, ""STATUS: In Progress""), ""In Progress"", IF(REGEXMATCH(N364, """&amp;"STATUS: In QA""), ""In QA"", IF(REGEXMATCH(N364, ""STATUS: Needs Customer Feedback""), ""Needs Customer Feedback"", IF(REGEXMATCH(N364, ""STATUS: QA Passed - Awaiting Release""), ""QA Passed - Awaiting Release"", IF(REGEXMATCH(N364, ""STATUS: Release to P"&amp;"rod""), ""Release to Prod"", """")))))))"),"")</f>
        <v/>
      </c>
    </row>
    <row r="365" hidden="1">
      <c r="A365" s="61" t="s">
        <v>64</v>
      </c>
      <c r="B365" s="12" t="s">
        <v>65</v>
      </c>
      <c r="C365" s="61">
        <v>20.0</v>
      </c>
      <c r="D365" s="62" t="s">
        <v>1848</v>
      </c>
      <c r="E365" s="56" t="s">
        <v>173</v>
      </c>
      <c r="F365" s="61" t="s">
        <v>1849</v>
      </c>
      <c r="G365" s="57" t="str">
        <f t="shared" si="1"/>
        <v>21-Oct-2024</v>
      </c>
      <c r="H365" s="61" t="s">
        <v>136</v>
      </c>
      <c r="I365" s="61" t="s">
        <v>1850</v>
      </c>
      <c r="J365" s="27" t="str">
        <f t="shared" si="4"/>
        <v>11-Jul-2025</v>
      </c>
      <c r="K365" s="61" t="s">
        <v>1841</v>
      </c>
      <c r="L365" s="27" t="str">
        <f t="shared" si="5"/>
        <v>05-Nov-2024</v>
      </c>
      <c r="M365" s="63" t="s">
        <v>15</v>
      </c>
      <c r="N365" s="61" t="s">
        <v>177</v>
      </c>
      <c r="O365" s="27"/>
      <c r="P365" s="61">
        <v>0.0</v>
      </c>
      <c r="Q365" s="66" t="s">
        <v>1851</v>
      </c>
      <c r="R365" s="27" t="str">
        <f>IFERROR(__xludf.DUMMYFUNCTION("IF(REGEXMATCH(N365, ""PRIORITY: Low""), ""Low"", IF(REGEXMATCH(N365, ""PRIORITY: Medium""), ""Medium"", IF(REGEXMATCH(N365, ""PRIORITY: High""), ""High"", """")))
"),"")</f>
        <v/>
      </c>
      <c r="S365" s="27" t="str">
        <f>IFERROR(__xludf.DUMMYFUNCTION("IF(REGEXMATCH(N365, ""SKILL: Low""), ""Low"", IF(REGEXMATCH(N365, ""SKILL: Medium""), ""Medium"", IF(REGEXMATCH(N365, ""SKILL: High""), ""High"", """")))"),"")</f>
        <v/>
      </c>
      <c r="T365" s="27" t="str">
        <f>IFERROR(__xludf.DUMMYFUNCTION("IF(REGEXMATCH(N365, ""STATUS: Dev Complete - Awaiting QA""), ""Dev Complete - Awaiting QA"", IF(REGEXMATCH(N365, ""STATUS: Follow-Up Required""), ""Follow-Up Required"", IF(REGEXMATCH(N365, ""STATUS: In Progress""), ""In Progress"", IF(REGEXMATCH(N365, """&amp;"STATUS: In QA""), ""In QA"", IF(REGEXMATCH(N365, ""STATUS: Needs Customer Feedback""), ""Needs Customer Feedback"", IF(REGEXMATCH(N365, ""STATUS: QA Passed - Awaiting Release""), ""QA Passed - Awaiting Release"", IF(REGEXMATCH(N365, ""STATUS: Release to P"&amp;"rod""), ""Release to Prod"", """")))))))"),"")</f>
        <v/>
      </c>
    </row>
    <row r="366" hidden="1">
      <c r="A366" s="61" t="s">
        <v>64</v>
      </c>
      <c r="B366" s="12" t="s">
        <v>65</v>
      </c>
      <c r="C366" s="61">
        <v>19.0</v>
      </c>
      <c r="D366" s="62" t="s">
        <v>1852</v>
      </c>
      <c r="E366" s="56" t="s">
        <v>173</v>
      </c>
      <c r="F366" s="61" t="s">
        <v>1853</v>
      </c>
      <c r="G366" s="57" t="str">
        <f t="shared" si="1"/>
        <v>21-Oct-2024</v>
      </c>
      <c r="H366" s="61" t="s">
        <v>136</v>
      </c>
      <c r="I366" s="61" t="s">
        <v>1854</v>
      </c>
      <c r="J366" s="27" t="str">
        <f t="shared" si="4"/>
        <v>11-Jul-2025</v>
      </c>
      <c r="K366" s="61" t="s">
        <v>1855</v>
      </c>
      <c r="L366" s="27" t="str">
        <f t="shared" si="5"/>
        <v>05-Nov-2024</v>
      </c>
      <c r="M366" s="63" t="s">
        <v>15</v>
      </c>
      <c r="N366" s="61" t="s">
        <v>177</v>
      </c>
      <c r="O366" s="27"/>
      <c r="P366" s="61">
        <v>0.0</v>
      </c>
      <c r="Q366" s="66" t="s">
        <v>1856</v>
      </c>
      <c r="R366" s="27" t="str">
        <f>IFERROR(__xludf.DUMMYFUNCTION("IF(REGEXMATCH(N366, ""PRIORITY: Low""), ""Low"", IF(REGEXMATCH(N366, ""PRIORITY: Medium""), ""Medium"", IF(REGEXMATCH(N366, ""PRIORITY: High""), ""High"", """")))
"),"")</f>
        <v/>
      </c>
      <c r="S366" s="27" t="str">
        <f>IFERROR(__xludf.DUMMYFUNCTION("IF(REGEXMATCH(N366, ""SKILL: Low""), ""Low"", IF(REGEXMATCH(N366, ""SKILL: Medium""), ""Medium"", IF(REGEXMATCH(N366, ""SKILL: High""), ""High"", """")))"),"")</f>
        <v/>
      </c>
      <c r="T366" s="27" t="str">
        <f>IFERROR(__xludf.DUMMYFUNCTION("IF(REGEXMATCH(N366, ""STATUS: Dev Complete - Awaiting QA""), ""Dev Complete - Awaiting QA"", IF(REGEXMATCH(N366, ""STATUS: Follow-Up Required""), ""Follow-Up Required"", IF(REGEXMATCH(N366, ""STATUS: In Progress""), ""In Progress"", IF(REGEXMATCH(N366, """&amp;"STATUS: In QA""), ""In QA"", IF(REGEXMATCH(N366, ""STATUS: Needs Customer Feedback""), ""Needs Customer Feedback"", IF(REGEXMATCH(N366, ""STATUS: QA Passed - Awaiting Release""), ""QA Passed - Awaiting Release"", IF(REGEXMATCH(N366, ""STATUS: Release to P"&amp;"rod""), ""Release to Prod"", """")))))))"),"")</f>
        <v/>
      </c>
    </row>
    <row r="367" hidden="1">
      <c r="A367" s="61" t="s">
        <v>64</v>
      </c>
      <c r="B367" s="12" t="s">
        <v>65</v>
      </c>
      <c r="C367" s="61">
        <v>18.0</v>
      </c>
      <c r="D367" s="62" t="s">
        <v>1857</v>
      </c>
      <c r="E367" s="56" t="s">
        <v>173</v>
      </c>
      <c r="F367" s="61" t="s">
        <v>1858</v>
      </c>
      <c r="G367" s="57" t="str">
        <f t="shared" si="1"/>
        <v>21-Oct-2024</v>
      </c>
      <c r="H367" s="61" t="s">
        <v>136</v>
      </c>
      <c r="I367" s="61" t="s">
        <v>1854</v>
      </c>
      <c r="J367" s="27" t="str">
        <f t="shared" si="4"/>
        <v>11-Jul-2025</v>
      </c>
      <c r="K367" s="61" t="s">
        <v>1855</v>
      </c>
      <c r="L367" s="27" t="str">
        <f t="shared" si="5"/>
        <v>05-Nov-2024</v>
      </c>
      <c r="M367" s="63" t="s">
        <v>15</v>
      </c>
      <c r="N367" s="61" t="s">
        <v>177</v>
      </c>
      <c r="O367" s="61" t="s">
        <v>37</v>
      </c>
      <c r="P367" s="61">
        <v>0.0</v>
      </c>
      <c r="Q367" s="66" t="s">
        <v>1859</v>
      </c>
      <c r="R367" s="27" t="str">
        <f>IFERROR(__xludf.DUMMYFUNCTION("IF(REGEXMATCH(N367, ""PRIORITY: Low""), ""Low"", IF(REGEXMATCH(N367, ""PRIORITY: Medium""), ""Medium"", IF(REGEXMATCH(N367, ""PRIORITY: High""), ""High"", """")))
"),"")</f>
        <v/>
      </c>
      <c r="S367" s="27" t="str">
        <f>IFERROR(__xludf.DUMMYFUNCTION("IF(REGEXMATCH(N367, ""SKILL: Low""), ""Low"", IF(REGEXMATCH(N367, ""SKILL: Medium""), ""Medium"", IF(REGEXMATCH(N367, ""SKILL: High""), ""High"", """")))"),"")</f>
        <v/>
      </c>
      <c r="T367" s="27" t="str">
        <f>IFERROR(__xludf.DUMMYFUNCTION("IF(REGEXMATCH(N367, ""STATUS: Dev Complete - Awaiting QA""), ""Dev Complete - Awaiting QA"", IF(REGEXMATCH(N367, ""STATUS: Follow-Up Required""), ""Follow-Up Required"", IF(REGEXMATCH(N367, ""STATUS: In Progress""), ""In Progress"", IF(REGEXMATCH(N367, """&amp;"STATUS: In QA""), ""In QA"", IF(REGEXMATCH(N367, ""STATUS: Needs Customer Feedback""), ""Needs Customer Feedback"", IF(REGEXMATCH(N367, ""STATUS: QA Passed - Awaiting Release""), ""QA Passed - Awaiting Release"", IF(REGEXMATCH(N367, ""STATUS: Release to P"&amp;"rod""), ""Release to Prod"", """")))))))"),"")</f>
        <v/>
      </c>
    </row>
    <row r="368" hidden="1">
      <c r="A368" s="61" t="s">
        <v>64</v>
      </c>
      <c r="B368" s="12" t="s">
        <v>65</v>
      </c>
      <c r="C368" s="61">
        <v>14.0</v>
      </c>
      <c r="D368" s="62" t="s">
        <v>1860</v>
      </c>
      <c r="E368" s="56" t="s">
        <v>173</v>
      </c>
      <c r="F368" s="61" t="s">
        <v>1861</v>
      </c>
      <c r="G368" s="57" t="str">
        <f t="shared" si="1"/>
        <v>08-Oct-2024</v>
      </c>
      <c r="H368" s="61" t="s">
        <v>141</v>
      </c>
      <c r="I368" s="61" t="s">
        <v>1862</v>
      </c>
      <c r="J368" s="27" t="str">
        <f t="shared" si="4"/>
        <v>11-Jul-2025</v>
      </c>
      <c r="K368" s="61" t="s">
        <v>1863</v>
      </c>
      <c r="L368" s="27" t="str">
        <f t="shared" si="5"/>
        <v>08-Oct-2024</v>
      </c>
      <c r="M368" s="63" t="s">
        <v>15</v>
      </c>
      <c r="N368" s="61" t="s">
        <v>177</v>
      </c>
      <c r="O368" s="27"/>
      <c r="P368" s="61">
        <v>0.0</v>
      </c>
      <c r="Q368" s="66" t="s">
        <v>1864</v>
      </c>
      <c r="R368" s="27" t="str">
        <f>IFERROR(__xludf.DUMMYFUNCTION("IF(REGEXMATCH(N368, ""PRIORITY: Low""), ""Low"", IF(REGEXMATCH(N368, ""PRIORITY: Medium""), ""Medium"", IF(REGEXMATCH(N368, ""PRIORITY: High""), ""High"", """")))
"),"")</f>
        <v/>
      </c>
      <c r="S368" s="27" t="str">
        <f>IFERROR(__xludf.DUMMYFUNCTION("IF(REGEXMATCH(N368, ""SKILL: Low""), ""Low"", IF(REGEXMATCH(N368, ""SKILL: Medium""), ""Medium"", IF(REGEXMATCH(N368, ""SKILL: High""), ""High"", """")))"),"")</f>
        <v/>
      </c>
      <c r="T368" s="27" t="str">
        <f>IFERROR(__xludf.DUMMYFUNCTION("IF(REGEXMATCH(N368, ""STATUS: Dev Complete - Awaiting QA""), ""Dev Complete - Awaiting QA"", IF(REGEXMATCH(N368, ""STATUS: Follow-Up Required""), ""Follow-Up Required"", IF(REGEXMATCH(N368, ""STATUS: In Progress""), ""In Progress"", IF(REGEXMATCH(N368, """&amp;"STATUS: In QA""), ""In QA"", IF(REGEXMATCH(N368, ""STATUS: Needs Customer Feedback""), ""Needs Customer Feedback"", IF(REGEXMATCH(N368, ""STATUS: QA Passed - Awaiting Release""), ""QA Passed - Awaiting Release"", IF(REGEXMATCH(N368, ""STATUS: Release to P"&amp;"rod""), ""Release to Prod"", """")))))))"),"")</f>
        <v/>
      </c>
    </row>
    <row r="369" hidden="1">
      <c r="A369" s="61" t="s">
        <v>64</v>
      </c>
      <c r="B369" s="12" t="s">
        <v>65</v>
      </c>
      <c r="C369" s="61">
        <v>13.0</v>
      </c>
      <c r="D369" s="62" t="s">
        <v>1865</v>
      </c>
      <c r="E369" s="56" t="s">
        <v>173</v>
      </c>
      <c r="F369" s="61" t="s">
        <v>1866</v>
      </c>
      <c r="G369" s="57" t="str">
        <f t="shared" si="1"/>
        <v>08-Oct-2024</v>
      </c>
      <c r="H369" s="61" t="s">
        <v>141</v>
      </c>
      <c r="I369" s="61" t="s">
        <v>1867</v>
      </c>
      <c r="J369" s="27" t="str">
        <f t="shared" si="4"/>
        <v>11-Jul-2025</v>
      </c>
      <c r="K369" s="61" t="s">
        <v>1855</v>
      </c>
      <c r="L369" s="27" t="str">
        <f t="shared" si="5"/>
        <v>05-Nov-2024</v>
      </c>
      <c r="M369" s="63" t="s">
        <v>15</v>
      </c>
      <c r="N369" s="61" t="s">
        <v>177</v>
      </c>
      <c r="O369" s="27"/>
      <c r="P369" s="61">
        <v>0.0</v>
      </c>
      <c r="Q369" s="66" t="s">
        <v>1868</v>
      </c>
      <c r="R369" s="27" t="str">
        <f>IFERROR(__xludf.DUMMYFUNCTION("IF(REGEXMATCH(N369, ""PRIORITY: Low""), ""Low"", IF(REGEXMATCH(N369, ""PRIORITY: Medium""), ""Medium"", IF(REGEXMATCH(N369, ""PRIORITY: High""), ""High"", """")))
"),"")</f>
        <v/>
      </c>
      <c r="S369" s="27" t="str">
        <f>IFERROR(__xludf.DUMMYFUNCTION("IF(REGEXMATCH(N369, ""SKILL: Low""), ""Low"", IF(REGEXMATCH(N369, ""SKILL: Medium""), ""Medium"", IF(REGEXMATCH(N369, ""SKILL: High""), ""High"", """")))"),"")</f>
        <v/>
      </c>
      <c r="T369" s="27" t="str">
        <f>IFERROR(__xludf.DUMMYFUNCTION("IF(REGEXMATCH(N369, ""STATUS: Dev Complete - Awaiting QA""), ""Dev Complete - Awaiting QA"", IF(REGEXMATCH(N369, ""STATUS: Follow-Up Required""), ""Follow-Up Required"", IF(REGEXMATCH(N369, ""STATUS: In Progress""), ""In Progress"", IF(REGEXMATCH(N369, """&amp;"STATUS: In QA""), ""In QA"", IF(REGEXMATCH(N369, ""STATUS: Needs Customer Feedback""), ""Needs Customer Feedback"", IF(REGEXMATCH(N369, ""STATUS: QA Passed - Awaiting Release""), ""QA Passed - Awaiting Release"", IF(REGEXMATCH(N369, ""STATUS: Release to P"&amp;"rod""), ""Release to Prod"", """")))))))"),"")</f>
        <v/>
      </c>
    </row>
    <row r="370" hidden="1">
      <c r="A370" s="61" t="s">
        <v>64</v>
      </c>
      <c r="B370" s="12" t="s">
        <v>65</v>
      </c>
      <c r="C370" s="61">
        <v>12.0</v>
      </c>
      <c r="D370" s="62" t="s">
        <v>1869</v>
      </c>
      <c r="E370" s="56" t="s">
        <v>173</v>
      </c>
      <c r="F370" s="61" t="s">
        <v>1870</v>
      </c>
      <c r="G370" s="57" t="str">
        <f t="shared" si="1"/>
        <v>08-Oct-2024</v>
      </c>
      <c r="H370" s="61" t="s">
        <v>141</v>
      </c>
      <c r="I370" s="61" t="s">
        <v>1871</v>
      </c>
      <c r="J370" s="27" t="str">
        <f t="shared" si="4"/>
        <v>11-Jul-2025</v>
      </c>
      <c r="K370" s="61" t="s">
        <v>1872</v>
      </c>
      <c r="L370" s="27" t="str">
        <f t="shared" si="5"/>
        <v>05-Nov-2024</v>
      </c>
      <c r="M370" s="63" t="s">
        <v>15</v>
      </c>
      <c r="N370" s="61" t="s">
        <v>177</v>
      </c>
      <c r="O370" s="27"/>
      <c r="P370" s="61">
        <v>0.0</v>
      </c>
      <c r="Q370" s="66" t="s">
        <v>1873</v>
      </c>
      <c r="R370" s="27" t="str">
        <f>IFERROR(__xludf.DUMMYFUNCTION("IF(REGEXMATCH(N370, ""PRIORITY: Low""), ""Low"", IF(REGEXMATCH(N370, ""PRIORITY: Medium""), ""Medium"", IF(REGEXMATCH(N370, ""PRIORITY: High""), ""High"", """")))
"),"")</f>
        <v/>
      </c>
      <c r="S370" s="27" t="str">
        <f>IFERROR(__xludf.DUMMYFUNCTION("IF(REGEXMATCH(N370, ""SKILL: Low""), ""Low"", IF(REGEXMATCH(N370, ""SKILL: Medium""), ""Medium"", IF(REGEXMATCH(N370, ""SKILL: High""), ""High"", """")))"),"")</f>
        <v/>
      </c>
      <c r="T370" s="27" t="str">
        <f>IFERROR(__xludf.DUMMYFUNCTION("IF(REGEXMATCH(N370, ""STATUS: Dev Complete - Awaiting QA""), ""Dev Complete - Awaiting QA"", IF(REGEXMATCH(N370, ""STATUS: Follow-Up Required""), ""Follow-Up Required"", IF(REGEXMATCH(N370, ""STATUS: In Progress""), ""In Progress"", IF(REGEXMATCH(N370, """&amp;"STATUS: In QA""), ""In QA"", IF(REGEXMATCH(N370, ""STATUS: Needs Customer Feedback""), ""Needs Customer Feedback"", IF(REGEXMATCH(N370, ""STATUS: QA Passed - Awaiting Release""), ""QA Passed - Awaiting Release"", IF(REGEXMATCH(N370, ""STATUS: Release to P"&amp;"rod""), ""Release to Prod"", """")))))))"),"")</f>
        <v/>
      </c>
    </row>
    <row r="371" hidden="1">
      <c r="A371" s="61" t="s">
        <v>64</v>
      </c>
      <c r="B371" s="12" t="s">
        <v>65</v>
      </c>
      <c r="C371" s="61">
        <v>11.0</v>
      </c>
      <c r="D371" s="62" t="s">
        <v>1874</v>
      </c>
      <c r="E371" s="56" t="s">
        <v>173</v>
      </c>
      <c r="F371" s="61" t="s">
        <v>1875</v>
      </c>
      <c r="G371" s="57" t="str">
        <f t="shared" si="1"/>
        <v>07-Oct-2024</v>
      </c>
      <c r="H371" s="61" t="s">
        <v>1876</v>
      </c>
      <c r="I371" s="61" t="s">
        <v>1877</v>
      </c>
      <c r="J371" s="27" t="str">
        <f t="shared" si="4"/>
        <v>11-Jul-2025</v>
      </c>
      <c r="K371" s="61" t="s">
        <v>1878</v>
      </c>
      <c r="L371" s="27" t="str">
        <f t="shared" si="5"/>
        <v>05-Nov-2024</v>
      </c>
      <c r="M371" s="63" t="s">
        <v>15</v>
      </c>
      <c r="N371" s="61" t="s">
        <v>177</v>
      </c>
      <c r="O371" s="27"/>
      <c r="P371" s="61">
        <v>0.0</v>
      </c>
      <c r="Q371" s="66" t="s">
        <v>1879</v>
      </c>
      <c r="R371" s="27" t="str">
        <f>IFERROR(__xludf.DUMMYFUNCTION("IF(REGEXMATCH(N371, ""PRIORITY: Low""), ""Low"", IF(REGEXMATCH(N371, ""PRIORITY: Medium""), ""Medium"", IF(REGEXMATCH(N371, ""PRIORITY: High""), ""High"", """")))
"),"")</f>
        <v/>
      </c>
      <c r="S371" s="27" t="str">
        <f>IFERROR(__xludf.DUMMYFUNCTION("IF(REGEXMATCH(N371, ""SKILL: Low""), ""Low"", IF(REGEXMATCH(N371, ""SKILL: Medium""), ""Medium"", IF(REGEXMATCH(N371, ""SKILL: High""), ""High"", """")))"),"")</f>
        <v/>
      </c>
      <c r="T371" s="27" t="str">
        <f>IFERROR(__xludf.DUMMYFUNCTION("IF(REGEXMATCH(N371, ""STATUS: Dev Complete - Awaiting QA""), ""Dev Complete - Awaiting QA"", IF(REGEXMATCH(N371, ""STATUS: Follow-Up Required""), ""Follow-Up Required"", IF(REGEXMATCH(N371, ""STATUS: In Progress""), ""In Progress"", IF(REGEXMATCH(N371, """&amp;"STATUS: In QA""), ""In QA"", IF(REGEXMATCH(N371, ""STATUS: Needs Customer Feedback""), ""Needs Customer Feedback"", IF(REGEXMATCH(N371, ""STATUS: QA Passed - Awaiting Release""), ""QA Passed - Awaiting Release"", IF(REGEXMATCH(N371, ""STATUS: Release to P"&amp;"rod""), ""Release to Prod"", """")))))))"),"")</f>
        <v/>
      </c>
    </row>
    <row r="372" hidden="1">
      <c r="A372" s="61" t="s">
        <v>64</v>
      </c>
      <c r="B372" s="12" t="s">
        <v>65</v>
      </c>
      <c r="C372" s="61">
        <v>10.0</v>
      </c>
      <c r="D372" s="62" t="s">
        <v>1880</v>
      </c>
      <c r="E372" s="56" t="s">
        <v>173</v>
      </c>
      <c r="F372" s="61" t="s">
        <v>1881</v>
      </c>
      <c r="G372" s="57" t="str">
        <f t="shared" si="1"/>
        <v>07-Oct-2024</v>
      </c>
      <c r="H372" s="61" t="s">
        <v>1876</v>
      </c>
      <c r="I372" s="61" t="s">
        <v>1877</v>
      </c>
      <c r="J372" s="27" t="str">
        <f t="shared" si="4"/>
        <v>11-Jul-2025</v>
      </c>
      <c r="K372" s="61" t="s">
        <v>1882</v>
      </c>
      <c r="L372" s="27" t="str">
        <f t="shared" si="5"/>
        <v>15-Nov-2024</v>
      </c>
      <c r="M372" s="63" t="s">
        <v>15</v>
      </c>
      <c r="N372" s="61" t="s">
        <v>177</v>
      </c>
      <c r="O372" s="27"/>
      <c r="P372" s="61">
        <v>1.0</v>
      </c>
      <c r="Q372" s="66" t="s">
        <v>1883</v>
      </c>
      <c r="R372" s="27" t="str">
        <f>IFERROR(__xludf.DUMMYFUNCTION("IF(REGEXMATCH(N372, ""PRIORITY: Low""), ""Low"", IF(REGEXMATCH(N372, ""PRIORITY: Medium""), ""Medium"", IF(REGEXMATCH(N372, ""PRIORITY: High""), ""High"", """")))
"),"")</f>
        <v/>
      </c>
      <c r="S372" s="27" t="str">
        <f>IFERROR(__xludf.DUMMYFUNCTION("IF(REGEXMATCH(N372, ""SKILL: Low""), ""Low"", IF(REGEXMATCH(N372, ""SKILL: Medium""), ""Medium"", IF(REGEXMATCH(N372, ""SKILL: High""), ""High"", """")))"),"")</f>
        <v/>
      </c>
      <c r="T372" s="27" t="str">
        <f>IFERROR(__xludf.DUMMYFUNCTION("IF(REGEXMATCH(N372, ""STATUS: Dev Complete - Awaiting QA""), ""Dev Complete - Awaiting QA"", IF(REGEXMATCH(N372, ""STATUS: Follow-Up Required""), ""Follow-Up Required"", IF(REGEXMATCH(N372, ""STATUS: In Progress""), ""In Progress"", IF(REGEXMATCH(N372, """&amp;"STATUS: In QA""), ""In QA"", IF(REGEXMATCH(N372, ""STATUS: Needs Customer Feedback""), ""Needs Customer Feedback"", IF(REGEXMATCH(N372, ""STATUS: QA Passed - Awaiting Release""), ""QA Passed - Awaiting Release"", IF(REGEXMATCH(N372, ""STATUS: Release to P"&amp;"rod""), ""Release to Prod"", """")))))))"),"")</f>
        <v/>
      </c>
    </row>
    <row r="373" hidden="1">
      <c r="A373" s="61" t="s">
        <v>64</v>
      </c>
      <c r="B373" s="12" t="s">
        <v>65</v>
      </c>
      <c r="C373" s="61">
        <v>6.0</v>
      </c>
      <c r="D373" s="62" t="s">
        <v>1884</v>
      </c>
      <c r="E373" s="56" t="s">
        <v>173</v>
      </c>
      <c r="F373" s="61" t="s">
        <v>1885</v>
      </c>
      <c r="G373" s="57" t="str">
        <f t="shared" si="1"/>
        <v>04-Oct-2024</v>
      </c>
      <c r="H373" s="61" t="s">
        <v>141</v>
      </c>
      <c r="I373" s="61" t="s">
        <v>1886</v>
      </c>
      <c r="J373" s="27" t="str">
        <f t="shared" si="4"/>
        <v>11-Jul-2025</v>
      </c>
      <c r="K373" s="61" t="s">
        <v>1887</v>
      </c>
      <c r="L373" s="27" t="str">
        <f t="shared" si="5"/>
        <v>05-Nov-2024</v>
      </c>
      <c r="M373" s="63" t="s">
        <v>15</v>
      </c>
      <c r="N373" s="61" t="s">
        <v>177</v>
      </c>
      <c r="O373" s="27"/>
      <c r="P373" s="61">
        <v>0.0</v>
      </c>
      <c r="Q373" s="66" t="s">
        <v>1888</v>
      </c>
      <c r="R373" s="27" t="str">
        <f>IFERROR(__xludf.DUMMYFUNCTION("IF(REGEXMATCH(N373, ""PRIORITY: Low""), ""Low"", IF(REGEXMATCH(N373, ""PRIORITY: Medium""), ""Medium"", IF(REGEXMATCH(N373, ""PRIORITY: High""), ""High"", """")))
"),"")</f>
        <v/>
      </c>
      <c r="S373" s="27" t="str">
        <f>IFERROR(__xludf.DUMMYFUNCTION("IF(REGEXMATCH(N373, ""SKILL: Low""), ""Low"", IF(REGEXMATCH(N373, ""SKILL: Medium""), ""Medium"", IF(REGEXMATCH(N373, ""SKILL: High""), ""High"", """")))"),"")</f>
        <v/>
      </c>
      <c r="T373" s="27" t="str">
        <f>IFERROR(__xludf.DUMMYFUNCTION("IF(REGEXMATCH(N373, ""STATUS: Dev Complete - Awaiting QA""), ""Dev Complete - Awaiting QA"", IF(REGEXMATCH(N373, ""STATUS: Follow-Up Required""), ""Follow-Up Required"", IF(REGEXMATCH(N373, ""STATUS: In Progress""), ""In Progress"", IF(REGEXMATCH(N373, """&amp;"STATUS: In QA""), ""In QA"", IF(REGEXMATCH(N373, ""STATUS: Needs Customer Feedback""), ""Needs Customer Feedback"", IF(REGEXMATCH(N373, ""STATUS: QA Passed - Awaiting Release""), ""QA Passed - Awaiting Release"", IF(REGEXMATCH(N373, ""STATUS: Release to P"&amp;"rod""), ""Release to Prod"", """")))))))"),"")</f>
        <v/>
      </c>
    </row>
    <row r="374" hidden="1">
      <c r="A374" s="61" t="s">
        <v>64</v>
      </c>
      <c r="B374" s="12" t="s">
        <v>65</v>
      </c>
      <c r="C374" s="61">
        <v>5.0</v>
      </c>
      <c r="D374" s="62" t="s">
        <v>1889</v>
      </c>
      <c r="E374" s="56" t="s">
        <v>173</v>
      </c>
      <c r="F374" s="61" t="s">
        <v>1890</v>
      </c>
      <c r="G374" s="57" t="str">
        <f t="shared" si="1"/>
        <v>04-Oct-2024</v>
      </c>
      <c r="H374" s="61" t="s">
        <v>141</v>
      </c>
      <c r="I374" s="61" t="s">
        <v>1891</v>
      </c>
      <c r="J374" s="27" t="str">
        <f t="shared" si="4"/>
        <v>11-Jul-2025</v>
      </c>
      <c r="K374" s="61" t="s">
        <v>1892</v>
      </c>
      <c r="L374" s="27" t="str">
        <f t="shared" si="5"/>
        <v>20-May-2025</v>
      </c>
      <c r="M374" s="63" t="s">
        <v>15</v>
      </c>
      <c r="N374" s="61" t="s">
        <v>177</v>
      </c>
      <c r="O374" s="27"/>
      <c r="P374" s="61">
        <v>1.0</v>
      </c>
      <c r="Q374" s="66" t="s">
        <v>1893</v>
      </c>
      <c r="R374" s="27" t="str">
        <f>IFERROR(__xludf.DUMMYFUNCTION("IF(REGEXMATCH(N374, ""PRIORITY: Low""), ""Low"", IF(REGEXMATCH(N374, ""PRIORITY: Medium""), ""Medium"", IF(REGEXMATCH(N374, ""PRIORITY: High""), ""High"", """")))
"),"")</f>
        <v/>
      </c>
      <c r="S374" s="27" t="str">
        <f>IFERROR(__xludf.DUMMYFUNCTION("IF(REGEXMATCH(N374, ""SKILL: Low""), ""Low"", IF(REGEXMATCH(N374, ""SKILL: Medium""), ""Medium"", IF(REGEXMATCH(N374, ""SKILL: High""), ""High"", """")))"),"")</f>
        <v/>
      </c>
      <c r="T374" s="27" t="str">
        <f>IFERROR(__xludf.DUMMYFUNCTION("IF(REGEXMATCH(N374, ""STATUS: Dev Complete - Awaiting QA""), ""Dev Complete - Awaiting QA"", IF(REGEXMATCH(N374, ""STATUS: Follow-Up Required""), ""Follow-Up Required"", IF(REGEXMATCH(N374, ""STATUS: In Progress""), ""In Progress"", IF(REGEXMATCH(N374, """&amp;"STATUS: In QA""), ""In QA"", IF(REGEXMATCH(N374, ""STATUS: Needs Customer Feedback""), ""Needs Customer Feedback"", IF(REGEXMATCH(N374, ""STATUS: QA Passed - Awaiting Release""), ""QA Passed - Awaiting Release"", IF(REGEXMATCH(N374, ""STATUS: Release to P"&amp;"rod""), ""Release to Prod"", """")))))))"),"")</f>
        <v/>
      </c>
    </row>
    <row r="375" hidden="1">
      <c r="A375" s="61" t="s">
        <v>64</v>
      </c>
      <c r="B375" s="12" t="s">
        <v>65</v>
      </c>
      <c r="C375" s="61">
        <v>4.0</v>
      </c>
      <c r="D375" s="62" t="s">
        <v>1894</v>
      </c>
      <c r="E375" s="56" t="s">
        <v>173</v>
      </c>
      <c r="F375" s="61" t="s">
        <v>1895</v>
      </c>
      <c r="G375" s="57" t="str">
        <f t="shared" si="1"/>
        <v>04-Oct-2024</v>
      </c>
      <c r="H375" s="61" t="s">
        <v>141</v>
      </c>
      <c r="I375" s="61" t="s">
        <v>1896</v>
      </c>
      <c r="J375" s="27" t="str">
        <f t="shared" si="4"/>
        <v>11-Jul-2025</v>
      </c>
      <c r="K375" s="61" t="s">
        <v>1897</v>
      </c>
      <c r="L375" s="27" t="str">
        <f t="shared" si="5"/>
        <v>05-Nov-2024</v>
      </c>
      <c r="M375" s="63" t="s">
        <v>15</v>
      </c>
      <c r="N375" s="61" t="s">
        <v>177</v>
      </c>
      <c r="O375" s="27"/>
      <c r="P375" s="61">
        <v>0.0</v>
      </c>
      <c r="Q375" s="66" t="s">
        <v>1898</v>
      </c>
      <c r="R375" s="27" t="str">
        <f>IFERROR(__xludf.DUMMYFUNCTION("IF(REGEXMATCH(N375, ""PRIORITY: Low""), ""Low"", IF(REGEXMATCH(N375, ""PRIORITY: Medium""), ""Medium"", IF(REGEXMATCH(N375, ""PRIORITY: High""), ""High"", """")))
"),"")</f>
        <v/>
      </c>
      <c r="S375" s="27" t="str">
        <f>IFERROR(__xludf.DUMMYFUNCTION("IF(REGEXMATCH(N375, ""SKILL: Low""), ""Low"", IF(REGEXMATCH(N375, ""SKILL: Medium""), ""Medium"", IF(REGEXMATCH(N375, ""SKILL: High""), ""High"", """")))"),"")</f>
        <v/>
      </c>
      <c r="T375" s="27" t="str">
        <f>IFERROR(__xludf.DUMMYFUNCTION("IF(REGEXMATCH(N375, ""STATUS: Dev Complete - Awaiting QA""), ""Dev Complete - Awaiting QA"", IF(REGEXMATCH(N375, ""STATUS: Follow-Up Required""), ""Follow-Up Required"", IF(REGEXMATCH(N375, ""STATUS: In Progress""), ""In Progress"", IF(REGEXMATCH(N375, """&amp;"STATUS: In QA""), ""In QA"", IF(REGEXMATCH(N375, ""STATUS: Needs Customer Feedback""), ""Needs Customer Feedback"", IF(REGEXMATCH(N375, ""STATUS: QA Passed - Awaiting Release""), ""QA Passed - Awaiting Release"", IF(REGEXMATCH(N375, ""STATUS: Release to P"&amp;"rod""), ""Release to Prod"", """")))))))"),"")</f>
        <v/>
      </c>
    </row>
    <row r="376" hidden="1">
      <c r="A376" s="61" t="s">
        <v>42</v>
      </c>
      <c r="B376" s="12" t="s">
        <v>43</v>
      </c>
      <c r="C376" s="61">
        <v>77.0</v>
      </c>
      <c r="D376" s="62" t="s">
        <v>1899</v>
      </c>
      <c r="E376" s="56" t="s">
        <v>173</v>
      </c>
      <c r="F376" s="61" t="s">
        <v>1900</v>
      </c>
      <c r="G376" s="57" t="str">
        <f t="shared" si="1"/>
        <v>07-Aug-2025</v>
      </c>
      <c r="H376" s="61" t="s">
        <v>57</v>
      </c>
      <c r="I376" s="61" t="s">
        <v>1901</v>
      </c>
      <c r="J376" s="27" t="str">
        <f t="shared" si="4"/>
        <v>19-Sep-2025</v>
      </c>
      <c r="K376" s="61" t="s">
        <v>1902</v>
      </c>
      <c r="L376" s="27" t="str">
        <f t="shared" si="5"/>
        <v>05-Sep-2025</v>
      </c>
      <c r="M376" s="63" t="s">
        <v>285</v>
      </c>
      <c r="N376" s="61" t="s">
        <v>1903</v>
      </c>
      <c r="O376" s="27"/>
      <c r="P376" s="61">
        <v>4.0</v>
      </c>
      <c r="Q376" s="66" t="s">
        <v>1904</v>
      </c>
      <c r="R376" s="27" t="str">
        <f>IFERROR(__xludf.DUMMYFUNCTION("IF(REGEXMATCH(N376, ""PRIORITY: Low""), ""Low"", IF(REGEXMATCH(N376, ""PRIORITY: Medium""), ""Medium"", IF(REGEXMATCH(N376, ""PRIORITY: High""), ""High"", """")))
"),"Medium")</f>
        <v>Medium</v>
      </c>
      <c r="S376" s="27" t="str">
        <f>IFERROR(__xludf.DUMMYFUNCTION("IF(REGEXMATCH(N376, ""SKILL: Low""), ""Low"", IF(REGEXMATCH(N376, ""SKILL: Medium""), ""Medium"", IF(REGEXMATCH(N376, ""SKILL: High""), ""High"", """")))"),"Medium")</f>
        <v>Medium</v>
      </c>
      <c r="T376" s="27" t="str">
        <f>IFERROR(__xludf.DUMMYFUNCTION("IF(REGEXMATCH(N376, ""STATUS: Dev Complete - Awaiting QA""), ""Dev Complete - Awaiting QA"", IF(REGEXMATCH(N376, ""STATUS: Follow-Up Required""), ""Follow-Up Required"", IF(REGEXMATCH(N376, ""STATUS: In Progress""), ""In Progress"", IF(REGEXMATCH(N376, """&amp;"STATUS: In QA""), ""In QA"", IF(REGEXMATCH(N376, ""STATUS: Needs Customer Feedback""), ""Needs Customer Feedback"", IF(REGEXMATCH(N376, ""STATUS: QA Passed - Awaiting Release""), ""QA Passed - Awaiting Release"", IF(REGEXMATCH(N376, ""STATUS: Release to P"&amp;"rod""), ""Release to Prod"", """")))))))"),"")</f>
        <v/>
      </c>
    </row>
    <row r="377" hidden="1">
      <c r="A377" s="61" t="s">
        <v>42</v>
      </c>
      <c r="B377" s="12" t="s">
        <v>43</v>
      </c>
      <c r="C377" s="61">
        <v>76.0</v>
      </c>
      <c r="D377" s="62" t="s">
        <v>1905</v>
      </c>
      <c r="E377" s="56" t="s">
        <v>173</v>
      </c>
      <c r="F377" s="61" t="s">
        <v>1906</v>
      </c>
      <c r="G377" s="57" t="str">
        <f t="shared" si="1"/>
        <v>02-Jul-2025</v>
      </c>
      <c r="H377" s="61" t="s">
        <v>57</v>
      </c>
      <c r="I377" s="61" t="s">
        <v>1907</v>
      </c>
      <c r="J377" s="27" t="str">
        <f t="shared" si="4"/>
        <v>28-Aug-2025</v>
      </c>
      <c r="K377" s="61" t="s">
        <v>1907</v>
      </c>
      <c r="L377" s="27" t="str">
        <f t="shared" si="5"/>
        <v>28-Aug-2025</v>
      </c>
      <c r="M377" s="63" t="s">
        <v>285</v>
      </c>
      <c r="N377" s="61" t="s">
        <v>292</v>
      </c>
      <c r="O377" s="61" t="s">
        <v>37</v>
      </c>
      <c r="P377" s="61">
        <v>2.0</v>
      </c>
      <c r="Q377" s="66" t="s">
        <v>1908</v>
      </c>
      <c r="R377" s="27" t="str">
        <f>IFERROR(__xludf.DUMMYFUNCTION("IF(REGEXMATCH(N377, ""PRIORITY: Low""), ""Low"", IF(REGEXMATCH(N377, ""PRIORITY: Medium""), ""Medium"", IF(REGEXMATCH(N377, ""PRIORITY: High""), ""High"", """")))
"),"Low")</f>
        <v>Low</v>
      </c>
      <c r="S377" s="27" t="str">
        <f>IFERROR(__xludf.DUMMYFUNCTION("IF(REGEXMATCH(N377, ""SKILL: Low""), ""Low"", IF(REGEXMATCH(N377, ""SKILL: Medium""), ""Medium"", IF(REGEXMATCH(N377, ""SKILL: High""), ""High"", """")))"),"Low")</f>
        <v>Low</v>
      </c>
      <c r="T377" s="27" t="str">
        <f>IFERROR(__xludf.DUMMYFUNCTION("IF(REGEXMATCH(N377, ""STATUS: Dev Complete - Awaiting QA""), ""Dev Complete - Awaiting QA"", IF(REGEXMATCH(N377, ""STATUS: Follow-Up Required""), ""Follow-Up Required"", IF(REGEXMATCH(N377, ""STATUS: In Progress""), ""In Progress"", IF(REGEXMATCH(N377, """&amp;"STATUS: In QA""), ""In QA"", IF(REGEXMATCH(N377, ""STATUS: Needs Customer Feedback""), ""Needs Customer Feedback"", IF(REGEXMATCH(N377, ""STATUS: QA Passed - Awaiting Release""), ""QA Passed - Awaiting Release"", IF(REGEXMATCH(N377, ""STATUS: Release to P"&amp;"rod""), ""Release to Prod"", """")))))))"),"")</f>
        <v/>
      </c>
    </row>
    <row r="378" hidden="1">
      <c r="A378" s="61" t="s">
        <v>42</v>
      </c>
      <c r="B378" s="12" t="s">
        <v>43</v>
      </c>
      <c r="C378" s="61">
        <v>75.0</v>
      </c>
      <c r="D378" s="62" t="s">
        <v>1909</v>
      </c>
      <c r="E378" s="56" t="s">
        <v>173</v>
      </c>
      <c r="F378" s="61" t="s">
        <v>1910</v>
      </c>
      <c r="G378" s="57" t="str">
        <f t="shared" si="1"/>
        <v>26-May-2025</v>
      </c>
      <c r="H378" s="61" t="s">
        <v>57</v>
      </c>
      <c r="I378" s="61" t="s">
        <v>1911</v>
      </c>
      <c r="J378" s="27" t="str">
        <f t="shared" si="4"/>
        <v>11-Jul-2025</v>
      </c>
      <c r="K378" s="61" t="s">
        <v>1912</v>
      </c>
      <c r="L378" s="27" t="str">
        <f t="shared" si="5"/>
        <v>18-Jun-2025</v>
      </c>
      <c r="M378" s="63" t="s">
        <v>285</v>
      </c>
      <c r="N378" s="61" t="s">
        <v>177</v>
      </c>
      <c r="O378" s="61" t="s">
        <v>1913</v>
      </c>
      <c r="P378" s="61">
        <v>1.0</v>
      </c>
      <c r="Q378" s="66" t="s">
        <v>1914</v>
      </c>
      <c r="R378" s="27" t="str">
        <f>IFERROR(__xludf.DUMMYFUNCTION("IF(REGEXMATCH(N378, ""PRIORITY: Low""), ""Low"", IF(REGEXMATCH(N378, ""PRIORITY: Medium""), ""Medium"", IF(REGEXMATCH(N378, ""PRIORITY: High""), ""High"", """")))
"),"")</f>
        <v/>
      </c>
      <c r="S378" s="27" t="str">
        <f>IFERROR(__xludf.DUMMYFUNCTION("IF(REGEXMATCH(N378, ""SKILL: Low""), ""Low"", IF(REGEXMATCH(N378, ""SKILL: Medium""), ""Medium"", IF(REGEXMATCH(N378, ""SKILL: High""), ""High"", """")))"),"")</f>
        <v/>
      </c>
      <c r="T378" s="27" t="str">
        <f>IFERROR(__xludf.DUMMYFUNCTION("IF(REGEXMATCH(N378, ""STATUS: Dev Complete - Awaiting QA""), ""Dev Complete - Awaiting QA"", IF(REGEXMATCH(N378, ""STATUS: Follow-Up Required""), ""Follow-Up Required"", IF(REGEXMATCH(N378, ""STATUS: In Progress""), ""In Progress"", IF(REGEXMATCH(N378, """&amp;"STATUS: In QA""), ""In QA"", IF(REGEXMATCH(N378, ""STATUS: Needs Customer Feedback""), ""Needs Customer Feedback"", IF(REGEXMATCH(N378, ""STATUS: QA Passed - Awaiting Release""), ""QA Passed - Awaiting Release"", IF(REGEXMATCH(N378, ""STATUS: Release to P"&amp;"rod""), ""Release to Prod"", """")))))))"),"")</f>
        <v/>
      </c>
    </row>
    <row r="379" hidden="1">
      <c r="A379" s="61" t="s">
        <v>42</v>
      </c>
      <c r="B379" s="12" t="s">
        <v>43</v>
      </c>
      <c r="C379" s="61">
        <v>73.0</v>
      </c>
      <c r="D379" s="62" t="s">
        <v>1915</v>
      </c>
      <c r="E379" s="56" t="s">
        <v>173</v>
      </c>
      <c r="F379" s="61" t="s">
        <v>1916</v>
      </c>
      <c r="G379" s="57" t="str">
        <f t="shared" si="1"/>
        <v>22-Apr-2025</v>
      </c>
      <c r="H379" s="61" t="s">
        <v>57</v>
      </c>
      <c r="I379" s="61" t="s">
        <v>717</v>
      </c>
      <c r="J379" s="27" t="str">
        <f t="shared" si="4"/>
        <v>19-Sep-2025</v>
      </c>
      <c r="K379" s="61" t="s">
        <v>1917</v>
      </c>
      <c r="L379" s="27" t="str">
        <f t="shared" si="5"/>
        <v>02-May-2025</v>
      </c>
      <c r="M379" s="63" t="s">
        <v>285</v>
      </c>
      <c r="N379" s="61" t="s">
        <v>177</v>
      </c>
      <c r="O379" s="27"/>
      <c r="P379" s="61">
        <v>3.0</v>
      </c>
      <c r="Q379" s="66" t="s">
        <v>1918</v>
      </c>
      <c r="R379" s="27" t="str">
        <f>IFERROR(__xludf.DUMMYFUNCTION("IF(REGEXMATCH(N379, ""PRIORITY: Low""), ""Low"", IF(REGEXMATCH(N379, ""PRIORITY: Medium""), ""Medium"", IF(REGEXMATCH(N379, ""PRIORITY: High""), ""High"", """")))
"),"")</f>
        <v/>
      </c>
      <c r="S379" s="27" t="str">
        <f>IFERROR(__xludf.DUMMYFUNCTION("IF(REGEXMATCH(N379, ""SKILL: Low""), ""Low"", IF(REGEXMATCH(N379, ""SKILL: Medium""), ""Medium"", IF(REGEXMATCH(N379, ""SKILL: High""), ""High"", """")))"),"")</f>
        <v/>
      </c>
      <c r="T379" s="27" t="str">
        <f>IFERROR(__xludf.DUMMYFUNCTION("IF(REGEXMATCH(N379, ""STATUS: Dev Complete - Awaiting QA""), ""Dev Complete - Awaiting QA"", IF(REGEXMATCH(N379, ""STATUS: Follow-Up Required""), ""Follow-Up Required"", IF(REGEXMATCH(N379, ""STATUS: In Progress""), ""In Progress"", IF(REGEXMATCH(N379, """&amp;"STATUS: In QA""), ""In QA"", IF(REGEXMATCH(N379, ""STATUS: Needs Customer Feedback""), ""Needs Customer Feedback"", IF(REGEXMATCH(N379, ""STATUS: QA Passed - Awaiting Release""), ""QA Passed - Awaiting Release"", IF(REGEXMATCH(N379, ""STATUS: Release to P"&amp;"rod""), ""Release to Prod"", """")))))))"),"")</f>
        <v/>
      </c>
    </row>
    <row r="380" hidden="1">
      <c r="A380" s="61" t="s">
        <v>42</v>
      </c>
      <c r="B380" s="12" t="s">
        <v>43</v>
      </c>
      <c r="C380" s="61">
        <v>72.0</v>
      </c>
      <c r="D380" s="62" t="s">
        <v>1919</v>
      </c>
      <c r="E380" s="56" t="s">
        <v>173</v>
      </c>
      <c r="F380" s="61" t="s">
        <v>1920</v>
      </c>
      <c r="G380" s="57" t="str">
        <f t="shared" si="1"/>
        <v>11-Apr-2025</v>
      </c>
      <c r="H380" s="61" t="s">
        <v>57</v>
      </c>
      <c r="I380" s="61" t="s">
        <v>1921</v>
      </c>
      <c r="J380" s="27" t="str">
        <f t="shared" si="4"/>
        <v>11-Jul-2025</v>
      </c>
      <c r="K380" s="61" t="s">
        <v>1922</v>
      </c>
      <c r="L380" s="27" t="str">
        <f t="shared" si="5"/>
        <v>25-Apr-2025</v>
      </c>
      <c r="M380" s="63" t="s">
        <v>285</v>
      </c>
      <c r="N380" s="61" t="s">
        <v>177</v>
      </c>
      <c r="O380" s="61" t="s">
        <v>37</v>
      </c>
      <c r="P380" s="61">
        <v>4.0</v>
      </c>
      <c r="Q380" s="66" t="s">
        <v>1923</v>
      </c>
      <c r="R380" s="27" t="str">
        <f>IFERROR(__xludf.DUMMYFUNCTION("IF(REGEXMATCH(N380, ""PRIORITY: Low""), ""Low"", IF(REGEXMATCH(N380, ""PRIORITY: Medium""), ""Medium"", IF(REGEXMATCH(N380, ""PRIORITY: High""), ""High"", """")))
"),"")</f>
        <v/>
      </c>
      <c r="S380" s="27" t="str">
        <f>IFERROR(__xludf.DUMMYFUNCTION("IF(REGEXMATCH(N380, ""SKILL: Low""), ""Low"", IF(REGEXMATCH(N380, ""SKILL: Medium""), ""Medium"", IF(REGEXMATCH(N380, ""SKILL: High""), ""High"", """")))"),"")</f>
        <v/>
      </c>
      <c r="T380" s="27" t="str">
        <f>IFERROR(__xludf.DUMMYFUNCTION("IF(REGEXMATCH(N380, ""STATUS: Dev Complete - Awaiting QA""), ""Dev Complete - Awaiting QA"", IF(REGEXMATCH(N380, ""STATUS: Follow-Up Required""), ""Follow-Up Required"", IF(REGEXMATCH(N380, ""STATUS: In Progress""), ""In Progress"", IF(REGEXMATCH(N380, """&amp;"STATUS: In QA""), ""In QA"", IF(REGEXMATCH(N380, ""STATUS: Needs Customer Feedback""), ""Needs Customer Feedback"", IF(REGEXMATCH(N380, ""STATUS: QA Passed - Awaiting Release""), ""QA Passed - Awaiting Release"", IF(REGEXMATCH(N380, ""STATUS: Release to P"&amp;"rod""), ""Release to Prod"", """")))))))"),"")</f>
        <v/>
      </c>
    </row>
    <row r="381" hidden="1">
      <c r="A381" s="61" t="s">
        <v>42</v>
      </c>
      <c r="B381" s="12" t="s">
        <v>43</v>
      </c>
      <c r="C381" s="61">
        <v>71.0</v>
      </c>
      <c r="D381" s="62" t="s">
        <v>1924</v>
      </c>
      <c r="E381" s="56" t="s">
        <v>173</v>
      </c>
      <c r="F381" s="61" t="s">
        <v>1925</v>
      </c>
      <c r="G381" s="57" t="str">
        <f t="shared" si="1"/>
        <v>11-Apr-2025</v>
      </c>
      <c r="H381" s="61" t="s">
        <v>57</v>
      </c>
      <c r="I381" s="61" t="s">
        <v>1926</v>
      </c>
      <c r="J381" s="27" t="str">
        <f t="shared" si="4"/>
        <v>11-Jul-2025</v>
      </c>
      <c r="K381" s="61" t="s">
        <v>1927</v>
      </c>
      <c r="L381" s="27" t="str">
        <f t="shared" si="5"/>
        <v>23-Apr-2025</v>
      </c>
      <c r="M381" s="63" t="s">
        <v>285</v>
      </c>
      <c r="N381" s="61" t="s">
        <v>177</v>
      </c>
      <c r="O381" s="61" t="s">
        <v>1913</v>
      </c>
      <c r="P381" s="61">
        <v>2.0</v>
      </c>
      <c r="Q381" s="66" t="s">
        <v>1928</v>
      </c>
      <c r="R381" s="27" t="str">
        <f>IFERROR(__xludf.DUMMYFUNCTION("IF(REGEXMATCH(N381, ""PRIORITY: Low""), ""Low"", IF(REGEXMATCH(N381, ""PRIORITY: Medium""), ""Medium"", IF(REGEXMATCH(N381, ""PRIORITY: High""), ""High"", """")))
"),"")</f>
        <v/>
      </c>
      <c r="S381" s="27" t="str">
        <f>IFERROR(__xludf.DUMMYFUNCTION("IF(REGEXMATCH(N381, ""SKILL: Low""), ""Low"", IF(REGEXMATCH(N381, ""SKILL: Medium""), ""Medium"", IF(REGEXMATCH(N381, ""SKILL: High""), ""High"", """")))"),"")</f>
        <v/>
      </c>
      <c r="T381" s="27" t="str">
        <f>IFERROR(__xludf.DUMMYFUNCTION("IF(REGEXMATCH(N381, ""STATUS: Dev Complete - Awaiting QA""), ""Dev Complete - Awaiting QA"", IF(REGEXMATCH(N381, ""STATUS: Follow-Up Required""), ""Follow-Up Required"", IF(REGEXMATCH(N381, ""STATUS: In Progress""), ""In Progress"", IF(REGEXMATCH(N381, """&amp;"STATUS: In QA""), ""In QA"", IF(REGEXMATCH(N381, ""STATUS: Needs Customer Feedback""), ""Needs Customer Feedback"", IF(REGEXMATCH(N381, ""STATUS: QA Passed - Awaiting Release""), ""QA Passed - Awaiting Release"", IF(REGEXMATCH(N381, ""STATUS: Release to P"&amp;"rod""), ""Release to Prod"", """")))))))"),"")</f>
        <v/>
      </c>
    </row>
    <row r="382" hidden="1">
      <c r="A382" s="61" t="s">
        <v>42</v>
      </c>
      <c r="B382" s="12" t="s">
        <v>43</v>
      </c>
      <c r="C382" s="61">
        <v>70.0</v>
      </c>
      <c r="D382" s="62" t="s">
        <v>1929</v>
      </c>
      <c r="E382" s="56" t="s">
        <v>173</v>
      </c>
      <c r="F382" s="61" t="s">
        <v>1930</v>
      </c>
      <c r="G382" s="57" t="str">
        <f t="shared" si="1"/>
        <v>11-Apr-2025</v>
      </c>
      <c r="H382" s="61" t="s">
        <v>57</v>
      </c>
      <c r="I382" s="61" t="s">
        <v>1931</v>
      </c>
      <c r="J382" s="27" t="str">
        <f t="shared" si="4"/>
        <v>11-Jul-2025</v>
      </c>
      <c r="K382" s="61" t="s">
        <v>1932</v>
      </c>
      <c r="L382" s="27" t="str">
        <f t="shared" si="5"/>
        <v>23-Apr-2025</v>
      </c>
      <c r="M382" s="63" t="s">
        <v>285</v>
      </c>
      <c r="N382" s="61" t="s">
        <v>177</v>
      </c>
      <c r="O382" s="61" t="s">
        <v>1913</v>
      </c>
      <c r="P382" s="61">
        <v>2.0</v>
      </c>
      <c r="Q382" s="66" t="s">
        <v>1933</v>
      </c>
      <c r="R382" s="27" t="str">
        <f>IFERROR(__xludf.DUMMYFUNCTION("IF(REGEXMATCH(N382, ""PRIORITY: Low""), ""Low"", IF(REGEXMATCH(N382, ""PRIORITY: Medium""), ""Medium"", IF(REGEXMATCH(N382, ""PRIORITY: High""), ""High"", """")))
"),"")</f>
        <v/>
      </c>
      <c r="S382" s="27" t="str">
        <f>IFERROR(__xludf.DUMMYFUNCTION("IF(REGEXMATCH(N382, ""SKILL: Low""), ""Low"", IF(REGEXMATCH(N382, ""SKILL: Medium""), ""Medium"", IF(REGEXMATCH(N382, ""SKILL: High""), ""High"", """")))"),"")</f>
        <v/>
      </c>
      <c r="T382" s="27" t="str">
        <f>IFERROR(__xludf.DUMMYFUNCTION("IF(REGEXMATCH(N382, ""STATUS: Dev Complete - Awaiting QA""), ""Dev Complete - Awaiting QA"", IF(REGEXMATCH(N382, ""STATUS: Follow-Up Required""), ""Follow-Up Required"", IF(REGEXMATCH(N382, ""STATUS: In Progress""), ""In Progress"", IF(REGEXMATCH(N382, """&amp;"STATUS: In QA""), ""In QA"", IF(REGEXMATCH(N382, ""STATUS: Needs Customer Feedback""), ""Needs Customer Feedback"", IF(REGEXMATCH(N382, ""STATUS: QA Passed - Awaiting Release""), ""QA Passed - Awaiting Release"", IF(REGEXMATCH(N382, ""STATUS: Release to P"&amp;"rod""), ""Release to Prod"", """")))))))"),"")</f>
        <v/>
      </c>
    </row>
    <row r="383" hidden="1">
      <c r="A383" s="61" t="s">
        <v>42</v>
      </c>
      <c r="B383" s="12" t="s">
        <v>43</v>
      </c>
      <c r="C383" s="61">
        <v>69.0</v>
      </c>
      <c r="D383" s="62" t="s">
        <v>1934</v>
      </c>
      <c r="E383" s="56" t="s">
        <v>173</v>
      </c>
      <c r="F383" s="61" t="s">
        <v>1935</v>
      </c>
      <c r="G383" s="57" t="str">
        <f t="shared" si="1"/>
        <v>11-Apr-2025</v>
      </c>
      <c r="H383" s="61" t="s">
        <v>57</v>
      </c>
      <c r="I383" s="61" t="s">
        <v>1936</v>
      </c>
      <c r="J383" s="27" t="str">
        <f t="shared" si="4"/>
        <v>11-Jul-2025</v>
      </c>
      <c r="K383" s="61" t="s">
        <v>1937</v>
      </c>
      <c r="L383" s="27" t="str">
        <f t="shared" si="5"/>
        <v>23-Apr-2025</v>
      </c>
      <c r="M383" s="63" t="s">
        <v>285</v>
      </c>
      <c r="N383" s="61" t="s">
        <v>177</v>
      </c>
      <c r="O383" s="61" t="s">
        <v>1913</v>
      </c>
      <c r="P383" s="61">
        <v>1.0</v>
      </c>
      <c r="Q383" s="66" t="s">
        <v>1938</v>
      </c>
      <c r="R383" s="27" t="str">
        <f>IFERROR(__xludf.DUMMYFUNCTION("IF(REGEXMATCH(N383, ""PRIORITY: Low""), ""Low"", IF(REGEXMATCH(N383, ""PRIORITY: Medium""), ""Medium"", IF(REGEXMATCH(N383, ""PRIORITY: High""), ""High"", """")))
"),"")</f>
        <v/>
      </c>
      <c r="S383" s="27" t="str">
        <f>IFERROR(__xludf.DUMMYFUNCTION("IF(REGEXMATCH(N383, ""SKILL: Low""), ""Low"", IF(REGEXMATCH(N383, ""SKILL: Medium""), ""Medium"", IF(REGEXMATCH(N383, ""SKILL: High""), ""High"", """")))"),"")</f>
        <v/>
      </c>
      <c r="T383" s="27" t="str">
        <f>IFERROR(__xludf.DUMMYFUNCTION("IF(REGEXMATCH(N383, ""STATUS: Dev Complete - Awaiting QA""), ""Dev Complete - Awaiting QA"", IF(REGEXMATCH(N383, ""STATUS: Follow-Up Required""), ""Follow-Up Required"", IF(REGEXMATCH(N383, ""STATUS: In Progress""), ""In Progress"", IF(REGEXMATCH(N383, """&amp;"STATUS: In QA""), ""In QA"", IF(REGEXMATCH(N383, ""STATUS: Needs Customer Feedback""), ""Needs Customer Feedback"", IF(REGEXMATCH(N383, ""STATUS: QA Passed - Awaiting Release""), ""QA Passed - Awaiting Release"", IF(REGEXMATCH(N383, ""STATUS: Release to P"&amp;"rod""), ""Release to Prod"", """")))))))"),"")</f>
        <v/>
      </c>
    </row>
    <row r="384" hidden="1">
      <c r="A384" s="61" t="s">
        <v>42</v>
      </c>
      <c r="B384" s="12" t="s">
        <v>43</v>
      </c>
      <c r="C384" s="61">
        <v>68.0</v>
      </c>
      <c r="D384" s="62" t="s">
        <v>1939</v>
      </c>
      <c r="E384" s="56" t="s">
        <v>173</v>
      </c>
      <c r="F384" s="61" t="s">
        <v>1940</v>
      </c>
      <c r="G384" s="57" t="str">
        <f t="shared" si="1"/>
        <v>11-Apr-2025</v>
      </c>
      <c r="H384" s="61" t="s">
        <v>57</v>
      </c>
      <c r="I384" s="61" t="s">
        <v>1941</v>
      </c>
      <c r="J384" s="27" t="str">
        <f t="shared" si="4"/>
        <v>30-Jul-2025</v>
      </c>
      <c r="K384" s="61" t="s">
        <v>1941</v>
      </c>
      <c r="L384" s="27" t="str">
        <f t="shared" si="5"/>
        <v>30-Jul-2025</v>
      </c>
      <c r="M384" s="63" t="s">
        <v>285</v>
      </c>
      <c r="N384" s="61" t="s">
        <v>632</v>
      </c>
      <c r="O384" s="61" t="s">
        <v>1913</v>
      </c>
      <c r="P384" s="61">
        <v>7.0</v>
      </c>
      <c r="Q384" s="66" t="s">
        <v>1942</v>
      </c>
      <c r="R384" s="27" t="str">
        <f>IFERROR(__xludf.DUMMYFUNCTION("IF(REGEXMATCH(N384, ""PRIORITY: Low""), ""Low"", IF(REGEXMATCH(N384, ""PRIORITY: Medium""), ""Medium"", IF(REGEXMATCH(N384, ""PRIORITY: High""), ""High"", """")))
"),"Medium")</f>
        <v>Medium</v>
      </c>
      <c r="S384" s="27" t="str">
        <f>IFERROR(__xludf.DUMMYFUNCTION("IF(REGEXMATCH(N384, ""SKILL: Low""), ""Low"", IF(REGEXMATCH(N384, ""SKILL: Medium""), ""Medium"", IF(REGEXMATCH(N384, ""SKILL: High""), ""High"", """")))"),"Low")</f>
        <v>Low</v>
      </c>
      <c r="T384" s="27" t="str">
        <f>IFERROR(__xludf.DUMMYFUNCTION("IF(REGEXMATCH(N384, ""STATUS: Dev Complete - Awaiting QA""), ""Dev Complete - Awaiting QA"", IF(REGEXMATCH(N384, ""STATUS: Follow-Up Required""), ""Follow-Up Required"", IF(REGEXMATCH(N384, ""STATUS: In Progress""), ""In Progress"", IF(REGEXMATCH(N384, """&amp;"STATUS: In QA""), ""In QA"", IF(REGEXMATCH(N384, ""STATUS: Needs Customer Feedback""), ""Needs Customer Feedback"", IF(REGEXMATCH(N384, ""STATUS: QA Passed - Awaiting Release""), ""QA Passed - Awaiting Release"", IF(REGEXMATCH(N384, ""STATUS: Release to P"&amp;"rod""), ""Release to Prod"", """")))))))"),"In Progress")</f>
        <v>In Progress</v>
      </c>
    </row>
    <row r="385">
      <c r="A385" s="61" t="s">
        <v>42</v>
      </c>
      <c r="B385" s="12" t="s">
        <v>43</v>
      </c>
      <c r="C385" s="61">
        <v>67.0</v>
      </c>
      <c r="D385" s="62" t="s">
        <v>1943</v>
      </c>
      <c r="E385" s="56" t="s">
        <v>246</v>
      </c>
      <c r="F385" s="61" t="s">
        <v>1944</v>
      </c>
      <c r="G385" s="57" t="str">
        <f t="shared" si="1"/>
        <v>11-Apr-2025</v>
      </c>
      <c r="H385" s="61" t="s">
        <v>57</v>
      </c>
      <c r="I385" s="61" t="s">
        <v>1945</v>
      </c>
      <c r="J385" s="27" t="str">
        <f t="shared" si="4"/>
        <v>30-Jul-2025</v>
      </c>
      <c r="K385" s="27"/>
      <c r="L385" s="27" t="str">
        <f t="shared" si="5"/>
        <v/>
      </c>
      <c r="M385" s="63" t="s">
        <v>249</v>
      </c>
      <c r="N385" s="61" t="s">
        <v>1946</v>
      </c>
      <c r="O385" s="67" t="s">
        <v>57</v>
      </c>
      <c r="P385" s="61">
        <v>3.0</v>
      </c>
      <c r="Q385" s="66" t="s">
        <v>1947</v>
      </c>
      <c r="R385" s="27" t="str">
        <f>IFERROR(__xludf.DUMMYFUNCTION("IF(REGEXMATCH(N385, ""PRIORITY: Low""), ""Low"", IF(REGEXMATCH(N385, ""PRIORITY: Medium""), ""Medium"", IF(REGEXMATCH(N385, ""PRIORITY: High""), ""High"", """")))
"),"Low")</f>
        <v>Low</v>
      </c>
      <c r="S385" s="27" t="str">
        <f>IFERROR(__xludf.DUMMYFUNCTION("IF(REGEXMATCH(N385, ""SKILL: Low""), ""Low"", IF(REGEXMATCH(N385, ""SKILL: Medium""), ""Medium"", IF(REGEXMATCH(N385, ""SKILL: High""), ""High"", """")))"),"Low")</f>
        <v>Low</v>
      </c>
      <c r="T385" s="27" t="str">
        <f>IFERROR(__xludf.DUMMYFUNCTION("IF(REGEXMATCH(N385, ""STATUS: Dev Complete - Awaiting QA""), ""Dev Complete - Awaiting QA"", IF(REGEXMATCH(N385, ""STATUS: Follow-Up Required""), ""Follow-Up Required"", IF(REGEXMATCH(N385, ""STATUS: In Progress""), ""In Progress"", IF(REGEXMATCH(N385, """&amp;"STATUS: In QA""), ""In QA"", IF(REGEXMATCH(N385, ""STATUS: Needs Customer Feedback""), ""Needs Customer Feedback"", IF(REGEXMATCH(N385, ""STATUS: QA Passed - Awaiting Release""), ""QA Passed - Awaiting Release"", IF(REGEXMATCH(N385, ""STATUS: Release to P"&amp;"rod""), ""Release to Prod"", """")))))))"),"Needs Customer Feedback")</f>
        <v>Needs Customer Feedback</v>
      </c>
    </row>
    <row r="386" hidden="1">
      <c r="A386" s="61" t="s">
        <v>42</v>
      </c>
      <c r="B386" s="12" t="s">
        <v>43</v>
      </c>
      <c r="C386" s="61">
        <v>66.0</v>
      </c>
      <c r="D386" s="62" t="s">
        <v>1948</v>
      </c>
      <c r="E386" s="56" t="s">
        <v>173</v>
      </c>
      <c r="F386" s="61" t="s">
        <v>1949</v>
      </c>
      <c r="G386" s="57" t="str">
        <f t="shared" si="1"/>
        <v>10-Apr-2025</v>
      </c>
      <c r="H386" s="61" t="s">
        <v>57</v>
      </c>
      <c r="I386" s="61" t="s">
        <v>1950</v>
      </c>
      <c r="J386" s="27" t="str">
        <f t="shared" si="4"/>
        <v>11-Jul-2025</v>
      </c>
      <c r="K386" s="61" t="s">
        <v>1951</v>
      </c>
      <c r="L386" s="27" t="str">
        <f t="shared" si="5"/>
        <v>23-Apr-2025</v>
      </c>
      <c r="M386" s="63" t="s">
        <v>249</v>
      </c>
      <c r="N386" s="61" t="s">
        <v>177</v>
      </c>
      <c r="O386" s="61" t="s">
        <v>1913</v>
      </c>
      <c r="P386" s="61">
        <v>2.0</v>
      </c>
      <c r="Q386" s="66" t="s">
        <v>1952</v>
      </c>
      <c r="R386" s="27" t="str">
        <f>IFERROR(__xludf.DUMMYFUNCTION("IF(REGEXMATCH(N386, ""PRIORITY: Low""), ""Low"", IF(REGEXMATCH(N386, ""PRIORITY: Medium""), ""Medium"", IF(REGEXMATCH(N386, ""PRIORITY: High""), ""High"", """")))
"),"")</f>
        <v/>
      </c>
      <c r="S386" s="27" t="str">
        <f>IFERROR(__xludf.DUMMYFUNCTION("IF(REGEXMATCH(N386, ""SKILL: Low""), ""Low"", IF(REGEXMATCH(N386, ""SKILL: Medium""), ""Medium"", IF(REGEXMATCH(N386, ""SKILL: High""), ""High"", """")))"),"")</f>
        <v/>
      </c>
      <c r="T386" s="27" t="str">
        <f>IFERROR(__xludf.DUMMYFUNCTION("IF(REGEXMATCH(N386, ""STATUS: Dev Complete - Awaiting QA""), ""Dev Complete - Awaiting QA"", IF(REGEXMATCH(N386, ""STATUS: Follow-Up Required""), ""Follow-Up Required"", IF(REGEXMATCH(N386, ""STATUS: In Progress""), ""In Progress"", IF(REGEXMATCH(N386, """&amp;"STATUS: In QA""), ""In QA"", IF(REGEXMATCH(N386, ""STATUS: Needs Customer Feedback""), ""Needs Customer Feedback"", IF(REGEXMATCH(N386, ""STATUS: QA Passed - Awaiting Release""), ""QA Passed - Awaiting Release"", IF(REGEXMATCH(N386, ""STATUS: Release to P"&amp;"rod""), ""Release to Prod"", """")))))))"),"")</f>
        <v/>
      </c>
    </row>
    <row r="387" hidden="1">
      <c r="A387" s="61" t="s">
        <v>42</v>
      </c>
      <c r="B387" s="12" t="s">
        <v>43</v>
      </c>
      <c r="C387" s="61">
        <v>64.0</v>
      </c>
      <c r="D387" s="62" t="s">
        <v>1953</v>
      </c>
      <c r="E387" s="56" t="s">
        <v>173</v>
      </c>
      <c r="F387" s="61" t="s">
        <v>1954</v>
      </c>
      <c r="G387" s="57" t="str">
        <f t="shared" si="1"/>
        <v>08-Apr-2025</v>
      </c>
      <c r="H387" s="61" t="s">
        <v>57</v>
      </c>
      <c r="I387" s="61" t="s">
        <v>1955</v>
      </c>
      <c r="J387" s="27" t="str">
        <f t="shared" si="4"/>
        <v>11-Jul-2025</v>
      </c>
      <c r="K387" s="61" t="s">
        <v>1956</v>
      </c>
      <c r="L387" s="27" t="str">
        <f t="shared" si="5"/>
        <v>05-May-2025</v>
      </c>
      <c r="M387" s="63" t="s">
        <v>285</v>
      </c>
      <c r="N387" s="61" t="s">
        <v>177</v>
      </c>
      <c r="O387" s="61" t="s">
        <v>1913</v>
      </c>
      <c r="P387" s="61">
        <v>8.0</v>
      </c>
      <c r="Q387" s="66" t="s">
        <v>1957</v>
      </c>
      <c r="R387" s="27" t="str">
        <f>IFERROR(__xludf.DUMMYFUNCTION("IF(REGEXMATCH(N387, ""PRIORITY: Low""), ""Low"", IF(REGEXMATCH(N387, ""PRIORITY: Medium""), ""Medium"", IF(REGEXMATCH(N387, ""PRIORITY: High""), ""High"", """")))
"),"")</f>
        <v/>
      </c>
      <c r="S387" s="27" t="str">
        <f>IFERROR(__xludf.DUMMYFUNCTION("IF(REGEXMATCH(N387, ""SKILL: Low""), ""Low"", IF(REGEXMATCH(N387, ""SKILL: Medium""), ""Medium"", IF(REGEXMATCH(N387, ""SKILL: High""), ""High"", """")))"),"")</f>
        <v/>
      </c>
      <c r="T387" s="27" t="str">
        <f>IFERROR(__xludf.DUMMYFUNCTION("IF(REGEXMATCH(N387, ""STATUS: Dev Complete - Awaiting QA""), ""Dev Complete - Awaiting QA"", IF(REGEXMATCH(N387, ""STATUS: Follow-Up Required""), ""Follow-Up Required"", IF(REGEXMATCH(N387, ""STATUS: In Progress""), ""In Progress"", IF(REGEXMATCH(N387, """&amp;"STATUS: In QA""), ""In QA"", IF(REGEXMATCH(N387, ""STATUS: Needs Customer Feedback""), ""Needs Customer Feedback"", IF(REGEXMATCH(N387, ""STATUS: QA Passed - Awaiting Release""), ""QA Passed - Awaiting Release"", IF(REGEXMATCH(N387, ""STATUS: Release to P"&amp;"rod""), ""Release to Prod"", """")))))))"),"")</f>
        <v/>
      </c>
    </row>
    <row r="388" hidden="1">
      <c r="A388" s="61" t="s">
        <v>42</v>
      </c>
      <c r="B388" s="12" t="s">
        <v>43</v>
      </c>
      <c r="C388" s="61">
        <v>63.0</v>
      </c>
      <c r="D388" s="62" t="s">
        <v>1958</v>
      </c>
      <c r="E388" s="56" t="s">
        <v>173</v>
      </c>
      <c r="F388" s="61" t="s">
        <v>1959</v>
      </c>
      <c r="G388" s="57" t="str">
        <f t="shared" si="1"/>
        <v>07-Apr-2025</v>
      </c>
      <c r="H388" s="61" t="s">
        <v>57</v>
      </c>
      <c r="I388" s="61" t="s">
        <v>1960</v>
      </c>
      <c r="J388" s="27" t="str">
        <f t="shared" si="4"/>
        <v>30-Jul-2025</v>
      </c>
      <c r="K388" s="61" t="s">
        <v>1960</v>
      </c>
      <c r="L388" s="27" t="str">
        <f t="shared" si="5"/>
        <v>30-Jul-2025</v>
      </c>
      <c r="M388" s="63" t="s">
        <v>249</v>
      </c>
      <c r="N388" s="61" t="s">
        <v>1961</v>
      </c>
      <c r="O388" s="61" t="s">
        <v>1913</v>
      </c>
      <c r="P388" s="61">
        <v>2.0</v>
      </c>
      <c r="Q388" s="66" t="s">
        <v>1962</v>
      </c>
      <c r="R388" s="27" t="str">
        <f>IFERROR(__xludf.DUMMYFUNCTION("IF(REGEXMATCH(N388, ""PRIORITY: Low""), ""Low"", IF(REGEXMATCH(N388, ""PRIORITY: Medium""), ""Medium"", IF(REGEXMATCH(N388, ""PRIORITY: High""), ""High"", """")))
"),"Low")</f>
        <v>Low</v>
      </c>
      <c r="S388" s="27" t="str">
        <f>IFERROR(__xludf.DUMMYFUNCTION("IF(REGEXMATCH(N388, ""SKILL: Low""), ""Low"", IF(REGEXMATCH(N388, ""SKILL: Medium""), ""Medium"", IF(REGEXMATCH(N388, ""SKILL: High""), ""High"", """")))"),"Medium")</f>
        <v>Medium</v>
      </c>
      <c r="T388" s="27" t="str">
        <f>IFERROR(__xludf.DUMMYFUNCTION("IF(REGEXMATCH(N388, ""STATUS: Dev Complete - Awaiting QA""), ""Dev Complete - Awaiting QA"", IF(REGEXMATCH(N388, ""STATUS: Follow-Up Required""), ""Follow-Up Required"", IF(REGEXMATCH(N388, ""STATUS: In Progress""), ""In Progress"", IF(REGEXMATCH(N388, """&amp;"STATUS: In QA""), ""In QA"", IF(REGEXMATCH(N388, ""STATUS: Needs Customer Feedback""), ""Needs Customer Feedback"", IF(REGEXMATCH(N388, ""STATUS: QA Passed - Awaiting Release""), ""QA Passed - Awaiting Release"", IF(REGEXMATCH(N388, ""STATUS: Release to P"&amp;"rod""), ""Release to Prod"", """")))))))"),"")</f>
        <v/>
      </c>
    </row>
    <row r="389">
      <c r="A389" s="61" t="s">
        <v>42</v>
      </c>
      <c r="B389" s="12" t="s">
        <v>43</v>
      </c>
      <c r="C389" s="61">
        <v>61.0</v>
      </c>
      <c r="D389" s="62" t="s">
        <v>1963</v>
      </c>
      <c r="E389" s="56" t="s">
        <v>246</v>
      </c>
      <c r="F389" s="61" t="s">
        <v>1964</v>
      </c>
      <c r="G389" s="57" t="str">
        <f t="shared" si="1"/>
        <v>04-Apr-2025</v>
      </c>
      <c r="H389" s="61" t="s">
        <v>57</v>
      </c>
      <c r="I389" s="61" t="s">
        <v>1965</v>
      </c>
      <c r="J389" s="27" t="str">
        <f t="shared" si="4"/>
        <v>19-Sep-2025</v>
      </c>
      <c r="K389" s="27"/>
      <c r="L389" s="27" t="str">
        <f t="shared" si="5"/>
        <v/>
      </c>
      <c r="M389" s="63" t="s">
        <v>285</v>
      </c>
      <c r="N389" s="61" t="s">
        <v>1966</v>
      </c>
      <c r="O389" s="67" t="s">
        <v>1913</v>
      </c>
      <c r="P389" s="61">
        <v>7.0</v>
      </c>
      <c r="Q389" s="66" t="s">
        <v>1967</v>
      </c>
      <c r="R389" s="27" t="str">
        <f>IFERROR(__xludf.DUMMYFUNCTION("IF(REGEXMATCH(N389, ""PRIORITY: Low""), ""Low"", IF(REGEXMATCH(N389, ""PRIORITY: Medium""), ""Medium"", IF(REGEXMATCH(N389, ""PRIORITY: High""), ""High"", """")))
"),"Low")</f>
        <v>Low</v>
      </c>
      <c r="S389" s="27" t="str">
        <f>IFERROR(__xludf.DUMMYFUNCTION("IF(REGEXMATCH(N389, ""SKILL: Low""), ""Low"", IF(REGEXMATCH(N389, ""SKILL: Medium""), ""Medium"", IF(REGEXMATCH(N389, ""SKILL: High""), ""High"", """")))"),"High")</f>
        <v>High</v>
      </c>
      <c r="T389" s="27" t="str">
        <f>IFERROR(__xludf.DUMMYFUNCTION("IF(REGEXMATCH(N389, ""STATUS: Dev Complete - Awaiting QA""), ""Dev Complete - Awaiting QA"", IF(REGEXMATCH(N389, ""STATUS: Follow-Up Required""), ""Follow-Up Required"", IF(REGEXMATCH(N389, ""STATUS: In Progress""), ""In Progress"", IF(REGEXMATCH(N389, """&amp;"STATUS: In QA""), ""In QA"", IF(REGEXMATCH(N389, ""STATUS: Needs Customer Feedback""), ""Needs Customer Feedback"", IF(REGEXMATCH(N389, ""STATUS: QA Passed - Awaiting Release""), ""QA Passed - Awaiting Release"", IF(REGEXMATCH(N389, ""STATUS: Release to P"&amp;"rod""), ""Release to Prod"", """")))))))"),"")</f>
        <v/>
      </c>
    </row>
    <row r="390" hidden="1">
      <c r="A390" s="61" t="s">
        <v>42</v>
      </c>
      <c r="B390" s="12" t="s">
        <v>43</v>
      </c>
      <c r="C390" s="61">
        <v>60.0</v>
      </c>
      <c r="D390" s="62" t="s">
        <v>1968</v>
      </c>
      <c r="E390" s="56" t="s">
        <v>173</v>
      </c>
      <c r="F390" s="61" t="s">
        <v>1969</v>
      </c>
      <c r="G390" s="57" t="str">
        <f t="shared" si="1"/>
        <v>04-Apr-2025</v>
      </c>
      <c r="H390" s="61" t="s">
        <v>57</v>
      </c>
      <c r="I390" s="61" t="s">
        <v>1970</v>
      </c>
      <c r="J390" s="27" t="str">
        <f t="shared" si="4"/>
        <v>11-Jul-2025</v>
      </c>
      <c r="K390" s="61" t="s">
        <v>1971</v>
      </c>
      <c r="L390" s="27" t="str">
        <f t="shared" si="5"/>
        <v>25-Apr-2025</v>
      </c>
      <c r="M390" s="63" t="s">
        <v>285</v>
      </c>
      <c r="N390" s="61" t="s">
        <v>177</v>
      </c>
      <c r="O390" s="61" t="s">
        <v>1972</v>
      </c>
      <c r="P390" s="61">
        <v>6.0</v>
      </c>
      <c r="Q390" s="66" t="s">
        <v>1973</v>
      </c>
      <c r="R390" s="27" t="str">
        <f>IFERROR(__xludf.DUMMYFUNCTION("IF(REGEXMATCH(N390, ""PRIORITY: Low""), ""Low"", IF(REGEXMATCH(N390, ""PRIORITY: Medium""), ""Medium"", IF(REGEXMATCH(N390, ""PRIORITY: High""), ""High"", """")))
"),"")</f>
        <v/>
      </c>
      <c r="S390" s="27" t="str">
        <f>IFERROR(__xludf.DUMMYFUNCTION("IF(REGEXMATCH(N390, ""SKILL: Low""), ""Low"", IF(REGEXMATCH(N390, ""SKILL: Medium""), ""Medium"", IF(REGEXMATCH(N390, ""SKILL: High""), ""High"", """")))"),"")</f>
        <v/>
      </c>
      <c r="T390" s="27" t="str">
        <f>IFERROR(__xludf.DUMMYFUNCTION("IF(REGEXMATCH(N390, ""STATUS: Dev Complete - Awaiting QA""), ""Dev Complete - Awaiting QA"", IF(REGEXMATCH(N390, ""STATUS: Follow-Up Required""), ""Follow-Up Required"", IF(REGEXMATCH(N390, ""STATUS: In Progress""), ""In Progress"", IF(REGEXMATCH(N390, """&amp;"STATUS: In QA""), ""In QA"", IF(REGEXMATCH(N390, ""STATUS: Needs Customer Feedback""), ""Needs Customer Feedback"", IF(REGEXMATCH(N390, ""STATUS: QA Passed - Awaiting Release""), ""QA Passed - Awaiting Release"", IF(REGEXMATCH(N390, ""STATUS: Release to P"&amp;"rod""), ""Release to Prod"", """")))))))"),"")</f>
        <v/>
      </c>
    </row>
    <row r="391" hidden="1">
      <c r="A391" s="61" t="s">
        <v>42</v>
      </c>
      <c r="B391" s="12" t="s">
        <v>43</v>
      </c>
      <c r="C391" s="61">
        <v>59.0</v>
      </c>
      <c r="D391" s="62" t="s">
        <v>1974</v>
      </c>
      <c r="E391" s="56" t="s">
        <v>173</v>
      </c>
      <c r="F391" s="61" t="s">
        <v>1975</v>
      </c>
      <c r="G391" s="57" t="str">
        <f t="shared" si="1"/>
        <v>04-Apr-2025</v>
      </c>
      <c r="H391" s="61" t="s">
        <v>57</v>
      </c>
      <c r="I391" s="61" t="s">
        <v>1976</v>
      </c>
      <c r="J391" s="27" t="str">
        <f t="shared" si="4"/>
        <v>30-Jul-2025</v>
      </c>
      <c r="K391" s="61" t="s">
        <v>1976</v>
      </c>
      <c r="L391" s="27" t="str">
        <f t="shared" si="5"/>
        <v>30-Jul-2025</v>
      </c>
      <c r="M391" s="63" t="s">
        <v>285</v>
      </c>
      <c r="N391" s="61" t="s">
        <v>1977</v>
      </c>
      <c r="O391" s="61" t="s">
        <v>1913</v>
      </c>
      <c r="P391" s="61">
        <v>9.0</v>
      </c>
      <c r="Q391" s="66" t="s">
        <v>1978</v>
      </c>
      <c r="R391" s="27" t="str">
        <f>IFERROR(__xludf.DUMMYFUNCTION("IF(REGEXMATCH(N391, ""PRIORITY: Low""), ""Low"", IF(REGEXMATCH(N391, ""PRIORITY: Medium""), ""Medium"", IF(REGEXMATCH(N391, ""PRIORITY: High""), ""High"", """")))
"),"Medium")</f>
        <v>Medium</v>
      </c>
      <c r="S391" s="27" t="str">
        <f>IFERROR(__xludf.DUMMYFUNCTION("IF(REGEXMATCH(N391, ""SKILL: Low""), ""Low"", IF(REGEXMATCH(N391, ""SKILL: Medium""), ""Medium"", IF(REGEXMATCH(N391, ""SKILL: High""), ""High"", """")))"),"High")</f>
        <v>High</v>
      </c>
      <c r="T391" s="27" t="str">
        <f>IFERROR(__xludf.DUMMYFUNCTION("IF(REGEXMATCH(N391, ""STATUS: Dev Complete - Awaiting QA""), ""Dev Complete - Awaiting QA"", IF(REGEXMATCH(N391, ""STATUS: Follow-Up Required""), ""Follow-Up Required"", IF(REGEXMATCH(N391, ""STATUS: In Progress""), ""In Progress"", IF(REGEXMATCH(N391, """&amp;"STATUS: In QA""), ""In QA"", IF(REGEXMATCH(N391, ""STATUS: Needs Customer Feedback""), ""Needs Customer Feedback"", IF(REGEXMATCH(N391, ""STATUS: QA Passed - Awaiting Release""), ""QA Passed - Awaiting Release"", IF(REGEXMATCH(N391, ""STATUS: Release to P"&amp;"rod""), ""Release to Prod"", """")))))))"),"")</f>
        <v/>
      </c>
    </row>
    <row r="392" hidden="1">
      <c r="A392" s="61" t="s">
        <v>42</v>
      </c>
      <c r="B392" s="12" t="s">
        <v>43</v>
      </c>
      <c r="C392" s="61">
        <v>58.0</v>
      </c>
      <c r="D392" s="62" t="s">
        <v>1979</v>
      </c>
      <c r="E392" s="56" t="s">
        <v>173</v>
      </c>
      <c r="F392" s="61" t="s">
        <v>1980</v>
      </c>
      <c r="G392" s="57" t="str">
        <f t="shared" si="1"/>
        <v>04-Apr-2025</v>
      </c>
      <c r="H392" s="61" t="s">
        <v>57</v>
      </c>
      <c r="I392" s="61" t="s">
        <v>1981</v>
      </c>
      <c r="J392" s="27" t="str">
        <f t="shared" si="4"/>
        <v>11-Jul-2025</v>
      </c>
      <c r="K392" s="61" t="s">
        <v>1982</v>
      </c>
      <c r="L392" s="27" t="str">
        <f t="shared" si="5"/>
        <v>26-Apr-2025</v>
      </c>
      <c r="M392" s="63" t="s">
        <v>249</v>
      </c>
      <c r="N392" s="61" t="s">
        <v>177</v>
      </c>
      <c r="O392" s="61" t="s">
        <v>1913</v>
      </c>
      <c r="P392" s="61">
        <v>3.0</v>
      </c>
      <c r="Q392" s="66" t="s">
        <v>1983</v>
      </c>
      <c r="R392" s="27" t="str">
        <f>IFERROR(__xludf.DUMMYFUNCTION("IF(REGEXMATCH(N392, ""PRIORITY: Low""), ""Low"", IF(REGEXMATCH(N392, ""PRIORITY: Medium""), ""Medium"", IF(REGEXMATCH(N392, ""PRIORITY: High""), ""High"", """")))
"),"")</f>
        <v/>
      </c>
      <c r="S392" s="27" t="str">
        <f>IFERROR(__xludf.DUMMYFUNCTION("IF(REGEXMATCH(N392, ""SKILL: Low""), ""Low"", IF(REGEXMATCH(N392, ""SKILL: Medium""), ""Medium"", IF(REGEXMATCH(N392, ""SKILL: High""), ""High"", """")))"),"")</f>
        <v/>
      </c>
      <c r="T392" s="27" t="str">
        <f>IFERROR(__xludf.DUMMYFUNCTION("IF(REGEXMATCH(N392, ""STATUS: Dev Complete - Awaiting QA""), ""Dev Complete - Awaiting QA"", IF(REGEXMATCH(N392, ""STATUS: Follow-Up Required""), ""Follow-Up Required"", IF(REGEXMATCH(N392, ""STATUS: In Progress""), ""In Progress"", IF(REGEXMATCH(N392, """&amp;"STATUS: In QA""), ""In QA"", IF(REGEXMATCH(N392, ""STATUS: Needs Customer Feedback""), ""Needs Customer Feedback"", IF(REGEXMATCH(N392, ""STATUS: QA Passed - Awaiting Release""), ""QA Passed - Awaiting Release"", IF(REGEXMATCH(N392, ""STATUS: Release to P"&amp;"rod""), ""Release to Prod"", """")))))))"),"")</f>
        <v/>
      </c>
    </row>
    <row r="393" hidden="1">
      <c r="A393" s="61" t="s">
        <v>42</v>
      </c>
      <c r="B393" s="12" t="s">
        <v>43</v>
      </c>
      <c r="C393" s="61">
        <v>57.0</v>
      </c>
      <c r="D393" s="62" t="s">
        <v>1984</v>
      </c>
      <c r="E393" s="56" t="s">
        <v>173</v>
      </c>
      <c r="F393" s="61" t="s">
        <v>1985</v>
      </c>
      <c r="G393" s="57" t="str">
        <f t="shared" si="1"/>
        <v>04-Apr-2025</v>
      </c>
      <c r="H393" s="61" t="s">
        <v>57</v>
      </c>
      <c r="I393" s="61" t="s">
        <v>1986</v>
      </c>
      <c r="J393" s="27" t="str">
        <f t="shared" si="4"/>
        <v>30-Jul-2025</v>
      </c>
      <c r="K393" s="61" t="s">
        <v>1986</v>
      </c>
      <c r="L393" s="27" t="str">
        <f t="shared" si="5"/>
        <v>30-Jul-2025</v>
      </c>
      <c r="M393" s="63" t="s">
        <v>249</v>
      </c>
      <c r="N393" s="61" t="s">
        <v>1961</v>
      </c>
      <c r="O393" s="61" t="s">
        <v>1913</v>
      </c>
      <c r="P393" s="61">
        <v>1.0</v>
      </c>
      <c r="Q393" s="66" t="s">
        <v>1987</v>
      </c>
      <c r="R393" s="27" t="str">
        <f>IFERROR(__xludf.DUMMYFUNCTION("IF(REGEXMATCH(N393, ""PRIORITY: Low""), ""Low"", IF(REGEXMATCH(N393, ""PRIORITY: Medium""), ""Medium"", IF(REGEXMATCH(N393, ""PRIORITY: High""), ""High"", """")))
"),"Low")</f>
        <v>Low</v>
      </c>
      <c r="S393" s="27" t="str">
        <f>IFERROR(__xludf.DUMMYFUNCTION("IF(REGEXMATCH(N393, ""SKILL: Low""), ""Low"", IF(REGEXMATCH(N393, ""SKILL: Medium""), ""Medium"", IF(REGEXMATCH(N393, ""SKILL: High""), ""High"", """")))"),"Medium")</f>
        <v>Medium</v>
      </c>
      <c r="T393" s="27" t="str">
        <f>IFERROR(__xludf.DUMMYFUNCTION("IF(REGEXMATCH(N393, ""STATUS: Dev Complete - Awaiting QA""), ""Dev Complete - Awaiting QA"", IF(REGEXMATCH(N393, ""STATUS: Follow-Up Required""), ""Follow-Up Required"", IF(REGEXMATCH(N393, ""STATUS: In Progress""), ""In Progress"", IF(REGEXMATCH(N393, """&amp;"STATUS: In QA""), ""In QA"", IF(REGEXMATCH(N393, ""STATUS: Needs Customer Feedback""), ""Needs Customer Feedback"", IF(REGEXMATCH(N393, ""STATUS: QA Passed - Awaiting Release""), ""QA Passed - Awaiting Release"", IF(REGEXMATCH(N393, ""STATUS: Release to P"&amp;"rod""), ""Release to Prod"", """")))))))"),"")</f>
        <v/>
      </c>
    </row>
    <row r="394" hidden="1">
      <c r="A394" s="61" t="s">
        <v>42</v>
      </c>
      <c r="B394" s="12" t="s">
        <v>43</v>
      </c>
      <c r="C394" s="61">
        <v>56.0</v>
      </c>
      <c r="D394" s="62" t="s">
        <v>1988</v>
      </c>
      <c r="E394" s="56" t="s">
        <v>173</v>
      </c>
      <c r="F394" s="61" t="s">
        <v>1989</v>
      </c>
      <c r="G394" s="57" t="str">
        <f t="shared" si="1"/>
        <v>04-Apr-2025</v>
      </c>
      <c r="H394" s="61" t="s">
        <v>57</v>
      </c>
      <c r="I394" s="61" t="s">
        <v>1990</v>
      </c>
      <c r="J394" s="27" t="str">
        <f t="shared" si="4"/>
        <v>11-Jul-2025</v>
      </c>
      <c r="K394" s="61" t="s">
        <v>1991</v>
      </c>
      <c r="L394" s="27" t="str">
        <f t="shared" si="5"/>
        <v>26-Apr-2025</v>
      </c>
      <c r="M394" s="63" t="s">
        <v>285</v>
      </c>
      <c r="N394" s="61" t="s">
        <v>177</v>
      </c>
      <c r="O394" s="61" t="s">
        <v>1913</v>
      </c>
      <c r="P394" s="61">
        <v>5.0</v>
      </c>
      <c r="Q394" s="66" t="s">
        <v>1992</v>
      </c>
      <c r="R394" s="27" t="str">
        <f>IFERROR(__xludf.DUMMYFUNCTION("IF(REGEXMATCH(N394, ""PRIORITY: Low""), ""Low"", IF(REGEXMATCH(N394, ""PRIORITY: Medium""), ""Medium"", IF(REGEXMATCH(N394, ""PRIORITY: High""), ""High"", """")))
"),"")</f>
        <v/>
      </c>
      <c r="S394" s="27" t="str">
        <f>IFERROR(__xludf.DUMMYFUNCTION("IF(REGEXMATCH(N394, ""SKILL: Low""), ""Low"", IF(REGEXMATCH(N394, ""SKILL: Medium""), ""Medium"", IF(REGEXMATCH(N394, ""SKILL: High""), ""High"", """")))"),"")</f>
        <v/>
      </c>
      <c r="T394" s="27" t="str">
        <f>IFERROR(__xludf.DUMMYFUNCTION("IF(REGEXMATCH(N394, ""STATUS: Dev Complete - Awaiting QA""), ""Dev Complete - Awaiting QA"", IF(REGEXMATCH(N394, ""STATUS: Follow-Up Required""), ""Follow-Up Required"", IF(REGEXMATCH(N394, ""STATUS: In Progress""), ""In Progress"", IF(REGEXMATCH(N394, """&amp;"STATUS: In QA""), ""In QA"", IF(REGEXMATCH(N394, ""STATUS: Needs Customer Feedback""), ""Needs Customer Feedback"", IF(REGEXMATCH(N394, ""STATUS: QA Passed - Awaiting Release""), ""QA Passed - Awaiting Release"", IF(REGEXMATCH(N394, ""STATUS: Release to P"&amp;"rod""), ""Release to Prod"", """")))))))"),"")</f>
        <v/>
      </c>
    </row>
    <row r="395" hidden="1">
      <c r="A395" s="61" t="s">
        <v>42</v>
      </c>
      <c r="B395" s="12" t="s">
        <v>43</v>
      </c>
      <c r="C395" s="61">
        <v>54.0</v>
      </c>
      <c r="D395" s="62" t="s">
        <v>1993</v>
      </c>
      <c r="E395" s="56" t="s">
        <v>173</v>
      </c>
      <c r="F395" s="61" t="s">
        <v>1994</v>
      </c>
      <c r="G395" s="57" t="str">
        <f t="shared" si="1"/>
        <v>02-Apr-2025</v>
      </c>
      <c r="H395" s="61" t="s">
        <v>37</v>
      </c>
      <c r="I395" s="61" t="s">
        <v>1995</v>
      </c>
      <c r="J395" s="27" t="str">
        <f t="shared" si="4"/>
        <v>30-Jul-2025</v>
      </c>
      <c r="K395" s="61" t="s">
        <v>1995</v>
      </c>
      <c r="L395" s="27" t="str">
        <f t="shared" si="5"/>
        <v>30-Jul-2025</v>
      </c>
      <c r="M395" s="63" t="s">
        <v>285</v>
      </c>
      <c r="N395" s="61" t="s">
        <v>1996</v>
      </c>
      <c r="O395" s="61" t="s">
        <v>1913</v>
      </c>
      <c r="P395" s="61">
        <v>2.0</v>
      </c>
      <c r="Q395" s="66" t="s">
        <v>1997</v>
      </c>
      <c r="R395" s="27" t="str">
        <f>IFERROR(__xludf.DUMMYFUNCTION("IF(REGEXMATCH(N395, ""PRIORITY: Low""), ""Low"", IF(REGEXMATCH(N395, ""PRIORITY: Medium""), ""Medium"", IF(REGEXMATCH(N395, ""PRIORITY: High""), ""High"", """")))
"),"Low")</f>
        <v>Low</v>
      </c>
      <c r="S395" s="27" t="str">
        <f>IFERROR(__xludf.DUMMYFUNCTION("IF(REGEXMATCH(N395, ""SKILL: Low""), ""Low"", IF(REGEXMATCH(N395, ""SKILL: Medium""), ""Medium"", IF(REGEXMATCH(N395, ""SKILL: High""), ""High"", """")))"),"High")</f>
        <v>High</v>
      </c>
      <c r="T395" s="27" t="str">
        <f>IFERROR(__xludf.DUMMYFUNCTION("IF(REGEXMATCH(N395, ""STATUS: Dev Complete - Awaiting QA""), ""Dev Complete - Awaiting QA"", IF(REGEXMATCH(N395, ""STATUS: Follow-Up Required""), ""Follow-Up Required"", IF(REGEXMATCH(N395, ""STATUS: In Progress""), ""In Progress"", IF(REGEXMATCH(N395, """&amp;"STATUS: In QA""), ""In QA"", IF(REGEXMATCH(N395, ""STATUS: Needs Customer Feedback""), ""Needs Customer Feedback"", IF(REGEXMATCH(N395, ""STATUS: QA Passed - Awaiting Release""), ""QA Passed - Awaiting Release"", IF(REGEXMATCH(N395, ""STATUS: Release to P"&amp;"rod""), ""Release to Prod"", """")))))))"),"")</f>
        <v/>
      </c>
    </row>
    <row r="396" hidden="1">
      <c r="A396" s="61" t="s">
        <v>42</v>
      </c>
      <c r="B396" s="12" t="s">
        <v>43</v>
      </c>
      <c r="C396" s="61">
        <v>53.0</v>
      </c>
      <c r="D396" s="62" t="s">
        <v>1998</v>
      </c>
      <c r="E396" s="56" t="s">
        <v>173</v>
      </c>
      <c r="F396" s="61" t="s">
        <v>1999</v>
      </c>
      <c r="G396" s="57" t="str">
        <f t="shared" si="1"/>
        <v>02-Apr-2025</v>
      </c>
      <c r="H396" s="61" t="s">
        <v>37</v>
      </c>
      <c r="I396" s="61" t="s">
        <v>2000</v>
      </c>
      <c r="J396" s="27" t="str">
        <f t="shared" si="4"/>
        <v>11-Jul-2025</v>
      </c>
      <c r="K396" s="61" t="s">
        <v>2001</v>
      </c>
      <c r="L396" s="27" t="str">
        <f t="shared" si="5"/>
        <v>14-Apr-2025</v>
      </c>
      <c r="M396" s="63" t="s">
        <v>249</v>
      </c>
      <c r="N396" s="61" t="s">
        <v>177</v>
      </c>
      <c r="O396" s="61" t="s">
        <v>37</v>
      </c>
      <c r="P396" s="61">
        <v>1.0</v>
      </c>
      <c r="Q396" s="66" t="s">
        <v>2002</v>
      </c>
      <c r="R396" s="27" t="str">
        <f>IFERROR(__xludf.DUMMYFUNCTION("IF(REGEXMATCH(N396, ""PRIORITY: Low""), ""Low"", IF(REGEXMATCH(N396, ""PRIORITY: Medium""), ""Medium"", IF(REGEXMATCH(N396, ""PRIORITY: High""), ""High"", """")))
"),"")</f>
        <v/>
      </c>
      <c r="S396" s="27" t="str">
        <f>IFERROR(__xludf.DUMMYFUNCTION("IF(REGEXMATCH(N396, ""SKILL: Low""), ""Low"", IF(REGEXMATCH(N396, ""SKILL: Medium""), ""Medium"", IF(REGEXMATCH(N396, ""SKILL: High""), ""High"", """")))"),"")</f>
        <v/>
      </c>
      <c r="T396" s="27" t="str">
        <f>IFERROR(__xludf.DUMMYFUNCTION("IF(REGEXMATCH(N396, ""STATUS: Dev Complete - Awaiting QA""), ""Dev Complete - Awaiting QA"", IF(REGEXMATCH(N396, ""STATUS: Follow-Up Required""), ""Follow-Up Required"", IF(REGEXMATCH(N396, ""STATUS: In Progress""), ""In Progress"", IF(REGEXMATCH(N396, """&amp;"STATUS: In QA""), ""In QA"", IF(REGEXMATCH(N396, ""STATUS: Needs Customer Feedback""), ""Needs Customer Feedback"", IF(REGEXMATCH(N396, ""STATUS: QA Passed - Awaiting Release""), ""QA Passed - Awaiting Release"", IF(REGEXMATCH(N396, ""STATUS: Release to P"&amp;"rod""), ""Release to Prod"", """")))))))"),"")</f>
        <v/>
      </c>
    </row>
    <row r="397" hidden="1">
      <c r="A397" s="61" t="s">
        <v>42</v>
      </c>
      <c r="B397" s="12" t="s">
        <v>43</v>
      </c>
      <c r="C397" s="61">
        <v>52.0</v>
      </c>
      <c r="D397" s="62" t="s">
        <v>2003</v>
      </c>
      <c r="E397" s="56" t="s">
        <v>173</v>
      </c>
      <c r="F397" s="61" t="s">
        <v>2004</v>
      </c>
      <c r="G397" s="57" t="str">
        <f t="shared" si="1"/>
        <v>02-Apr-2025</v>
      </c>
      <c r="H397" s="61" t="s">
        <v>37</v>
      </c>
      <c r="I397" s="61" t="s">
        <v>2005</v>
      </c>
      <c r="J397" s="27" t="str">
        <f t="shared" si="4"/>
        <v>31-Jul-2025</v>
      </c>
      <c r="K397" s="61" t="s">
        <v>2005</v>
      </c>
      <c r="L397" s="27" t="str">
        <f t="shared" si="5"/>
        <v>31-Jul-2025</v>
      </c>
      <c r="M397" s="63" t="s">
        <v>249</v>
      </c>
      <c r="N397" s="61" t="s">
        <v>1996</v>
      </c>
      <c r="O397" s="61" t="s">
        <v>1913</v>
      </c>
      <c r="P397" s="61">
        <v>1.0</v>
      </c>
      <c r="Q397" s="66" t="s">
        <v>2006</v>
      </c>
      <c r="R397" s="27" t="str">
        <f>IFERROR(__xludf.DUMMYFUNCTION("IF(REGEXMATCH(N397, ""PRIORITY: Low""), ""Low"", IF(REGEXMATCH(N397, ""PRIORITY: Medium""), ""Medium"", IF(REGEXMATCH(N397, ""PRIORITY: High""), ""High"", """")))
"),"Low")</f>
        <v>Low</v>
      </c>
      <c r="S397" s="27" t="str">
        <f>IFERROR(__xludf.DUMMYFUNCTION("IF(REGEXMATCH(N397, ""SKILL: Low""), ""Low"", IF(REGEXMATCH(N397, ""SKILL: Medium""), ""Medium"", IF(REGEXMATCH(N397, ""SKILL: High""), ""High"", """")))"),"High")</f>
        <v>High</v>
      </c>
      <c r="T397" s="27" t="str">
        <f>IFERROR(__xludf.DUMMYFUNCTION("IF(REGEXMATCH(N397, ""STATUS: Dev Complete - Awaiting QA""), ""Dev Complete - Awaiting QA"", IF(REGEXMATCH(N397, ""STATUS: Follow-Up Required""), ""Follow-Up Required"", IF(REGEXMATCH(N397, ""STATUS: In Progress""), ""In Progress"", IF(REGEXMATCH(N397, """&amp;"STATUS: In QA""), ""In QA"", IF(REGEXMATCH(N397, ""STATUS: Needs Customer Feedback""), ""Needs Customer Feedback"", IF(REGEXMATCH(N397, ""STATUS: QA Passed - Awaiting Release""), ""QA Passed - Awaiting Release"", IF(REGEXMATCH(N397, ""STATUS: Release to P"&amp;"rod""), ""Release to Prod"", """")))))))"),"")</f>
        <v/>
      </c>
    </row>
    <row r="398" hidden="1">
      <c r="A398" s="61" t="s">
        <v>42</v>
      </c>
      <c r="B398" s="12" t="s">
        <v>43</v>
      </c>
      <c r="C398" s="61">
        <v>48.0</v>
      </c>
      <c r="D398" s="62" t="s">
        <v>2007</v>
      </c>
      <c r="E398" s="56" t="s">
        <v>173</v>
      </c>
      <c r="F398" s="61" t="s">
        <v>2008</v>
      </c>
      <c r="G398" s="57" t="str">
        <f t="shared" si="1"/>
        <v>26-Feb-2025</v>
      </c>
      <c r="H398" s="61" t="s">
        <v>149</v>
      </c>
      <c r="I398" s="61" t="s">
        <v>2009</v>
      </c>
      <c r="J398" s="27" t="str">
        <f t="shared" si="4"/>
        <v>11-Jul-2025</v>
      </c>
      <c r="K398" s="61" t="s">
        <v>2010</v>
      </c>
      <c r="L398" s="27" t="str">
        <f t="shared" si="5"/>
        <v>14-Apr-2025</v>
      </c>
      <c r="M398" s="63" t="s">
        <v>285</v>
      </c>
      <c r="N398" s="61" t="s">
        <v>177</v>
      </c>
      <c r="O398" s="61" t="s">
        <v>37</v>
      </c>
      <c r="P398" s="61">
        <v>0.0</v>
      </c>
      <c r="Q398" s="66" t="s">
        <v>2011</v>
      </c>
      <c r="R398" s="27" t="str">
        <f>IFERROR(__xludf.DUMMYFUNCTION("IF(REGEXMATCH(N398, ""PRIORITY: Low""), ""Low"", IF(REGEXMATCH(N398, ""PRIORITY: Medium""), ""Medium"", IF(REGEXMATCH(N398, ""PRIORITY: High""), ""High"", """")))
"),"")</f>
        <v/>
      </c>
      <c r="S398" s="27" t="str">
        <f>IFERROR(__xludf.DUMMYFUNCTION("IF(REGEXMATCH(N398, ""SKILL: Low""), ""Low"", IF(REGEXMATCH(N398, ""SKILL: Medium""), ""Medium"", IF(REGEXMATCH(N398, ""SKILL: High""), ""High"", """")))"),"")</f>
        <v/>
      </c>
      <c r="T398" s="27" t="str">
        <f>IFERROR(__xludf.DUMMYFUNCTION("IF(REGEXMATCH(N398, ""STATUS: Dev Complete - Awaiting QA""), ""Dev Complete - Awaiting QA"", IF(REGEXMATCH(N398, ""STATUS: Follow-Up Required""), ""Follow-Up Required"", IF(REGEXMATCH(N398, ""STATUS: In Progress""), ""In Progress"", IF(REGEXMATCH(N398, """&amp;"STATUS: In QA""), ""In QA"", IF(REGEXMATCH(N398, ""STATUS: Needs Customer Feedback""), ""Needs Customer Feedback"", IF(REGEXMATCH(N398, ""STATUS: QA Passed - Awaiting Release""), ""QA Passed - Awaiting Release"", IF(REGEXMATCH(N398, ""STATUS: Release to P"&amp;"rod""), ""Release to Prod"", """")))))))"),"")</f>
        <v/>
      </c>
    </row>
    <row r="399" hidden="1">
      <c r="A399" s="61" t="s">
        <v>42</v>
      </c>
      <c r="B399" s="12" t="s">
        <v>43</v>
      </c>
      <c r="C399" s="61">
        <v>44.0</v>
      </c>
      <c r="D399" s="62" t="s">
        <v>2012</v>
      </c>
      <c r="E399" s="56" t="s">
        <v>173</v>
      </c>
      <c r="F399" s="61" t="s">
        <v>2013</v>
      </c>
      <c r="G399" s="57" t="str">
        <f t="shared" si="1"/>
        <v>18-Feb-2025</v>
      </c>
      <c r="H399" s="61" t="s">
        <v>37</v>
      </c>
      <c r="I399" s="61" t="s">
        <v>2014</v>
      </c>
      <c r="J399" s="27" t="str">
        <f t="shared" si="4"/>
        <v>11-Jul-2025</v>
      </c>
      <c r="K399" s="61" t="s">
        <v>2015</v>
      </c>
      <c r="L399" s="27" t="str">
        <f t="shared" si="5"/>
        <v>18-Feb-2025</v>
      </c>
      <c r="M399" s="63" t="s">
        <v>15</v>
      </c>
      <c r="N399" s="61" t="s">
        <v>177</v>
      </c>
      <c r="O399" s="27"/>
      <c r="P399" s="61">
        <v>1.0</v>
      </c>
      <c r="Q399" s="66" t="s">
        <v>2016</v>
      </c>
      <c r="R399" s="27" t="str">
        <f>IFERROR(__xludf.DUMMYFUNCTION("IF(REGEXMATCH(N399, ""PRIORITY: Low""), ""Low"", IF(REGEXMATCH(N399, ""PRIORITY: Medium""), ""Medium"", IF(REGEXMATCH(N399, ""PRIORITY: High""), ""High"", """")))
"),"")</f>
        <v/>
      </c>
      <c r="S399" s="27" t="str">
        <f>IFERROR(__xludf.DUMMYFUNCTION("IF(REGEXMATCH(N399, ""SKILL: Low""), ""Low"", IF(REGEXMATCH(N399, ""SKILL: Medium""), ""Medium"", IF(REGEXMATCH(N399, ""SKILL: High""), ""High"", """")))"),"")</f>
        <v/>
      </c>
      <c r="T399" s="27" t="str">
        <f>IFERROR(__xludf.DUMMYFUNCTION("IF(REGEXMATCH(N399, ""STATUS: Dev Complete - Awaiting QA""), ""Dev Complete - Awaiting QA"", IF(REGEXMATCH(N399, ""STATUS: Follow-Up Required""), ""Follow-Up Required"", IF(REGEXMATCH(N399, ""STATUS: In Progress""), ""In Progress"", IF(REGEXMATCH(N399, """&amp;"STATUS: In QA""), ""In QA"", IF(REGEXMATCH(N399, ""STATUS: Needs Customer Feedback""), ""Needs Customer Feedback"", IF(REGEXMATCH(N399, ""STATUS: QA Passed - Awaiting Release""), ""QA Passed - Awaiting Release"", IF(REGEXMATCH(N399, ""STATUS: Release to P"&amp;"rod""), ""Release to Prod"", """")))))))"),"")</f>
        <v/>
      </c>
    </row>
    <row r="400" hidden="1">
      <c r="A400" s="61" t="s">
        <v>42</v>
      </c>
      <c r="B400" s="12" t="s">
        <v>43</v>
      </c>
      <c r="C400" s="61">
        <v>41.0</v>
      </c>
      <c r="D400" s="62" t="s">
        <v>2017</v>
      </c>
      <c r="E400" s="56" t="s">
        <v>173</v>
      </c>
      <c r="F400" s="61" t="s">
        <v>2018</v>
      </c>
      <c r="G400" s="57" t="str">
        <f t="shared" si="1"/>
        <v>14-Feb-2025</v>
      </c>
      <c r="H400" s="61" t="s">
        <v>149</v>
      </c>
      <c r="I400" s="61" t="s">
        <v>2019</v>
      </c>
      <c r="J400" s="27" t="str">
        <f t="shared" si="4"/>
        <v>11-Jul-2025</v>
      </c>
      <c r="K400" s="61" t="s">
        <v>2020</v>
      </c>
      <c r="L400" s="27" t="str">
        <f t="shared" si="5"/>
        <v>14-Apr-2025</v>
      </c>
      <c r="M400" s="63" t="s">
        <v>285</v>
      </c>
      <c r="N400" s="61" t="s">
        <v>177</v>
      </c>
      <c r="O400" s="61" t="s">
        <v>37</v>
      </c>
      <c r="P400" s="61">
        <v>1.0</v>
      </c>
      <c r="Q400" s="66" t="s">
        <v>2021</v>
      </c>
      <c r="R400" s="27" t="str">
        <f>IFERROR(__xludf.DUMMYFUNCTION("IF(REGEXMATCH(N400, ""PRIORITY: Low""), ""Low"", IF(REGEXMATCH(N400, ""PRIORITY: Medium""), ""Medium"", IF(REGEXMATCH(N400, ""PRIORITY: High""), ""High"", """")))
"),"")</f>
        <v/>
      </c>
      <c r="S400" s="27" t="str">
        <f>IFERROR(__xludf.DUMMYFUNCTION("IF(REGEXMATCH(N400, ""SKILL: Low""), ""Low"", IF(REGEXMATCH(N400, ""SKILL: Medium""), ""Medium"", IF(REGEXMATCH(N400, ""SKILL: High""), ""High"", """")))"),"")</f>
        <v/>
      </c>
      <c r="T400" s="27" t="str">
        <f>IFERROR(__xludf.DUMMYFUNCTION("IF(REGEXMATCH(N400, ""STATUS: Dev Complete - Awaiting QA""), ""Dev Complete - Awaiting QA"", IF(REGEXMATCH(N400, ""STATUS: Follow-Up Required""), ""Follow-Up Required"", IF(REGEXMATCH(N400, ""STATUS: In Progress""), ""In Progress"", IF(REGEXMATCH(N400, """&amp;"STATUS: In QA""), ""In QA"", IF(REGEXMATCH(N400, ""STATUS: Needs Customer Feedback""), ""Needs Customer Feedback"", IF(REGEXMATCH(N400, ""STATUS: QA Passed - Awaiting Release""), ""QA Passed - Awaiting Release"", IF(REGEXMATCH(N400, ""STATUS: Release to P"&amp;"rod""), ""Release to Prod"", """")))))))"),"")</f>
        <v/>
      </c>
    </row>
    <row r="401" hidden="1">
      <c r="A401" s="61" t="s">
        <v>42</v>
      </c>
      <c r="B401" s="12" t="s">
        <v>43</v>
      </c>
      <c r="C401" s="61">
        <v>10.0</v>
      </c>
      <c r="D401" s="62" t="s">
        <v>2022</v>
      </c>
      <c r="E401" s="56" t="s">
        <v>173</v>
      </c>
      <c r="F401" s="61" t="s">
        <v>2023</v>
      </c>
      <c r="G401" s="57" t="str">
        <f t="shared" si="1"/>
        <v>22-Jan-2025</v>
      </c>
      <c r="H401" s="61" t="s">
        <v>254</v>
      </c>
      <c r="I401" s="61" t="s">
        <v>2024</v>
      </c>
      <c r="J401" s="27" t="str">
        <f t="shared" si="4"/>
        <v>11-Jul-2025</v>
      </c>
      <c r="K401" s="61" t="s">
        <v>2025</v>
      </c>
      <c r="L401" s="27" t="str">
        <f t="shared" si="5"/>
        <v>07-Feb-2025</v>
      </c>
      <c r="M401" s="63" t="s">
        <v>15</v>
      </c>
      <c r="N401" s="61" t="s">
        <v>177</v>
      </c>
      <c r="O401" s="27"/>
      <c r="P401" s="61">
        <v>0.0</v>
      </c>
      <c r="Q401" s="66" t="s">
        <v>2026</v>
      </c>
      <c r="R401" s="27" t="str">
        <f>IFERROR(__xludf.DUMMYFUNCTION("IF(REGEXMATCH(N401, ""PRIORITY: Low""), ""Low"", IF(REGEXMATCH(N401, ""PRIORITY: Medium""), ""Medium"", IF(REGEXMATCH(N401, ""PRIORITY: High""), ""High"", """")))
"),"")</f>
        <v/>
      </c>
      <c r="S401" s="27" t="str">
        <f>IFERROR(__xludf.DUMMYFUNCTION("IF(REGEXMATCH(N401, ""SKILL: Low""), ""Low"", IF(REGEXMATCH(N401, ""SKILL: Medium""), ""Medium"", IF(REGEXMATCH(N401, ""SKILL: High""), ""High"", """")))"),"")</f>
        <v/>
      </c>
      <c r="T401" s="27" t="str">
        <f>IFERROR(__xludf.DUMMYFUNCTION("IF(REGEXMATCH(N401, ""STATUS: Dev Complete - Awaiting QA""), ""Dev Complete - Awaiting QA"", IF(REGEXMATCH(N401, ""STATUS: Follow-Up Required""), ""Follow-Up Required"", IF(REGEXMATCH(N401, ""STATUS: In Progress""), ""In Progress"", IF(REGEXMATCH(N401, """&amp;"STATUS: In QA""), ""In QA"", IF(REGEXMATCH(N401, ""STATUS: Needs Customer Feedback""), ""Needs Customer Feedback"", IF(REGEXMATCH(N401, ""STATUS: QA Passed - Awaiting Release""), ""QA Passed - Awaiting Release"", IF(REGEXMATCH(N401, ""STATUS: Release to P"&amp;"rod""), ""Release to Prod"", """")))))))"),"")</f>
        <v/>
      </c>
    </row>
    <row r="402" hidden="1">
      <c r="A402" s="61" t="s">
        <v>42</v>
      </c>
      <c r="B402" s="12" t="s">
        <v>43</v>
      </c>
      <c r="C402" s="61">
        <v>7.0</v>
      </c>
      <c r="D402" s="62" t="s">
        <v>2027</v>
      </c>
      <c r="E402" s="56" t="s">
        <v>173</v>
      </c>
      <c r="F402" s="61" t="s">
        <v>2028</v>
      </c>
      <c r="G402" s="57" t="str">
        <f t="shared" si="1"/>
        <v>21-Jan-2025</v>
      </c>
      <c r="H402" s="61" t="s">
        <v>149</v>
      </c>
      <c r="I402" s="61" t="s">
        <v>2029</v>
      </c>
      <c r="J402" s="27" t="str">
        <f t="shared" si="4"/>
        <v>11-Jul-2025</v>
      </c>
      <c r="K402" s="61" t="s">
        <v>2030</v>
      </c>
      <c r="L402" s="27" t="str">
        <f t="shared" si="5"/>
        <v>14-Apr-2025</v>
      </c>
      <c r="M402" s="63" t="s">
        <v>291</v>
      </c>
      <c r="N402" s="61" t="s">
        <v>177</v>
      </c>
      <c r="O402" s="61" t="s">
        <v>37</v>
      </c>
      <c r="P402" s="61">
        <v>1.0</v>
      </c>
      <c r="Q402" s="66" t="s">
        <v>2031</v>
      </c>
      <c r="R402" s="27" t="str">
        <f>IFERROR(__xludf.DUMMYFUNCTION("IF(REGEXMATCH(N402, ""PRIORITY: Low""), ""Low"", IF(REGEXMATCH(N402, ""PRIORITY: Medium""), ""Medium"", IF(REGEXMATCH(N402, ""PRIORITY: High""), ""High"", """")))
"),"")</f>
        <v/>
      </c>
      <c r="S402" s="27" t="str">
        <f>IFERROR(__xludf.DUMMYFUNCTION("IF(REGEXMATCH(N402, ""SKILL: Low""), ""Low"", IF(REGEXMATCH(N402, ""SKILL: Medium""), ""Medium"", IF(REGEXMATCH(N402, ""SKILL: High""), ""High"", """")))"),"")</f>
        <v/>
      </c>
      <c r="T402" s="27" t="str">
        <f>IFERROR(__xludf.DUMMYFUNCTION("IF(REGEXMATCH(N402, ""STATUS: Dev Complete - Awaiting QA""), ""Dev Complete - Awaiting QA"", IF(REGEXMATCH(N402, ""STATUS: Follow-Up Required""), ""Follow-Up Required"", IF(REGEXMATCH(N402, ""STATUS: In Progress""), ""In Progress"", IF(REGEXMATCH(N402, """&amp;"STATUS: In QA""), ""In QA"", IF(REGEXMATCH(N402, ""STATUS: Needs Customer Feedback""), ""Needs Customer Feedback"", IF(REGEXMATCH(N402, ""STATUS: QA Passed - Awaiting Release""), ""QA Passed - Awaiting Release"", IF(REGEXMATCH(N402, ""STATUS: Release to P"&amp;"rod""), ""Release to Prod"", """")))))))"),"")</f>
        <v/>
      </c>
    </row>
    <row r="403" hidden="1">
      <c r="A403" s="61" t="s">
        <v>42</v>
      </c>
      <c r="B403" s="12" t="s">
        <v>43</v>
      </c>
      <c r="C403" s="61">
        <v>6.0</v>
      </c>
      <c r="D403" s="62" t="s">
        <v>2032</v>
      </c>
      <c r="E403" s="56" t="s">
        <v>173</v>
      </c>
      <c r="F403" s="61" t="s">
        <v>2033</v>
      </c>
      <c r="G403" s="57" t="str">
        <f t="shared" si="1"/>
        <v>21-Jan-2025</v>
      </c>
      <c r="H403" s="61" t="s">
        <v>254</v>
      </c>
      <c r="I403" s="61" t="s">
        <v>2034</v>
      </c>
      <c r="J403" s="27" t="str">
        <f t="shared" si="4"/>
        <v>11-Jul-2025</v>
      </c>
      <c r="K403" s="61" t="s">
        <v>2025</v>
      </c>
      <c r="L403" s="27" t="str">
        <f t="shared" si="5"/>
        <v>07-Feb-2025</v>
      </c>
      <c r="M403" s="63" t="s">
        <v>15</v>
      </c>
      <c r="N403" s="61" t="s">
        <v>177</v>
      </c>
      <c r="O403" s="27"/>
      <c r="P403" s="61">
        <v>0.0</v>
      </c>
      <c r="Q403" s="66" t="s">
        <v>2035</v>
      </c>
      <c r="R403" s="27" t="str">
        <f>IFERROR(__xludf.DUMMYFUNCTION("IF(REGEXMATCH(N403, ""PRIORITY: Low""), ""Low"", IF(REGEXMATCH(N403, ""PRIORITY: Medium""), ""Medium"", IF(REGEXMATCH(N403, ""PRIORITY: High""), ""High"", """")))
"),"")</f>
        <v/>
      </c>
      <c r="S403" s="27" t="str">
        <f>IFERROR(__xludf.DUMMYFUNCTION("IF(REGEXMATCH(N403, ""SKILL: Low""), ""Low"", IF(REGEXMATCH(N403, ""SKILL: Medium""), ""Medium"", IF(REGEXMATCH(N403, ""SKILL: High""), ""High"", """")))"),"")</f>
        <v/>
      </c>
      <c r="T403" s="27" t="str">
        <f>IFERROR(__xludf.DUMMYFUNCTION("IF(REGEXMATCH(N403, ""STATUS: Dev Complete - Awaiting QA""), ""Dev Complete - Awaiting QA"", IF(REGEXMATCH(N403, ""STATUS: Follow-Up Required""), ""Follow-Up Required"", IF(REGEXMATCH(N403, ""STATUS: In Progress""), ""In Progress"", IF(REGEXMATCH(N403, """&amp;"STATUS: In QA""), ""In QA"", IF(REGEXMATCH(N403, ""STATUS: Needs Customer Feedback""), ""Needs Customer Feedback"", IF(REGEXMATCH(N403, ""STATUS: QA Passed - Awaiting Release""), ""QA Passed - Awaiting Release"", IF(REGEXMATCH(N403, ""STATUS: Release to P"&amp;"rod""), ""Release to Prod"", """")))))))"),"")</f>
        <v/>
      </c>
    </row>
    <row r="404" hidden="1">
      <c r="A404" s="61" t="s">
        <v>42</v>
      </c>
      <c r="B404" s="12" t="s">
        <v>43</v>
      </c>
      <c r="C404" s="61">
        <v>5.0</v>
      </c>
      <c r="D404" s="62" t="s">
        <v>2036</v>
      </c>
      <c r="E404" s="56" t="s">
        <v>173</v>
      </c>
      <c r="F404" s="61" t="s">
        <v>2037</v>
      </c>
      <c r="G404" s="57" t="str">
        <f t="shared" si="1"/>
        <v>21-Jan-2025</v>
      </c>
      <c r="H404" s="61" t="s">
        <v>37</v>
      </c>
      <c r="I404" s="61" t="s">
        <v>2038</v>
      </c>
      <c r="J404" s="27" t="str">
        <f t="shared" si="4"/>
        <v>11-Jul-2025</v>
      </c>
      <c r="K404" s="61" t="s">
        <v>2039</v>
      </c>
      <c r="L404" s="27" t="str">
        <f t="shared" si="5"/>
        <v>07-Feb-2025</v>
      </c>
      <c r="M404" s="63" t="s">
        <v>15</v>
      </c>
      <c r="N404" s="61" t="s">
        <v>177</v>
      </c>
      <c r="O404" s="27"/>
      <c r="P404" s="61">
        <v>0.0</v>
      </c>
      <c r="Q404" s="66" t="s">
        <v>2040</v>
      </c>
      <c r="R404" s="27" t="str">
        <f>IFERROR(__xludf.DUMMYFUNCTION("IF(REGEXMATCH(N404, ""PRIORITY: Low""), ""Low"", IF(REGEXMATCH(N404, ""PRIORITY: Medium""), ""Medium"", IF(REGEXMATCH(N404, ""PRIORITY: High""), ""High"", """")))
"),"")</f>
        <v/>
      </c>
      <c r="S404" s="27" t="str">
        <f>IFERROR(__xludf.DUMMYFUNCTION("IF(REGEXMATCH(N404, ""SKILL: Low""), ""Low"", IF(REGEXMATCH(N404, ""SKILL: Medium""), ""Medium"", IF(REGEXMATCH(N404, ""SKILL: High""), ""High"", """")))"),"")</f>
        <v/>
      </c>
      <c r="T404" s="27" t="str">
        <f>IFERROR(__xludf.DUMMYFUNCTION("IF(REGEXMATCH(N404, ""STATUS: Dev Complete - Awaiting QA""), ""Dev Complete - Awaiting QA"", IF(REGEXMATCH(N404, ""STATUS: Follow-Up Required""), ""Follow-Up Required"", IF(REGEXMATCH(N404, ""STATUS: In Progress""), ""In Progress"", IF(REGEXMATCH(N404, """&amp;"STATUS: In QA""), ""In QA"", IF(REGEXMATCH(N404, ""STATUS: Needs Customer Feedback""), ""Needs Customer Feedback"", IF(REGEXMATCH(N404, ""STATUS: QA Passed - Awaiting Release""), ""QA Passed - Awaiting Release"", IF(REGEXMATCH(N404, ""STATUS: Release to P"&amp;"rod""), ""Release to Prod"", """")))))))"),"")</f>
        <v/>
      </c>
    </row>
    <row r="405" hidden="1">
      <c r="A405" s="61" t="s">
        <v>42</v>
      </c>
      <c r="B405" s="12" t="s">
        <v>43</v>
      </c>
      <c r="C405" s="61">
        <v>4.0</v>
      </c>
      <c r="D405" s="62" t="s">
        <v>2041</v>
      </c>
      <c r="E405" s="56" t="s">
        <v>173</v>
      </c>
      <c r="F405" s="61" t="s">
        <v>2042</v>
      </c>
      <c r="G405" s="57" t="str">
        <f t="shared" si="1"/>
        <v>21-Jan-2025</v>
      </c>
      <c r="H405" s="61" t="s">
        <v>37</v>
      </c>
      <c r="I405" s="61" t="s">
        <v>2038</v>
      </c>
      <c r="J405" s="27" t="str">
        <f t="shared" si="4"/>
        <v>11-Jul-2025</v>
      </c>
      <c r="K405" s="61" t="s">
        <v>2039</v>
      </c>
      <c r="L405" s="27" t="str">
        <f t="shared" si="5"/>
        <v>07-Feb-2025</v>
      </c>
      <c r="M405" s="63" t="s">
        <v>15</v>
      </c>
      <c r="N405" s="61" t="s">
        <v>177</v>
      </c>
      <c r="O405" s="27"/>
      <c r="P405" s="61">
        <v>0.0</v>
      </c>
      <c r="Q405" s="66" t="s">
        <v>2043</v>
      </c>
      <c r="R405" s="27" t="str">
        <f>IFERROR(__xludf.DUMMYFUNCTION("IF(REGEXMATCH(N405, ""PRIORITY: Low""), ""Low"", IF(REGEXMATCH(N405, ""PRIORITY: Medium""), ""Medium"", IF(REGEXMATCH(N405, ""PRIORITY: High""), ""High"", """")))
"),"")</f>
        <v/>
      </c>
      <c r="S405" s="27" t="str">
        <f>IFERROR(__xludf.DUMMYFUNCTION("IF(REGEXMATCH(N405, ""SKILL: Low""), ""Low"", IF(REGEXMATCH(N405, ""SKILL: Medium""), ""Medium"", IF(REGEXMATCH(N405, ""SKILL: High""), ""High"", """")))"),"")</f>
        <v/>
      </c>
      <c r="T405" s="27" t="str">
        <f>IFERROR(__xludf.DUMMYFUNCTION("IF(REGEXMATCH(N405, ""STATUS: Dev Complete - Awaiting QA""), ""Dev Complete - Awaiting QA"", IF(REGEXMATCH(N405, ""STATUS: Follow-Up Required""), ""Follow-Up Required"", IF(REGEXMATCH(N405, ""STATUS: In Progress""), ""In Progress"", IF(REGEXMATCH(N405, """&amp;"STATUS: In QA""), ""In QA"", IF(REGEXMATCH(N405, ""STATUS: Needs Customer Feedback""), ""Needs Customer Feedback"", IF(REGEXMATCH(N405, ""STATUS: QA Passed - Awaiting Release""), ""QA Passed - Awaiting Release"", IF(REGEXMATCH(N405, ""STATUS: Release to P"&amp;"rod""), ""Release to Prod"", """")))))))"),"")</f>
        <v/>
      </c>
    </row>
    <row r="406">
      <c r="A406" s="61" t="s">
        <v>45</v>
      </c>
      <c r="B406" s="12" t="s">
        <v>46</v>
      </c>
      <c r="C406" s="61">
        <v>237.0</v>
      </c>
      <c r="D406" s="62" t="s">
        <v>2044</v>
      </c>
      <c r="E406" s="56" t="s">
        <v>246</v>
      </c>
      <c r="F406" s="61" t="s">
        <v>2045</v>
      </c>
      <c r="G406" s="57" t="str">
        <f t="shared" si="1"/>
        <v>11-Sep-2025</v>
      </c>
      <c r="H406" s="61" t="s">
        <v>57</v>
      </c>
      <c r="I406" s="61" t="s">
        <v>2046</v>
      </c>
      <c r="J406" s="27" t="str">
        <f t="shared" si="4"/>
        <v>24-Sep-2025</v>
      </c>
      <c r="K406" s="27"/>
      <c r="L406" s="27" t="str">
        <f t="shared" si="5"/>
        <v/>
      </c>
      <c r="M406" s="63" t="s">
        <v>285</v>
      </c>
      <c r="N406" s="61" t="s">
        <v>2047</v>
      </c>
      <c r="O406" s="67" t="s">
        <v>41</v>
      </c>
      <c r="P406" s="61">
        <v>0.0</v>
      </c>
      <c r="Q406" s="66" t="s">
        <v>2048</v>
      </c>
      <c r="R406" s="27" t="str">
        <f>IFERROR(__xludf.DUMMYFUNCTION("IF(REGEXMATCH(N406, ""PRIORITY: Low""), ""Low"", IF(REGEXMATCH(N406, ""PRIORITY: Medium""), ""Medium"", IF(REGEXMATCH(N406, ""PRIORITY: High""), ""High"", """")))
"),"Medium")</f>
        <v>Medium</v>
      </c>
      <c r="S406" s="27" t="str">
        <f>IFERROR(__xludf.DUMMYFUNCTION("IF(REGEXMATCH(N406, ""SKILL: Low""), ""Low"", IF(REGEXMATCH(N406, ""SKILL: Medium""), ""Medium"", IF(REGEXMATCH(N406, ""SKILL: High""), ""High"", """")))"),"Medium")</f>
        <v>Medium</v>
      </c>
      <c r="T406" s="27" t="str">
        <f>IFERROR(__xludf.DUMMYFUNCTION("IF(REGEXMATCH(N406, ""STATUS: Dev Complete - Awaiting QA""), ""Dev Complete - Awaiting QA"", IF(REGEXMATCH(N406, ""STATUS: Follow-Up Required""), ""Follow-Up Required"", IF(REGEXMATCH(N406, ""STATUS: In Progress""), ""In Progress"", IF(REGEXMATCH(N406, """&amp;"STATUS: In QA""), ""In QA"", IF(REGEXMATCH(N406, ""STATUS: Needs Customer Feedback""), ""Needs Customer Feedback"", IF(REGEXMATCH(N406, ""STATUS: QA Passed - Awaiting Release""), ""QA Passed - Awaiting Release"", IF(REGEXMATCH(N406, ""STATUS: Release to P"&amp;"rod""), ""Release to Prod"", """")))))))"),"Follow-Up Required")</f>
        <v>Follow-Up Required</v>
      </c>
    </row>
    <row r="407">
      <c r="A407" s="61" t="s">
        <v>45</v>
      </c>
      <c r="B407" s="12" t="s">
        <v>46</v>
      </c>
      <c r="C407" s="61">
        <v>236.0</v>
      </c>
      <c r="D407" s="62" t="s">
        <v>2049</v>
      </c>
      <c r="E407" s="56" t="s">
        <v>246</v>
      </c>
      <c r="F407" s="61" t="s">
        <v>2050</v>
      </c>
      <c r="G407" s="57" t="str">
        <f t="shared" si="1"/>
        <v>10-Sep-2025</v>
      </c>
      <c r="H407" s="61" t="s">
        <v>57</v>
      </c>
      <c r="I407" s="61" t="s">
        <v>2051</v>
      </c>
      <c r="J407" s="27" t="str">
        <f t="shared" si="4"/>
        <v>24-Sep-2025</v>
      </c>
      <c r="K407" s="27"/>
      <c r="L407" s="27" t="str">
        <f t="shared" si="5"/>
        <v/>
      </c>
      <c r="M407" s="63" t="s">
        <v>291</v>
      </c>
      <c r="N407" s="61" t="s">
        <v>265</v>
      </c>
      <c r="O407" s="67" t="s">
        <v>41</v>
      </c>
      <c r="P407" s="61">
        <v>0.0</v>
      </c>
      <c r="Q407" s="66" t="s">
        <v>2052</v>
      </c>
      <c r="R407" s="27" t="str">
        <f>IFERROR(__xludf.DUMMYFUNCTION("IF(REGEXMATCH(N407, ""PRIORITY: Low""), ""Low"", IF(REGEXMATCH(N407, ""PRIORITY: Medium""), ""Medium"", IF(REGEXMATCH(N407, ""PRIORITY: High""), ""High"", """")))
"),"Medium")</f>
        <v>Medium</v>
      </c>
      <c r="S407" s="27" t="str">
        <f>IFERROR(__xludf.DUMMYFUNCTION("IF(REGEXMATCH(N407, ""SKILL: Low""), ""Low"", IF(REGEXMATCH(N407, ""SKILL: Medium""), ""Medium"", IF(REGEXMATCH(N407, ""SKILL: High""), ""High"", """")))"),"Medium")</f>
        <v>Medium</v>
      </c>
      <c r="T407" s="27" t="str">
        <f>IFERROR(__xludf.DUMMYFUNCTION("IF(REGEXMATCH(N407, ""STATUS: Dev Complete - Awaiting QA""), ""Dev Complete - Awaiting QA"", IF(REGEXMATCH(N407, ""STATUS: Follow-Up Required""), ""Follow-Up Required"", IF(REGEXMATCH(N407, ""STATUS: In Progress""), ""In Progress"", IF(REGEXMATCH(N407, """&amp;"STATUS: In QA""), ""In QA"", IF(REGEXMATCH(N407, ""STATUS: Needs Customer Feedback""), ""Needs Customer Feedback"", IF(REGEXMATCH(N407, ""STATUS: QA Passed - Awaiting Release""), ""QA Passed - Awaiting Release"", IF(REGEXMATCH(N407, ""STATUS: Release to P"&amp;"rod""), ""Release to Prod"", """")))))))"),"In Progress")</f>
        <v>In Progress</v>
      </c>
    </row>
    <row r="408" hidden="1">
      <c r="A408" s="61" t="s">
        <v>45</v>
      </c>
      <c r="B408" s="12" t="s">
        <v>46</v>
      </c>
      <c r="C408" s="61">
        <v>233.0</v>
      </c>
      <c r="D408" s="62" t="s">
        <v>2053</v>
      </c>
      <c r="E408" s="56" t="s">
        <v>173</v>
      </c>
      <c r="F408" s="61" t="s">
        <v>2054</v>
      </c>
      <c r="G408" s="57" t="str">
        <f t="shared" si="1"/>
        <v>29-Aug-2025</v>
      </c>
      <c r="H408" s="61" t="s">
        <v>98</v>
      </c>
      <c r="I408" s="61" t="s">
        <v>2055</v>
      </c>
      <c r="J408" s="27" t="str">
        <f t="shared" si="4"/>
        <v>19-Sep-2025</v>
      </c>
      <c r="K408" s="61" t="s">
        <v>2056</v>
      </c>
      <c r="L408" s="27" t="str">
        <f t="shared" si="5"/>
        <v>05-Sep-2025</v>
      </c>
      <c r="M408" s="63" t="s">
        <v>291</v>
      </c>
      <c r="N408" s="61" t="s">
        <v>2057</v>
      </c>
      <c r="O408" s="61" t="s">
        <v>2058</v>
      </c>
      <c r="P408" s="61">
        <v>9.0</v>
      </c>
      <c r="Q408" s="66" t="s">
        <v>2059</v>
      </c>
      <c r="R408" s="27" t="str">
        <f>IFERROR(__xludf.DUMMYFUNCTION("IF(REGEXMATCH(N408, ""PRIORITY: Low""), ""Low"", IF(REGEXMATCH(N408, ""PRIORITY: Medium""), ""Medium"", IF(REGEXMATCH(N408, ""PRIORITY: High""), ""High"", """")))
"),"")</f>
        <v/>
      </c>
      <c r="S408" s="27" t="str">
        <f>IFERROR(__xludf.DUMMYFUNCTION("IF(REGEXMATCH(N408, ""SKILL: Low""), ""Low"", IF(REGEXMATCH(N408, ""SKILL: Medium""), ""Medium"", IF(REGEXMATCH(N408, ""SKILL: High""), ""High"", """")))"),"")</f>
        <v/>
      </c>
      <c r="T408" s="27" t="str">
        <f>IFERROR(__xludf.DUMMYFUNCTION("IF(REGEXMATCH(N408, ""STATUS: Dev Complete - Awaiting QA""), ""Dev Complete - Awaiting QA"", IF(REGEXMATCH(N408, ""STATUS: Follow-Up Required""), ""Follow-Up Required"", IF(REGEXMATCH(N408, ""STATUS: In Progress""), ""In Progress"", IF(REGEXMATCH(N408, """&amp;"STATUS: In QA""), ""In QA"", IF(REGEXMATCH(N408, ""STATUS: Needs Customer Feedback""), ""Needs Customer Feedback"", IF(REGEXMATCH(N408, ""STATUS: QA Passed - Awaiting Release""), ""QA Passed - Awaiting Release"", IF(REGEXMATCH(N408, ""STATUS: Release to P"&amp;"rod""), ""Release to Prod"", """")))))))"),"Release to Prod")</f>
        <v>Release to Prod</v>
      </c>
    </row>
    <row r="409" hidden="1">
      <c r="A409" s="61" t="s">
        <v>45</v>
      </c>
      <c r="B409" s="12" t="s">
        <v>46</v>
      </c>
      <c r="C409" s="61">
        <v>232.0</v>
      </c>
      <c r="D409" s="62" t="s">
        <v>1899</v>
      </c>
      <c r="E409" s="56" t="s">
        <v>173</v>
      </c>
      <c r="F409" s="61" t="s">
        <v>2060</v>
      </c>
      <c r="G409" s="57" t="str">
        <f t="shared" si="1"/>
        <v>29-Aug-2025</v>
      </c>
      <c r="H409" s="61" t="s">
        <v>98</v>
      </c>
      <c r="I409" s="61" t="s">
        <v>2055</v>
      </c>
      <c r="J409" s="27" t="str">
        <f t="shared" si="4"/>
        <v>19-Sep-2025</v>
      </c>
      <c r="K409" s="61" t="s">
        <v>2061</v>
      </c>
      <c r="L409" s="27" t="str">
        <f t="shared" si="5"/>
        <v>02-Sep-2025</v>
      </c>
      <c r="M409" s="63" t="s">
        <v>15</v>
      </c>
      <c r="N409" s="61" t="s">
        <v>2062</v>
      </c>
      <c r="O409" s="61" t="s">
        <v>57</v>
      </c>
      <c r="P409" s="61">
        <v>2.0</v>
      </c>
      <c r="Q409" s="66" t="s">
        <v>2063</v>
      </c>
      <c r="R409" s="27" t="str">
        <f>IFERROR(__xludf.DUMMYFUNCTION("IF(REGEXMATCH(N409, ""PRIORITY: Low""), ""Low"", IF(REGEXMATCH(N409, ""PRIORITY: Medium""), ""Medium"", IF(REGEXMATCH(N409, ""PRIORITY: High""), ""High"", """")))
"),"High")</f>
        <v>High</v>
      </c>
      <c r="S409" s="27" t="str">
        <f>IFERROR(__xludf.DUMMYFUNCTION("IF(REGEXMATCH(N409, ""SKILL: Low""), ""Low"", IF(REGEXMATCH(N409, ""SKILL: Medium""), ""Medium"", IF(REGEXMATCH(N409, ""SKILL: High""), ""High"", """")))"),"Medium")</f>
        <v>Medium</v>
      </c>
      <c r="T409" s="27" t="str">
        <f>IFERROR(__xludf.DUMMYFUNCTION("IF(REGEXMATCH(N409, ""STATUS: Dev Complete - Awaiting QA""), ""Dev Complete - Awaiting QA"", IF(REGEXMATCH(N409, ""STATUS: Follow-Up Required""), ""Follow-Up Required"", IF(REGEXMATCH(N409, ""STATUS: In Progress""), ""In Progress"", IF(REGEXMATCH(N409, """&amp;"STATUS: In QA""), ""In QA"", IF(REGEXMATCH(N409, ""STATUS: Needs Customer Feedback""), ""Needs Customer Feedback"", IF(REGEXMATCH(N409, ""STATUS: QA Passed - Awaiting Release""), ""QA Passed - Awaiting Release"", IF(REGEXMATCH(N409, ""STATUS: Release to P"&amp;"rod""), ""Release to Prod"", """")))))))"),"Release to Prod")</f>
        <v>Release to Prod</v>
      </c>
    </row>
    <row r="410" hidden="1">
      <c r="A410" s="61" t="s">
        <v>45</v>
      </c>
      <c r="B410" s="12" t="s">
        <v>46</v>
      </c>
      <c r="C410" s="61">
        <v>219.0</v>
      </c>
      <c r="D410" s="62" t="s">
        <v>2064</v>
      </c>
      <c r="E410" s="56" t="s">
        <v>173</v>
      </c>
      <c r="F410" s="61" t="s">
        <v>2065</v>
      </c>
      <c r="G410" s="57" t="str">
        <f t="shared" si="1"/>
        <v>13-Aug-2025</v>
      </c>
      <c r="H410" s="61" t="s">
        <v>57</v>
      </c>
      <c r="I410" s="61" t="s">
        <v>2066</v>
      </c>
      <c r="J410" s="27" t="str">
        <f t="shared" si="4"/>
        <v>19-Sep-2025</v>
      </c>
      <c r="K410" s="61" t="s">
        <v>2067</v>
      </c>
      <c r="L410" s="27" t="str">
        <f t="shared" si="5"/>
        <v>05-Sep-2025</v>
      </c>
      <c r="M410" s="63" t="s">
        <v>291</v>
      </c>
      <c r="N410" s="61" t="s">
        <v>2068</v>
      </c>
      <c r="O410" s="27"/>
      <c r="P410" s="61">
        <v>4.0</v>
      </c>
      <c r="Q410" s="66" t="s">
        <v>2069</v>
      </c>
      <c r="R410" s="27" t="str">
        <f>IFERROR(__xludf.DUMMYFUNCTION("IF(REGEXMATCH(N410, ""PRIORITY: Low""), ""Low"", IF(REGEXMATCH(N410, ""PRIORITY: Medium""), ""Medium"", IF(REGEXMATCH(N410, ""PRIORITY: High""), ""High"", """")))
"),"Medium")</f>
        <v>Medium</v>
      </c>
      <c r="S410" s="27" t="str">
        <f>IFERROR(__xludf.DUMMYFUNCTION("IF(REGEXMATCH(N410, ""SKILL: Low""), ""Low"", IF(REGEXMATCH(N410, ""SKILL: Medium""), ""Medium"", IF(REGEXMATCH(N410, ""SKILL: High""), ""High"", """")))"),"Low")</f>
        <v>Low</v>
      </c>
      <c r="T410" s="27" t="str">
        <f>IFERROR(__xludf.DUMMYFUNCTION("IF(REGEXMATCH(N410, ""STATUS: Dev Complete - Awaiting QA""), ""Dev Complete - Awaiting QA"", IF(REGEXMATCH(N410, ""STATUS: Follow-Up Required""), ""Follow-Up Required"", IF(REGEXMATCH(N410, ""STATUS: In Progress""), ""In Progress"", IF(REGEXMATCH(N410, """&amp;"STATUS: In QA""), ""In QA"", IF(REGEXMATCH(N410, ""STATUS: Needs Customer Feedback""), ""Needs Customer Feedback"", IF(REGEXMATCH(N410, ""STATUS: QA Passed - Awaiting Release""), ""QA Passed - Awaiting Release"", IF(REGEXMATCH(N410, ""STATUS: Release to P"&amp;"rod""), ""Release to Prod"", """")))))))"),"Release to Prod")</f>
        <v>Release to Prod</v>
      </c>
    </row>
    <row r="411">
      <c r="A411" s="61" t="s">
        <v>45</v>
      </c>
      <c r="B411" s="12" t="s">
        <v>46</v>
      </c>
      <c r="C411" s="61">
        <v>218.0</v>
      </c>
      <c r="D411" s="62" t="s">
        <v>2070</v>
      </c>
      <c r="E411" s="56" t="s">
        <v>246</v>
      </c>
      <c r="F411" s="61" t="s">
        <v>2071</v>
      </c>
      <c r="G411" s="57" t="str">
        <f t="shared" si="1"/>
        <v>09-Aug-2025</v>
      </c>
      <c r="H411" s="61" t="s">
        <v>37</v>
      </c>
      <c r="I411" s="61" t="s">
        <v>2072</v>
      </c>
      <c r="J411" s="27" t="str">
        <f t="shared" si="4"/>
        <v>11-Sep-2025</v>
      </c>
      <c r="K411" s="27"/>
      <c r="L411" s="27" t="str">
        <f t="shared" si="5"/>
        <v/>
      </c>
      <c r="M411" s="63" t="s">
        <v>285</v>
      </c>
      <c r="N411" s="61" t="s">
        <v>690</v>
      </c>
      <c r="O411" s="67" t="s">
        <v>37</v>
      </c>
      <c r="P411" s="61">
        <v>2.0</v>
      </c>
      <c r="Q411" s="66" t="s">
        <v>2073</v>
      </c>
      <c r="R411" s="27" t="str">
        <f>IFERROR(__xludf.DUMMYFUNCTION("IF(REGEXMATCH(N411, ""PRIORITY: Low""), ""Low"", IF(REGEXMATCH(N411, ""PRIORITY: Medium""), ""Medium"", IF(REGEXMATCH(N411, ""PRIORITY: High""), ""High"", """")))
"),"Low")</f>
        <v>Low</v>
      </c>
      <c r="S411" s="27" t="str">
        <f>IFERROR(__xludf.DUMMYFUNCTION("IF(REGEXMATCH(N411, ""SKILL: Low""), ""Low"", IF(REGEXMATCH(N411, ""SKILL: Medium""), ""Medium"", IF(REGEXMATCH(N411, ""SKILL: High""), ""High"", """")))"),"Medium")</f>
        <v>Medium</v>
      </c>
      <c r="T411" s="27" t="str">
        <f>IFERROR(__xludf.DUMMYFUNCTION("IF(REGEXMATCH(N411, ""STATUS: Dev Complete - Awaiting QA""), ""Dev Complete - Awaiting QA"", IF(REGEXMATCH(N411, ""STATUS: Follow-Up Required""), ""Follow-Up Required"", IF(REGEXMATCH(N411, ""STATUS: In Progress""), ""In Progress"", IF(REGEXMATCH(N411, """&amp;"STATUS: In QA""), ""In QA"", IF(REGEXMATCH(N411, ""STATUS: Needs Customer Feedback""), ""Needs Customer Feedback"", IF(REGEXMATCH(N411, ""STATUS: QA Passed - Awaiting Release""), ""QA Passed - Awaiting Release"", IF(REGEXMATCH(N411, ""STATUS: Release to P"&amp;"rod""), ""Release to Prod"", """")))))))"),"Follow-Up Required")</f>
        <v>Follow-Up Required</v>
      </c>
    </row>
    <row r="412" hidden="1">
      <c r="A412" s="61" t="s">
        <v>45</v>
      </c>
      <c r="B412" s="12" t="s">
        <v>46</v>
      </c>
      <c r="C412" s="61">
        <v>214.0</v>
      </c>
      <c r="D412" s="62" t="s">
        <v>2074</v>
      </c>
      <c r="E412" s="56" t="s">
        <v>173</v>
      </c>
      <c r="F412" s="61" t="s">
        <v>2075</v>
      </c>
      <c r="G412" s="57" t="str">
        <f t="shared" si="1"/>
        <v>10-Jul-2025</v>
      </c>
      <c r="H412" s="61" t="s">
        <v>57</v>
      </c>
      <c r="I412" s="61" t="s">
        <v>2076</v>
      </c>
      <c r="J412" s="27" t="str">
        <f t="shared" si="4"/>
        <v>19-Sep-2025</v>
      </c>
      <c r="K412" s="61" t="s">
        <v>2077</v>
      </c>
      <c r="L412" s="27" t="str">
        <f t="shared" si="5"/>
        <v>28-Jul-2025</v>
      </c>
      <c r="M412" s="63" t="s">
        <v>285</v>
      </c>
      <c r="N412" s="61" t="s">
        <v>2078</v>
      </c>
      <c r="O412" s="61" t="s">
        <v>1913</v>
      </c>
      <c r="P412" s="61">
        <v>1.0</v>
      </c>
      <c r="Q412" s="66" t="s">
        <v>2079</v>
      </c>
      <c r="R412" s="27" t="str">
        <f>IFERROR(__xludf.DUMMYFUNCTION("IF(REGEXMATCH(N412, ""PRIORITY: Low""), ""Low"", IF(REGEXMATCH(N412, ""PRIORITY: Medium""), ""Medium"", IF(REGEXMATCH(N412, ""PRIORITY: High""), ""High"", """")))
"),"High")</f>
        <v>High</v>
      </c>
      <c r="S412" s="27" t="str">
        <f>IFERROR(__xludf.DUMMYFUNCTION("IF(REGEXMATCH(N412, ""SKILL: Low""), ""Low"", IF(REGEXMATCH(N412, ""SKILL: Medium""), ""Medium"", IF(REGEXMATCH(N412, ""SKILL: High""), ""High"", """")))"),"Medium")</f>
        <v>Medium</v>
      </c>
      <c r="T412" s="27" t="str">
        <f>IFERROR(__xludf.DUMMYFUNCTION("IF(REGEXMATCH(N412, ""STATUS: Dev Complete - Awaiting QA""), ""Dev Complete - Awaiting QA"", IF(REGEXMATCH(N412, ""STATUS: Follow-Up Required""), ""Follow-Up Required"", IF(REGEXMATCH(N412, ""STATUS: In Progress""), ""In Progress"", IF(REGEXMATCH(N412, """&amp;"STATUS: In QA""), ""In QA"", IF(REGEXMATCH(N412, ""STATUS: Needs Customer Feedback""), ""Needs Customer Feedback"", IF(REGEXMATCH(N412, ""STATUS: QA Passed - Awaiting Release""), ""QA Passed - Awaiting Release"", IF(REGEXMATCH(N412, ""STATUS: Release to P"&amp;"rod""), ""Release to Prod"", """")))))))"),"Dev Complete - Awaiting QA")</f>
        <v>Dev Complete - Awaiting QA</v>
      </c>
    </row>
    <row r="413" hidden="1">
      <c r="A413" s="61" t="s">
        <v>45</v>
      </c>
      <c r="B413" s="12" t="s">
        <v>46</v>
      </c>
      <c r="C413" s="61">
        <v>213.0</v>
      </c>
      <c r="D413" s="62" t="s">
        <v>2080</v>
      </c>
      <c r="E413" s="56" t="s">
        <v>173</v>
      </c>
      <c r="F413" s="61" t="s">
        <v>2081</v>
      </c>
      <c r="G413" s="57" t="str">
        <f t="shared" si="1"/>
        <v>10-Jul-2025</v>
      </c>
      <c r="H413" s="61" t="s">
        <v>57</v>
      </c>
      <c r="I413" s="61" t="s">
        <v>2082</v>
      </c>
      <c r="J413" s="27" t="str">
        <f t="shared" si="4"/>
        <v>05-Sep-2025</v>
      </c>
      <c r="K413" s="61" t="s">
        <v>2082</v>
      </c>
      <c r="L413" s="27" t="str">
        <f t="shared" si="5"/>
        <v>05-Sep-2025</v>
      </c>
      <c r="M413" s="63" t="s">
        <v>285</v>
      </c>
      <c r="N413" s="61" t="s">
        <v>2083</v>
      </c>
      <c r="O413" s="61" t="s">
        <v>57</v>
      </c>
      <c r="P413" s="61">
        <v>7.0</v>
      </c>
      <c r="Q413" s="66" t="s">
        <v>2084</v>
      </c>
      <c r="R413" s="27" t="str">
        <f>IFERROR(__xludf.DUMMYFUNCTION("IF(REGEXMATCH(N413, ""PRIORITY: Low""), ""Low"", IF(REGEXMATCH(N413, ""PRIORITY: Medium""), ""Medium"", IF(REGEXMATCH(N413, ""PRIORITY: High""), ""High"", """")))
"),"High")</f>
        <v>High</v>
      </c>
      <c r="S413" s="27" t="str">
        <f>IFERROR(__xludf.DUMMYFUNCTION("IF(REGEXMATCH(N413, ""SKILL: Low""), ""Low"", IF(REGEXMATCH(N413, ""SKILL: Medium""), ""Medium"", IF(REGEXMATCH(N413, ""SKILL: High""), ""High"", """")))"),"Low")</f>
        <v>Low</v>
      </c>
      <c r="T413" s="27" t="str">
        <f>IFERROR(__xludf.DUMMYFUNCTION("IF(REGEXMATCH(N413, ""STATUS: Dev Complete - Awaiting QA""), ""Dev Complete - Awaiting QA"", IF(REGEXMATCH(N413, ""STATUS: Follow-Up Required""), ""Follow-Up Required"", IF(REGEXMATCH(N413, ""STATUS: In Progress""), ""In Progress"", IF(REGEXMATCH(N413, """&amp;"STATUS: In QA""), ""In QA"", IF(REGEXMATCH(N413, ""STATUS: Needs Customer Feedback""), ""Needs Customer Feedback"", IF(REGEXMATCH(N413, ""STATUS: QA Passed - Awaiting Release""), ""QA Passed - Awaiting Release"", IF(REGEXMATCH(N413, ""STATUS: Release to P"&amp;"rod""), ""Release to Prod"", """")))))))"),"Release to Prod")</f>
        <v>Release to Prod</v>
      </c>
    </row>
    <row r="414">
      <c r="A414" s="61" t="s">
        <v>45</v>
      </c>
      <c r="B414" s="12" t="s">
        <v>46</v>
      </c>
      <c r="C414" s="61">
        <v>212.0</v>
      </c>
      <c r="D414" s="62" t="s">
        <v>2085</v>
      </c>
      <c r="E414" s="56" t="s">
        <v>246</v>
      </c>
      <c r="F414" s="61" t="s">
        <v>2086</v>
      </c>
      <c r="G414" s="57" t="str">
        <f t="shared" si="1"/>
        <v>07-Jul-2025</v>
      </c>
      <c r="H414" s="61" t="s">
        <v>57</v>
      </c>
      <c r="I414" s="61" t="s">
        <v>2087</v>
      </c>
      <c r="J414" s="27" t="str">
        <f t="shared" si="4"/>
        <v>03-Dec-2025</v>
      </c>
      <c r="K414" s="27"/>
      <c r="L414" s="27" t="str">
        <f t="shared" si="5"/>
        <v/>
      </c>
      <c r="M414" s="63" t="s">
        <v>249</v>
      </c>
      <c r="N414" s="61" t="s">
        <v>302</v>
      </c>
      <c r="O414" s="67" t="s">
        <v>41</v>
      </c>
      <c r="P414" s="61">
        <v>0.0</v>
      </c>
      <c r="Q414" s="66" t="s">
        <v>2088</v>
      </c>
      <c r="R414" s="27" t="str">
        <f>IFERROR(__xludf.DUMMYFUNCTION("IF(REGEXMATCH(N414, ""PRIORITY: Low""), ""Low"", IF(REGEXMATCH(N414, ""PRIORITY: Medium""), ""Medium"", IF(REGEXMATCH(N414, ""PRIORITY: High""), ""High"", """")))
"),"Low")</f>
        <v>Low</v>
      </c>
      <c r="S414" s="27" t="str">
        <f>IFERROR(__xludf.DUMMYFUNCTION("IF(REGEXMATCH(N414, ""SKILL: Low""), ""Low"", IF(REGEXMATCH(N414, ""SKILL: Medium""), ""Medium"", IF(REGEXMATCH(N414, ""SKILL: High""), ""High"", """")))"),"Low")</f>
        <v>Low</v>
      </c>
      <c r="T414" s="27" t="str">
        <f>IFERROR(__xludf.DUMMYFUNCTION("IF(REGEXMATCH(N414, ""STATUS: Dev Complete - Awaiting QA""), ""Dev Complete - Awaiting QA"", IF(REGEXMATCH(N414, ""STATUS: Follow-Up Required""), ""Follow-Up Required"", IF(REGEXMATCH(N414, ""STATUS: In Progress""), ""In Progress"", IF(REGEXMATCH(N414, """&amp;"STATUS: In QA""), ""In QA"", IF(REGEXMATCH(N414, ""STATUS: Needs Customer Feedback""), ""Needs Customer Feedback"", IF(REGEXMATCH(N414, ""STATUS: QA Passed - Awaiting Release""), ""QA Passed - Awaiting Release"", IF(REGEXMATCH(N414, ""STATUS: Release to P"&amp;"rod""), ""Release to Prod"", """")))))))"),"")</f>
        <v/>
      </c>
    </row>
    <row r="415">
      <c r="A415" s="61" t="s">
        <v>45</v>
      </c>
      <c r="B415" s="12" t="s">
        <v>46</v>
      </c>
      <c r="C415" s="61">
        <v>211.0</v>
      </c>
      <c r="D415" s="62" t="s">
        <v>2089</v>
      </c>
      <c r="E415" s="56" t="s">
        <v>246</v>
      </c>
      <c r="F415" s="61" t="s">
        <v>2090</v>
      </c>
      <c r="G415" s="57" t="str">
        <f t="shared" si="1"/>
        <v>27-Jun-2025</v>
      </c>
      <c r="H415" s="61" t="s">
        <v>57</v>
      </c>
      <c r="I415" s="61" t="s">
        <v>2091</v>
      </c>
      <c r="J415" s="27" t="str">
        <f t="shared" si="4"/>
        <v>31-Jul-2025</v>
      </c>
      <c r="K415" s="27"/>
      <c r="L415" s="27" t="str">
        <f t="shared" si="5"/>
        <v/>
      </c>
      <c r="M415" s="63" t="s">
        <v>249</v>
      </c>
      <c r="N415" s="61" t="s">
        <v>522</v>
      </c>
      <c r="O415" s="67" t="s">
        <v>37</v>
      </c>
      <c r="P415" s="61">
        <v>0.0</v>
      </c>
      <c r="Q415" s="66" t="s">
        <v>2092</v>
      </c>
      <c r="R415" s="27" t="str">
        <f>IFERROR(__xludf.DUMMYFUNCTION("IF(REGEXMATCH(N415, ""PRIORITY: Low""), ""Low"", IF(REGEXMATCH(N415, ""PRIORITY: Medium""), ""Medium"", IF(REGEXMATCH(N415, ""PRIORITY: High""), ""High"", """")))
"),"Low")</f>
        <v>Low</v>
      </c>
      <c r="S415" s="27" t="str">
        <f>IFERROR(__xludf.DUMMYFUNCTION("IF(REGEXMATCH(N415, ""SKILL: Low""), ""Low"", IF(REGEXMATCH(N415, ""SKILL: Medium""), ""Medium"", IF(REGEXMATCH(N415, ""SKILL: High""), ""High"", """")))"),"Medium")</f>
        <v>Medium</v>
      </c>
      <c r="T415" s="27" t="str">
        <f>IFERROR(__xludf.DUMMYFUNCTION("IF(REGEXMATCH(N415, ""STATUS: Dev Complete - Awaiting QA""), ""Dev Complete - Awaiting QA"", IF(REGEXMATCH(N415, ""STATUS: Follow-Up Required""), ""Follow-Up Required"", IF(REGEXMATCH(N415, ""STATUS: In Progress""), ""In Progress"", IF(REGEXMATCH(N415, """&amp;"STATUS: In QA""), ""In QA"", IF(REGEXMATCH(N415, ""STATUS: Needs Customer Feedback""), ""Needs Customer Feedback"", IF(REGEXMATCH(N415, ""STATUS: QA Passed - Awaiting Release""), ""QA Passed - Awaiting Release"", IF(REGEXMATCH(N415, ""STATUS: Release to P"&amp;"rod""), ""Release to Prod"", """")))))))"),"")</f>
        <v/>
      </c>
    </row>
    <row r="416" hidden="1">
      <c r="A416" s="61" t="s">
        <v>45</v>
      </c>
      <c r="B416" s="12" t="s">
        <v>46</v>
      </c>
      <c r="C416" s="61">
        <v>206.0</v>
      </c>
      <c r="D416" s="62" t="s">
        <v>2093</v>
      </c>
      <c r="E416" s="56" t="s">
        <v>173</v>
      </c>
      <c r="F416" s="61" t="s">
        <v>2094</v>
      </c>
      <c r="G416" s="57" t="str">
        <f t="shared" si="1"/>
        <v>13-Jun-2025</v>
      </c>
      <c r="H416" s="61" t="s">
        <v>57</v>
      </c>
      <c r="I416" s="61" t="s">
        <v>2095</v>
      </c>
      <c r="J416" s="27" t="str">
        <f t="shared" si="4"/>
        <v>19-Sep-2025</v>
      </c>
      <c r="K416" s="61" t="s">
        <v>2096</v>
      </c>
      <c r="L416" s="27" t="str">
        <f t="shared" si="5"/>
        <v>31-Jul-2025</v>
      </c>
      <c r="M416" s="63" t="s">
        <v>249</v>
      </c>
      <c r="N416" s="61" t="s">
        <v>2097</v>
      </c>
      <c r="O416" s="61" t="s">
        <v>2098</v>
      </c>
      <c r="P416" s="61">
        <v>2.0</v>
      </c>
      <c r="Q416" s="66" t="s">
        <v>2099</v>
      </c>
      <c r="R416" s="27" t="str">
        <f>IFERROR(__xludf.DUMMYFUNCTION("IF(REGEXMATCH(N416, ""PRIORITY: Low""), ""Low"", IF(REGEXMATCH(N416, ""PRIORITY: Medium""), ""Medium"", IF(REGEXMATCH(N416, ""PRIORITY: High""), ""High"", """")))
"),"Medium")</f>
        <v>Medium</v>
      </c>
      <c r="S416" s="27" t="str">
        <f>IFERROR(__xludf.DUMMYFUNCTION("IF(REGEXMATCH(N416, ""SKILL: Low""), ""Low"", IF(REGEXMATCH(N416, ""SKILL: Medium""), ""Medium"", IF(REGEXMATCH(N416, ""SKILL: High""), ""High"", """")))"),"High")</f>
        <v>High</v>
      </c>
      <c r="T416" s="27" t="str">
        <f>IFERROR(__xludf.DUMMYFUNCTION("IF(REGEXMATCH(N416, ""STATUS: Dev Complete - Awaiting QA""), ""Dev Complete - Awaiting QA"", IF(REGEXMATCH(N416, ""STATUS: Follow-Up Required""), ""Follow-Up Required"", IF(REGEXMATCH(N416, ""STATUS: In Progress""), ""In Progress"", IF(REGEXMATCH(N416, """&amp;"STATUS: In QA""), ""In QA"", IF(REGEXMATCH(N416, ""STATUS: Needs Customer Feedback""), ""Needs Customer Feedback"", IF(REGEXMATCH(N416, ""STATUS: QA Passed - Awaiting Release""), ""QA Passed - Awaiting Release"", IF(REGEXMATCH(N416, ""STATUS: Release to P"&amp;"rod""), ""Release to Prod"", """")))))))"),"In Progress")</f>
        <v>In Progress</v>
      </c>
    </row>
    <row r="417" hidden="1">
      <c r="A417" s="61" t="s">
        <v>45</v>
      </c>
      <c r="B417" s="12" t="s">
        <v>46</v>
      </c>
      <c r="C417" s="61">
        <v>205.0</v>
      </c>
      <c r="D417" s="62" t="s">
        <v>2100</v>
      </c>
      <c r="E417" s="56" t="s">
        <v>173</v>
      </c>
      <c r="F417" s="61" t="s">
        <v>2101</v>
      </c>
      <c r="G417" s="57" t="str">
        <f t="shared" si="1"/>
        <v>11-Jun-2025</v>
      </c>
      <c r="H417" s="61" t="s">
        <v>57</v>
      </c>
      <c r="I417" s="61" t="s">
        <v>2102</v>
      </c>
      <c r="J417" s="27" t="str">
        <f t="shared" si="4"/>
        <v>11-Jul-2025</v>
      </c>
      <c r="K417" s="61" t="s">
        <v>2103</v>
      </c>
      <c r="L417" s="27" t="str">
        <f t="shared" si="5"/>
        <v>27-Jun-2025</v>
      </c>
      <c r="M417" s="63" t="s">
        <v>285</v>
      </c>
      <c r="N417" s="61" t="s">
        <v>177</v>
      </c>
      <c r="O417" s="61" t="s">
        <v>57</v>
      </c>
      <c r="P417" s="61">
        <v>2.0</v>
      </c>
      <c r="Q417" s="66" t="s">
        <v>2104</v>
      </c>
      <c r="R417" s="27" t="str">
        <f>IFERROR(__xludf.DUMMYFUNCTION("IF(REGEXMATCH(N417, ""PRIORITY: Low""), ""Low"", IF(REGEXMATCH(N417, ""PRIORITY: Medium""), ""Medium"", IF(REGEXMATCH(N417, ""PRIORITY: High""), ""High"", """")))
"),"")</f>
        <v/>
      </c>
      <c r="S417" s="27" t="str">
        <f>IFERROR(__xludf.DUMMYFUNCTION("IF(REGEXMATCH(N417, ""SKILL: Low""), ""Low"", IF(REGEXMATCH(N417, ""SKILL: Medium""), ""Medium"", IF(REGEXMATCH(N417, ""SKILL: High""), ""High"", """")))"),"")</f>
        <v/>
      </c>
      <c r="T417" s="27" t="str">
        <f>IFERROR(__xludf.DUMMYFUNCTION("IF(REGEXMATCH(N417, ""STATUS: Dev Complete - Awaiting QA""), ""Dev Complete - Awaiting QA"", IF(REGEXMATCH(N417, ""STATUS: Follow-Up Required""), ""Follow-Up Required"", IF(REGEXMATCH(N417, ""STATUS: In Progress""), ""In Progress"", IF(REGEXMATCH(N417, """&amp;"STATUS: In QA""), ""In QA"", IF(REGEXMATCH(N417, ""STATUS: Needs Customer Feedback""), ""Needs Customer Feedback"", IF(REGEXMATCH(N417, ""STATUS: QA Passed - Awaiting Release""), ""QA Passed - Awaiting Release"", IF(REGEXMATCH(N417, ""STATUS: Release to P"&amp;"rod""), ""Release to Prod"", """")))))))"),"")</f>
        <v/>
      </c>
    </row>
    <row r="418" hidden="1">
      <c r="A418" s="61" t="s">
        <v>45</v>
      </c>
      <c r="B418" s="12" t="s">
        <v>46</v>
      </c>
      <c r="C418" s="61">
        <v>204.0</v>
      </c>
      <c r="D418" s="62" t="s">
        <v>2105</v>
      </c>
      <c r="E418" s="56" t="s">
        <v>173</v>
      </c>
      <c r="F418" s="61" t="s">
        <v>2106</v>
      </c>
      <c r="G418" s="57" t="str">
        <f t="shared" si="1"/>
        <v>11-Jun-2025</v>
      </c>
      <c r="H418" s="61" t="s">
        <v>57</v>
      </c>
      <c r="I418" s="61" t="s">
        <v>2107</v>
      </c>
      <c r="J418" s="27" t="str">
        <f t="shared" si="4"/>
        <v>11-Jul-2025</v>
      </c>
      <c r="K418" s="61" t="s">
        <v>2108</v>
      </c>
      <c r="L418" s="27" t="str">
        <f t="shared" si="5"/>
        <v>27-Jun-2025</v>
      </c>
      <c r="M418" s="63" t="s">
        <v>285</v>
      </c>
      <c r="N418" s="61" t="s">
        <v>177</v>
      </c>
      <c r="O418" s="61" t="s">
        <v>57</v>
      </c>
      <c r="P418" s="61">
        <v>3.0</v>
      </c>
      <c r="Q418" s="66" t="s">
        <v>2109</v>
      </c>
      <c r="R418" s="27" t="str">
        <f>IFERROR(__xludf.DUMMYFUNCTION("IF(REGEXMATCH(N418, ""PRIORITY: Low""), ""Low"", IF(REGEXMATCH(N418, ""PRIORITY: Medium""), ""Medium"", IF(REGEXMATCH(N418, ""PRIORITY: High""), ""High"", """")))
"),"")</f>
        <v/>
      </c>
      <c r="S418" s="27" t="str">
        <f>IFERROR(__xludf.DUMMYFUNCTION("IF(REGEXMATCH(N418, ""SKILL: Low""), ""Low"", IF(REGEXMATCH(N418, ""SKILL: Medium""), ""Medium"", IF(REGEXMATCH(N418, ""SKILL: High""), ""High"", """")))"),"")</f>
        <v/>
      </c>
      <c r="T418" s="27" t="str">
        <f>IFERROR(__xludf.DUMMYFUNCTION("IF(REGEXMATCH(N418, ""STATUS: Dev Complete - Awaiting QA""), ""Dev Complete - Awaiting QA"", IF(REGEXMATCH(N418, ""STATUS: Follow-Up Required""), ""Follow-Up Required"", IF(REGEXMATCH(N418, ""STATUS: In Progress""), ""In Progress"", IF(REGEXMATCH(N418, """&amp;"STATUS: In QA""), ""In QA"", IF(REGEXMATCH(N418, ""STATUS: Needs Customer Feedback""), ""Needs Customer Feedback"", IF(REGEXMATCH(N418, ""STATUS: QA Passed - Awaiting Release""), ""QA Passed - Awaiting Release"", IF(REGEXMATCH(N418, ""STATUS: Release to P"&amp;"rod""), ""Release to Prod"", """")))))))"),"")</f>
        <v/>
      </c>
    </row>
    <row r="419">
      <c r="A419" s="61" t="s">
        <v>45</v>
      </c>
      <c r="B419" s="12" t="s">
        <v>46</v>
      </c>
      <c r="C419" s="61">
        <v>203.0</v>
      </c>
      <c r="D419" s="62" t="s">
        <v>2110</v>
      </c>
      <c r="E419" s="56" t="s">
        <v>246</v>
      </c>
      <c r="F419" s="61" t="s">
        <v>2111</v>
      </c>
      <c r="G419" s="57" t="str">
        <f t="shared" si="1"/>
        <v>11-Jun-2025</v>
      </c>
      <c r="H419" s="61" t="s">
        <v>57</v>
      </c>
      <c r="I419" s="61" t="s">
        <v>2112</v>
      </c>
      <c r="J419" s="27" t="str">
        <f t="shared" si="4"/>
        <v>24-Sep-2025</v>
      </c>
      <c r="K419" s="27"/>
      <c r="L419" s="27" t="str">
        <f t="shared" si="5"/>
        <v/>
      </c>
      <c r="M419" s="63" t="s">
        <v>249</v>
      </c>
      <c r="N419" s="61" t="s">
        <v>302</v>
      </c>
      <c r="O419" s="67" t="s">
        <v>41</v>
      </c>
      <c r="P419" s="61">
        <v>2.0</v>
      </c>
      <c r="Q419" s="66" t="s">
        <v>2113</v>
      </c>
      <c r="R419" s="27" t="str">
        <f>IFERROR(__xludf.DUMMYFUNCTION("IF(REGEXMATCH(N419, ""PRIORITY: Low""), ""Low"", IF(REGEXMATCH(N419, ""PRIORITY: Medium""), ""Medium"", IF(REGEXMATCH(N419, ""PRIORITY: High""), ""High"", """")))
"),"Low")</f>
        <v>Low</v>
      </c>
      <c r="S419" s="27" t="str">
        <f>IFERROR(__xludf.DUMMYFUNCTION("IF(REGEXMATCH(N419, ""SKILL: Low""), ""Low"", IF(REGEXMATCH(N419, ""SKILL: Medium""), ""Medium"", IF(REGEXMATCH(N419, ""SKILL: High""), ""High"", """")))"),"Low")</f>
        <v>Low</v>
      </c>
      <c r="T419" s="27" t="str">
        <f>IFERROR(__xludf.DUMMYFUNCTION("IF(REGEXMATCH(N419, ""STATUS: Dev Complete - Awaiting QA""), ""Dev Complete - Awaiting QA"", IF(REGEXMATCH(N419, ""STATUS: Follow-Up Required""), ""Follow-Up Required"", IF(REGEXMATCH(N419, ""STATUS: In Progress""), ""In Progress"", IF(REGEXMATCH(N419, """&amp;"STATUS: In QA""), ""In QA"", IF(REGEXMATCH(N419, ""STATUS: Needs Customer Feedback""), ""Needs Customer Feedback"", IF(REGEXMATCH(N419, ""STATUS: QA Passed - Awaiting Release""), ""QA Passed - Awaiting Release"", IF(REGEXMATCH(N419, ""STATUS: Release to P"&amp;"rod""), ""Release to Prod"", """")))))))"),"")</f>
        <v/>
      </c>
    </row>
    <row r="420">
      <c r="A420" s="61" t="s">
        <v>45</v>
      </c>
      <c r="B420" s="12" t="s">
        <v>46</v>
      </c>
      <c r="C420" s="61">
        <v>202.0</v>
      </c>
      <c r="D420" s="62" t="s">
        <v>2114</v>
      </c>
      <c r="E420" s="56" t="s">
        <v>246</v>
      </c>
      <c r="F420" s="61" t="s">
        <v>2115</v>
      </c>
      <c r="G420" s="57" t="str">
        <f t="shared" si="1"/>
        <v>10-Jun-2025</v>
      </c>
      <c r="H420" s="61" t="s">
        <v>57</v>
      </c>
      <c r="I420" s="61" t="s">
        <v>2116</v>
      </c>
      <c r="J420" s="27" t="str">
        <f t="shared" si="4"/>
        <v>03-Sep-2025</v>
      </c>
      <c r="K420" s="27"/>
      <c r="L420" s="27" t="str">
        <f t="shared" si="5"/>
        <v/>
      </c>
      <c r="M420" s="63" t="s">
        <v>285</v>
      </c>
      <c r="N420" s="61" t="s">
        <v>2117</v>
      </c>
      <c r="O420" s="67" t="s">
        <v>37</v>
      </c>
      <c r="P420" s="61">
        <v>6.0</v>
      </c>
      <c r="Q420" s="66" t="s">
        <v>2118</v>
      </c>
      <c r="R420" s="27" t="str">
        <f>IFERROR(__xludf.DUMMYFUNCTION("IF(REGEXMATCH(N420, ""PRIORITY: Low""), ""Low"", IF(REGEXMATCH(N420, ""PRIORITY: Medium""), ""Medium"", IF(REGEXMATCH(N420, ""PRIORITY: High""), ""High"", """")))
"),"High")</f>
        <v>High</v>
      </c>
      <c r="S420" s="27" t="str">
        <f>IFERROR(__xludf.DUMMYFUNCTION("IF(REGEXMATCH(N420, ""SKILL: Low""), ""Low"", IF(REGEXMATCH(N420, ""SKILL: Medium""), ""Medium"", IF(REGEXMATCH(N420, ""SKILL: High""), ""High"", """")))"),"Low")</f>
        <v>Low</v>
      </c>
      <c r="T420" s="27" t="str">
        <f>IFERROR(__xludf.DUMMYFUNCTION("IF(REGEXMATCH(N420, ""STATUS: Dev Complete - Awaiting QA""), ""Dev Complete - Awaiting QA"", IF(REGEXMATCH(N420, ""STATUS: Follow-Up Required""), ""Follow-Up Required"", IF(REGEXMATCH(N420, ""STATUS: In Progress""), ""In Progress"", IF(REGEXMATCH(N420, """&amp;"STATUS: In QA""), ""In QA"", IF(REGEXMATCH(N420, ""STATUS: Needs Customer Feedback""), ""Needs Customer Feedback"", IF(REGEXMATCH(N420, ""STATUS: QA Passed - Awaiting Release""), ""QA Passed - Awaiting Release"", IF(REGEXMATCH(N420, ""STATUS: Release to P"&amp;"rod""), ""Release to Prod"", """")))))))"),"Follow-Up Required")</f>
        <v>Follow-Up Required</v>
      </c>
    </row>
    <row r="421">
      <c r="A421" s="61" t="s">
        <v>45</v>
      </c>
      <c r="B421" s="12" t="s">
        <v>46</v>
      </c>
      <c r="C421" s="61">
        <v>201.0</v>
      </c>
      <c r="D421" s="62" t="s">
        <v>2119</v>
      </c>
      <c r="E421" s="56" t="s">
        <v>246</v>
      </c>
      <c r="F421" s="61" t="s">
        <v>2120</v>
      </c>
      <c r="G421" s="57" t="str">
        <f t="shared" si="1"/>
        <v>09-Jun-2025</v>
      </c>
      <c r="H421" s="61" t="s">
        <v>37</v>
      </c>
      <c r="I421" s="61" t="s">
        <v>2121</v>
      </c>
      <c r="J421" s="27" t="str">
        <f t="shared" si="4"/>
        <v>31-Jul-2025</v>
      </c>
      <c r="K421" s="27"/>
      <c r="L421" s="27" t="str">
        <f t="shared" si="5"/>
        <v/>
      </c>
      <c r="M421" s="63" t="s">
        <v>249</v>
      </c>
      <c r="N421" s="61" t="s">
        <v>1966</v>
      </c>
      <c r="O421" s="67" t="s">
        <v>37</v>
      </c>
      <c r="P421" s="61">
        <v>1.0</v>
      </c>
      <c r="Q421" s="66" t="s">
        <v>2122</v>
      </c>
      <c r="R421" s="27" t="str">
        <f>IFERROR(__xludf.DUMMYFUNCTION("IF(REGEXMATCH(N421, ""PRIORITY: Low""), ""Low"", IF(REGEXMATCH(N421, ""PRIORITY: Medium""), ""Medium"", IF(REGEXMATCH(N421, ""PRIORITY: High""), ""High"", """")))
"),"Low")</f>
        <v>Low</v>
      </c>
      <c r="S421" s="27" t="str">
        <f>IFERROR(__xludf.DUMMYFUNCTION("IF(REGEXMATCH(N421, ""SKILL: Low""), ""Low"", IF(REGEXMATCH(N421, ""SKILL: Medium""), ""Medium"", IF(REGEXMATCH(N421, ""SKILL: High""), ""High"", """")))"),"High")</f>
        <v>High</v>
      </c>
      <c r="T421" s="27" t="str">
        <f>IFERROR(__xludf.DUMMYFUNCTION("IF(REGEXMATCH(N421, ""STATUS: Dev Complete - Awaiting QA""), ""Dev Complete - Awaiting QA"", IF(REGEXMATCH(N421, ""STATUS: Follow-Up Required""), ""Follow-Up Required"", IF(REGEXMATCH(N421, ""STATUS: In Progress""), ""In Progress"", IF(REGEXMATCH(N421, """&amp;"STATUS: In QA""), ""In QA"", IF(REGEXMATCH(N421, ""STATUS: Needs Customer Feedback""), ""Needs Customer Feedback"", IF(REGEXMATCH(N421, ""STATUS: QA Passed - Awaiting Release""), ""QA Passed - Awaiting Release"", IF(REGEXMATCH(N421, ""STATUS: Release to P"&amp;"rod""), ""Release to Prod"", """")))))))"),"")</f>
        <v/>
      </c>
    </row>
    <row r="422">
      <c r="A422" s="63" t="s">
        <v>45</v>
      </c>
      <c r="B422" s="12" t="s">
        <v>46</v>
      </c>
      <c r="C422" s="61">
        <v>197.0</v>
      </c>
      <c r="D422" s="62" t="s">
        <v>2123</v>
      </c>
      <c r="E422" s="56" t="s">
        <v>246</v>
      </c>
      <c r="F422" s="61" t="s">
        <v>2124</v>
      </c>
      <c r="G422" s="57" t="str">
        <f t="shared" si="1"/>
        <v>05-Jun-2025</v>
      </c>
      <c r="H422" s="61" t="s">
        <v>57</v>
      </c>
      <c r="I422" s="61" t="s">
        <v>2125</v>
      </c>
      <c r="J422" s="27" t="str">
        <f t="shared" si="4"/>
        <v>15-Oct-2025</v>
      </c>
      <c r="K422" s="27"/>
      <c r="L422" s="27" t="str">
        <f t="shared" si="5"/>
        <v/>
      </c>
      <c r="M422" s="63" t="s">
        <v>249</v>
      </c>
      <c r="N422" s="61" t="s">
        <v>250</v>
      </c>
      <c r="O422" s="67" t="s">
        <v>41</v>
      </c>
      <c r="P422" s="61">
        <v>4.0</v>
      </c>
      <c r="Q422" s="66" t="s">
        <v>2126</v>
      </c>
      <c r="R422" s="27" t="str">
        <f>IFERROR(__xludf.DUMMYFUNCTION("IF(REGEXMATCH(N422, ""PRIORITY: Low""), ""Low"", IF(REGEXMATCH(N422, ""PRIORITY: Medium""), ""Medium"", IF(REGEXMATCH(N422, ""PRIORITY: High""), ""High"", """")))
"),"Low")</f>
        <v>Low</v>
      </c>
      <c r="S422" s="27" t="str">
        <f>IFERROR(__xludf.DUMMYFUNCTION("IF(REGEXMATCH(N422, ""SKILL: Low""), ""Low"", IF(REGEXMATCH(N422, ""SKILL: Medium""), ""Medium"", IF(REGEXMATCH(N422, ""SKILL: High""), ""High"", """")))"),"Low")</f>
        <v>Low</v>
      </c>
      <c r="T422" s="27" t="str">
        <f>IFERROR(__xludf.DUMMYFUNCTION("IF(REGEXMATCH(N422, ""STATUS: Dev Complete - Awaiting QA""), ""Dev Complete - Awaiting QA"", IF(REGEXMATCH(N422, ""STATUS: Follow-Up Required""), ""Follow-Up Required"", IF(REGEXMATCH(N422, ""STATUS: In Progress""), ""In Progress"", IF(REGEXMATCH(N422, """&amp;"STATUS: In QA""), ""In QA"", IF(REGEXMATCH(N422, ""STATUS: Needs Customer Feedback""), ""Needs Customer Feedback"", IF(REGEXMATCH(N422, ""STATUS: QA Passed - Awaiting Release""), ""QA Passed - Awaiting Release"", IF(REGEXMATCH(N422, ""STATUS: Release to P"&amp;"rod""), ""Release to Prod"", """")))))))"),"In Progress")</f>
        <v>In Progress</v>
      </c>
    </row>
    <row r="423" hidden="1">
      <c r="A423" s="63" t="s">
        <v>45</v>
      </c>
      <c r="B423" s="12" t="s">
        <v>46</v>
      </c>
      <c r="C423" s="61">
        <v>195.0</v>
      </c>
      <c r="D423" s="62" t="s">
        <v>2127</v>
      </c>
      <c r="E423" s="56" t="s">
        <v>173</v>
      </c>
      <c r="F423" s="61" t="s">
        <v>2128</v>
      </c>
      <c r="G423" s="57" t="str">
        <f t="shared" si="1"/>
        <v>04-Jun-2025</v>
      </c>
      <c r="H423" s="61" t="s">
        <v>57</v>
      </c>
      <c r="I423" s="61" t="s">
        <v>2129</v>
      </c>
      <c r="J423" s="27" t="str">
        <f t="shared" si="4"/>
        <v>19-Sep-2025</v>
      </c>
      <c r="K423" s="61" t="s">
        <v>2130</v>
      </c>
      <c r="L423" s="27" t="str">
        <f t="shared" si="5"/>
        <v>27-Jun-2025</v>
      </c>
      <c r="M423" s="63" t="s">
        <v>291</v>
      </c>
      <c r="N423" s="61" t="s">
        <v>177</v>
      </c>
      <c r="O423" s="61" t="s">
        <v>1913</v>
      </c>
      <c r="P423" s="61">
        <v>3.0</v>
      </c>
      <c r="Q423" s="66" t="s">
        <v>2131</v>
      </c>
      <c r="R423" s="27" t="str">
        <f>IFERROR(__xludf.DUMMYFUNCTION("IF(REGEXMATCH(N423, ""PRIORITY: Low""), ""Low"", IF(REGEXMATCH(N423, ""PRIORITY: Medium""), ""Medium"", IF(REGEXMATCH(N423, ""PRIORITY: High""), ""High"", """")))
"),"")</f>
        <v/>
      </c>
      <c r="S423" s="27" t="str">
        <f>IFERROR(__xludf.DUMMYFUNCTION("IF(REGEXMATCH(N423, ""SKILL: Low""), ""Low"", IF(REGEXMATCH(N423, ""SKILL: Medium""), ""Medium"", IF(REGEXMATCH(N423, ""SKILL: High""), ""High"", """")))"),"")</f>
        <v/>
      </c>
      <c r="T423" s="27" t="str">
        <f>IFERROR(__xludf.DUMMYFUNCTION("IF(REGEXMATCH(N423, ""STATUS: Dev Complete - Awaiting QA""), ""Dev Complete - Awaiting QA"", IF(REGEXMATCH(N423, ""STATUS: Follow-Up Required""), ""Follow-Up Required"", IF(REGEXMATCH(N423, ""STATUS: In Progress""), ""In Progress"", IF(REGEXMATCH(N423, """&amp;"STATUS: In QA""), ""In QA"", IF(REGEXMATCH(N423, ""STATUS: Needs Customer Feedback""), ""Needs Customer Feedback"", IF(REGEXMATCH(N423, ""STATUS: QA Passed - Awaiting Release""), ""QA Passed - Awaiting Release"", IF(REGEXMATCH(N423, ""STATUS: Release to P"&amp;"rod""), ""Release to Prod"", """")))))))"),"")</f>
        <v/>
      </c>
    </row>
    <row r="424">
      <c r="A424" s="63" t="s">
        <v>45</v>
      </c>
      <c r="B424" s="12" t="s">
        <v>46</v>
      </c>
      <c r="C424" s="61">
        <v>194.0</v>
      </c>
      <c r="D424" s="62" t="s">
        <v>2132</v>
      </c>
      <c r="E424" s="56" t="s">
        <v>246</v>
      </c>
      <c r="F424" s="61" t="s">
        <v>2133</v>
      </c>
      <c r="G424" s="57" t="str">
        <f t="shared" si="1"/>
        <v>04-Jun-2025</v>
      </c>
      <c r="H424" s="61" t="s">
        <v>57</v>
      </c>
      <c r="I424" s="61" t="s">
        <v>2134</v>
      </c>
      <c r="J424" s="27" t="str">
        <f t="shared" si="4"/>
        <v>15-Oct-2025</v>
      </c>
      <c r="K424" s="27"/>
      <c r="L424" s="27" t="str">
        <f t="shared" si="5"/>
        <v/>
      </c>
      <c r="M424" s="63" t="s">
        <v>249</v>
      </c>
      <c r="N424" s="61" t="s">
        <v>302</v>
      </c>
      <c r="O424" s="67" t="s">
        <v>41</v>
      </c>
      <c r="P424" s="61">
        <v>3.0</v>
      </c>
      <c r="Q424" s="66" t="s">
        <v>2135</v>
      </c>
      <c r="R424" s="27" t="str">
        <f>IFERROR(__xludf.DUMMYFUNCTION("IF(REGEXMATCH(N424, ""PRIORITY: Low""), ""Low"", IF(REGEXMATCH(N424, ""PRIORITY: Medium""), ""Medium"", IF(REGEXMATCH(N424, ""PRIORITY: High""), ""High"", """")))
"),"Low")</f>
        <v>Low</v>
      </c>
      <c r="S424" s="27" t="str">
        <f>IFERROR(__xludf.DUMMYFUNCTION("IF(REGEXMATCH(N424, ""SKILL: Low""), ""Low"", IF(REGEXMATCH(N424, ""SKILL: Medium""), ""Medium"", IF(REGEXMATCH(N424, ""SKILL: High""), ""High"", """")))"),"Low")</f>
        <v>Low</v>
      </c>
      <c r="T424" s="27" t="str">
        <f>IFERROR(__xludf.DUMMYFUNCTION("IF(REGEXMATCH(N424, ""STATUS: Dev Complete - Awaiting QA""), ""Dev Complete - Awaiting QA"", IF(REGEXMATCH(N424, ""STATUS: Follow-Up Required""), ""Follow-Up Required"", IF(REGEXMATCH(N424, ""STATUS: In Progress""), ""In Progress"", IF(REGEXMATCH(N424, """&amp;"STATUS: In QA""), ""In QA"", IF(REGEXMATCH(N424, ""STATUS: Needs Customer Feedback""), ""Needs Customer Feedback"", IF(REGEXMATCH(N424, ""STATUS: QA Passed - Awaiting Release""), ""QA Passed - Awaiting Release"", IF(REGEXMATCH(N424, ""STATUS: Release to P"&amp;"rod""), ""Release to Prod"", """")))))))"),"")</f>
        <v/>
      </c>
    </row>
    <row r="425">
      <c r="A425" s="61" t="s">
        <v>45</v>
      </c>
      <c r="B425" s="12" t="s">
        <v>46</v>
      </c>
      <c r="C425" s="61">
        <v>193.0</v>
      </c>
      <c r="D425" s="62" t="s">
        <v>2136</v>
      </c>
      <c r="E425" s="56" t="s">
        <v>246</v>
      </c>
      <c r="F425" s="61" t="s">
        <v>2137</v>
      </c>
      <c r="G425" s="57" t="str">
        <f t="shared" si="1"/>
        <v>04-Jun-2025</v>
      </c>
      <c r="H425" s="61" t="s">
        <v>57</v>
      </c>
      <c r="I425" s="61" t="s">
        <v>2138</v>
      </c>
      <c r="J425" s="27" t="str">
        <f t="shared" si="4"/>
        <v>03-Dec-2025</v>
      </c>
      <c r="K425" s="27"/>
      <c r="L425" s="27" t="str">
        <f t="shared" si="5"/>
        <v/>
      </c>
      <c r="M425" s="63" t="s">
        <v>249</v>
      </c>
      <c r="N425" s="61" t="s">
        <v>250</v>
      </c>
      <c r="O425" s="67" t="s">
        <v>41</v>
      </c>
      <c r="P425" s="61">
        <v>9.0</v>
      </c>
      <c r="Q425" s="66" t="s">
        <v>2139</v>
      </c>
      <c r="R425" s="27" t="str">
        <f>IFERROR(__xludf.DUMMYFUNCTION("IF(REGEXMATCH(N425, ""PRIORITY: Low""), ""Low"", IF(REGEXMATCH(N425, ""PRIORITY: Medium""), ""Medium"", IF(REGEXMATCH(N425, ""PRIORITY: High""), ""High"", """")))
"),"Low")</f>
        <v>Low</v>
      </c>
      <c r="S425" s="27" t="str">
        <f>IFERROR(__xludf.DUMMYFUNCTION("IF(REGEXMATCH(N425, ""SKILL: Low""), ""Low"", IF(REGEXMATCH(N425, ""SKILL: Medium""), ""Medium"", IF(REGEXMATCH(N425, ""SKILL: High""), ""High"", """")))"),"Low")</f>
        <v>Low</v>
      </c>
      <c r="T425" s="27" t="str">
        <f>IFERROR(__xludf.DUMMYFUNCTION("IF(REGEXMATCH(N425, ""STATUS: Dev Complete - Awaiting QA""), ""Dev Complete - Awaiting QA"", IF(REGEXMATCH(N425, ""STATUS: Follow-Up Required""), ""Follow-Up Required"", IF(REGEXMATCH(N425, ""STATUS: In Progress""), ""In Progress"", IF(REGEXMATCH(N425, """&amp;"STATUS: In QA""), ""In QA"", IF(REGEXMATCH(N425, ""STATUS: Needs Customer Feedback""), ""Needs Customer Feedback"", IF(REGEXMATCH(N425, ""STATUS: QA Passed - Awaiting Release""), ""QA Passed - Awaiting Release"", IF(REGEXMATCH(N425, ""STATUS: Release to P"&amp;"rod""), ""Release to Prod"", """")))))))"),"In Progress")</f>
        <v>In Progress</v>
      </c>
    </row>
    <row r="426" hidden="1">
      <c r="A426" s="61" t="s">
        <v>45</v>
      </c>
      <c r="B426" s="12" t="s">
        <v>46</v>
      </c>
      <c r="C426" s="61">
        <v>192.0</v>
      </c>
      <c r="D426" s="62" t="s">
        <v>2140</v>
      </c>
      <c r="E426" s="56" t="s">
        <v>173</v>
      </c>
      <c r="F426" s="61" t="s">
        <v>2141</v>
      </c>
      <c r="G426" s="57" t="str">
        <f t="shared" si="1"/>
        <v>03-Jun-2025</v>
      </c>
      <c r="H426" s="61" t="s">
        <v>57</v>
      </c>
      <c r="I426" s="61" t="s">
        <v>2142</v>
      </c>
      <c r="J426" s="27" t="str">
        <f t="shared" si="4"/>
        <v>11-Jul-2025</v>
      </c>
      <c r="K426" s="61" t="s">
        <v>2143</v>
      </c>
      <c r="L426" s="27" t="str">
        <f t="shared" si="5"/>
        <v>11-Jun-2025</v>
      </c>
      <c r="M426" s="63" t="s">
        <v>285</v>
      </c>
      <c r="N426" s="61" t="s">
        <v>177</v>
      </c>
      <c r="O426" s="61" t="s">
        <v>57</v>
      </c>
      <c r="P426" s="61">
        <v>2.0</v>
      </c>
      <c r="Q426" s="66" t="s">
        <v>2144</v>
      </c>
      <c r="R426" s="27" t="str">
        <f>IFERROR(__xludf.DUMMYFUNCTION("IF(REGEXMATCH(N426, ""PRIORITY: Low""), ""Low"", IF(REGEXMATCH(N426, ""PRIORITY: Medium""), ""Medium"", IF(REGEXMATCH(N426, ""PRIORITY: High""), ""High"", """")))
"),"")</f>
        <v/>
      </c>
      <c r="S426" s="27" t="str">
        <f>IFERROR(__xludf.DUMMYFUNCTION("IF(REGEXMATCH(N426, ""SKILL: Low""), ""Low"", IF(REGEXMATCH(N426, ""SKILL: Medium""), ""Medium"", IF(REGEXMATCH(N426, ""SKILL: High""), ""High"", """")))"),"")</f>
        <v/>
      </c>
      <c r="T426" s="27" t="str">
        <f>IFERROR(__xludf.DUMMYFUNCTION("IF(REGEXMATCH(N426, ""STATUS: Dev Complete - Awaiting QA""), ""Dev Complete - Awaiting QA"", IF(REGEXMATCH(N426, ""STATUS: Follow-Up Required""), ""Follow-Up Required"", IF(REGEXMATCH(N426, ""STATUS: In Progress""), ""In Progress"", IF(REGEXMATCH(N426, """&amp;"STATUS: In QA""), ""In QA"", IF(REGEXMATCH(N426, ""STATUS: Needs Customer Feedback""), ""Needs Customer Feedback"", IF(REGEXMATCH(N426, ""STATUS: QA Passed - Awaiting Release""), ""QA Passed - Awaiting Release"", IF(REGEXMATCH(N426, ""STATUS: Release to P"&amp;"rod""), ""Release to Prod"", """")))))))"),"")</f>
        <v/>
      </c>
    </row>
    <row r="427" hidden="1">
      <c r="A427" s="68" t="s">
        <v>45</v>
      </c>
      <c r="B427" s="12" t="s">
        <v>46</v>
      </c>
      <c r="C427" s="61">
        <v>191.0</v>
      </c>
      <c r="D427" s="62" t="s">
        <v>2145</v>
      </c>
      <c r="E427" s="56" t="s">
        <v>173</v>
      </c>
      <c r="F427" s="61" t="s">
        <v>2146</v>
      </c>
      <c r="G427" s="57" t="str">
        <f t="shared" si="1"/>
        <v>03-Jun-2025</v>
      </c>
      <c r="H427" s="61" t="s">
        <v>95</v>
      </c>
      <c r="I427" s="61" t="s">
        <v>2147</v>
      </c>
      <c r="J427" s="27" t="str">
        <f t="shared" si="4"/>
        <v>11-Jul-2025</v>
      </c>
      <c r="K427" s="61" t="s">
        <v>2148</v>
      </c>
      <c r="L427" s="27" t="str">
        <f t="shared" si="5"/>
        <v>18-Jun-2025</v>
      </c>
      <c r="M427" s="63" t="s">
        <v>249</v>
      </c>
      <c r="N427" s="61" t="s">
        <v>177</v>
      </c>
      <c r="O427" s="61" t="s">
        <v>553</v>
      </c>
      <c r="P427" s="61">
        <v>3.0</v>
      </c>
      <c r="Q427" s="66" t="s">
        <v>2149</v>
      </c>
      <c r="R427" s="27" t="str">
        <f>IFERROR(__xludf.DUMMYFUNCTION("IF(REGEXMATCH(N427, ""PRIORITY: Low""), ""Low"", IF(REGEXMATCH(N427, ""PRIORITY: Medium""), ""Medium"", IF(REGEXMATCH(N427, ""PRIORITY: High""), ""High"", """")))
"),"")</f>
        <v/>
      </c>
      <c r="S427" s="27" t="str">
        <f>IFERROR(__xludf.DUMMYFUNCTION("IF(REGEXMATCH(N427, ""SKILL: Low""), ""Low"", IF(REGEXMATCH(N427, ""SKILL: Medium""), ""Medium"", IF(REGEXMATCH(N427, ""SKILL: High""), ""High"", """")))"),"")</f>
        <v/>
      </c>
      <c r="T427" s="27" t="str">
        <f>IFERROR(__xludf.DUMMYFUNCTION("IF(REGEXMATCH(N427, ""STATUS: Dev Complete - Awaiting QA""), ""Dev Complete - Awaiting QA"", IF(REGEXMATCH(N427, ""STATUS: Follow-Up Required""), ""Follow-Up Required"", IF(REGEXMATCH(N427, ""STATUS: In Progress""), ""In Progress"", IF(REGEXMATCH(N427, """&amp;"STATUS: In QA""), ""In QA"", IF(REGEXMATCH(N427, ""STATUS: Needs Customer Feedback""), ""Needs Customer Feedback"", IF(REGEXMATCH(N427, ""STATUS: QA Passed - Awaiting Release""), ""QA Passed - Awaiting Release"", IF(REGEXMATCH(N427, ""STATUS: Release to P"&amp;"rod""), ""Release to Prod"", """")))))))"),"")</f>
        <v/>
      </c>
    </row>
    <row r="428">
      <c r="A428" s="68" t="s">
        <v>45</v>
      </c>
      <c r="B428" s="12" t="s">
        <v>46</v>
      </c>
      <c r="C428" s="61">
        <v>190.0</v>
      </c>
      <c r="D428" s="62" t="s">
        <v>2150</v>
      </c>
      <c r="E428" s="56" t="s">
        <v>246</v>
      </c>
      <c r="F428" s="61" t="s">
        <v>2151</v>
      </c>
      <c r="G428" s="57" t="str">
        <f t="shared" si="1"/>
        <v>03-Jun-2025</v>
      </c>
      <c r="H428" s="61" t="s">
        <v>57</v>
      </c>
      <c r="I428" s="61" t="s">
        <v>2152</v>
      </c>
      <c r="J428" s="27" t="str">
        <f t="shared" si="4"/>
        <v>31-Jul-2025</v>
      </c>
      <c r="K428" s="27"/>
      <c r="L428" s="27" t="str">
        <f t="shared" si="5"/>
        <v/>
      </c>
      <c r="M428" s="63" t="s">
        <v>291</v>
      </c>
      <c r="N428" s="61" t="s">
        <v>2153</v>
      </c>
      <c r="O428" s="67" t="s">
        <v>37</v>
      </c>
      <c r="P428" s="61">
        <v>2.0</v>
      </c>
      <c r="Q428" s="66" t="s">
        <v>2154</v>
      </c>
      <c r="R428" s="27" t="str">
        <f>IFERROR(__xludf.DUMMYFUNCTION("IF(REGEXMATCH(N428, ""PRIORITY: Low""), ""Low"", IF(REGEXMATCH(N428, ""PRIORITY: Medium""), ""Medium"", IF(REGEXMATCH(N428, ""PRIORITY: High""), ""High"", """")))
"),"Medium")</f>
        <v>Medium</v>
      </c>
      <c r="S428" s="27" t="str">
        <f>IFERROR(__xludf.DUMMYFUNCTION("IF(REGEXMATCH(N428, ""SKILL: Low""), ""Low"", IF(REGEXMATCH(N428, ""SKILL: Medium""), ""Medium"", IF(REGEXMATCH(N428, ""SKILL: High""), ""High"", """")))"),"Medium")</f>
        <v>Medium</v>
      </c>
      <c r="T428" s="27" t="str">
        <f>IFERROR(__xludf.DUMMYFUNCTION("IF(REGEXMATCH(N428, ""STATUS: Dev Complete - Awaiting QA""), ""Dev Complete - Awaiting QA"", IF(REGEXMATCH(N428, ""STATUS: Follow-Up Required""), ""Follow-Up Required"", IF(REGEXMATCH(N428, ""STATUS: In Progress""), ""In Progress"", IF(REGEXMATCH(N428, """&amp;"STATUS: In QA""), ""In QA"", IF(REGEXMATCH(N428, ""STATUS: Needs Customer Feedback""), ""Needs Customer Feedback"", IF(REGEXMATCH(N428, ""STATUS: QA Passed - Awaiting Release""), ""QA Passed - Awaiting Release"", IF(REGEXMATCH(N428, ""STATUS: Release to P"&amp;"rod""), ""Release to Prod"", """")))))))"),"")</f>
        <v/>
      </c>
    </row>
    <row r="429" hidden="1">
      <c r="A429" s="61" t="s">
        <v>45</v>
      </c>
      <c r="B429" s="12" t="s">
        <v>46</v>
      </c>
      <c r="C429" s="61">
        <v>189.0</v>
      </c>
      <c r="D429" s="62" t="s">
        <v>2155</v>
      </c>
      <c r="E429" s="56" t="s">
        <v>173</v>
      </c>
      <c r="F429" s="61" t="s">
        <v>2156</v>
      </c>
      <c r="G429" s="57" t="str">
        <f t="shared" si="1"/>
        <v>02-Jun-2025</v>
      </c>
      <c r="H429" s="61" t="s">
        <v>57</v>
      </c>
      <c r="I429" s="61" t="s">
        <v>2157</v>
      </c>
      <c r="J429" s="27" t="str">
        <f t="shared" si="4"/>
        <v>11-Jul-2025</v>
      </c>
      <c r="K429" s="61" t="s">
        <v>2158</v>
      </c>
      <c r="L429" s="27" t="str">
        <f t="shared" si="5"/>
        <v>11-Jun-2025</v>
      </c>
      <c r="M429" s="63" t="s">
        <v>285</v>
      </c>
      <c r="N429" s="61" t="s">
        <v>177</v>
      </c>
      <c r="O429" s="61" t="s">
        <v>553</v>
      </c>
      <c r="P429" s="61">
        <v>3.0</v>
      </c>
      <c r="Q429" s="66" t="s">
        <v>2159</v>
      </c>
      <c r="R429" s="27" t="str">
        <f>IFERROR(__xludf.DUMMYFUNCTION("IF(REGEXMATCH(N429, ""PRIORITY: Low""), ""Low"", IF(REGEXMATCH(N429, ""PRIORITY: Medium""), ""Medium"", IF(REGEXMATCH(N429, ""PRIORITY: High""), ""High"", """")))
"),"")</f>
        <v/>
      </c>
      <c r="S429" s="27" t="str">
        <f>IFERROR(__xludf.DUMMYFUNCTION("IF(REGEXMATCH(N429, ""SKILL: Low""), ""Low"", IF(REGEXMATCH(N429, ""SKILL: Medium""), ""Medium"", IF(REGEXMATCH(N429, ""SKILL: High""), ""High"", """")))"),"")</f>
        <v/>
      </c>
      <c r="T429" s="27" t="str">
        <f>IFERROR(__xludf.DUMMYFUNCTION("IF(REGEXMATCH(N429, ""STATUS: Dev Complete - Awaiting QA""), ""Dev Complete - Awaiting QA"", IF(REGEXMATCH(N429, ""STATUS: Follow-Up Required""), ""Follow-Up Required"", IF(REGEXMATCH(N429, ""STATUS: In Progress""), ""In Progress"", IF(REGEXMATCH(N429, """&amp;"STATUS: In QA""), ""In QA"", IF(REGEXMATCH(N429, ""STATUS: Needs Customer Feedback""), ""Needs Customer Feedback"", IF(REGEXMATCH(N429, ""STATUS: QA Passed - Awaiting Release""), ""QA Passed - Awaiting Release"", IF(REGEXMATCH(N429, ""STATUS: Release to P"&amp;"rod""), ""Release to Prod"", """")))))))"),"")</f>
        <v/>
      </c>
    </row>
    <row r="430">
      <c r="A430" s="61" t="s">
        <v>45</v>
      </c>
      <c r="B430" s="12" t="s">
        <v>46</v>
      </c>
      <c r="C430" s="61">
        <v>188.0</v>
      </c>
      <c r="D430" s="62" t="s">
        <v>2160</v>
      </c>
      <c r="E430" s="56" t="s">
        <v>246</v>
      </c>
      <c r="F430" s="61" t="s">
        <v>2161</v>
      </c>
      <c r="G430" s="57" t="str">
        <f t="shared" si="1"/>
        <v>29-May-2025</v>
      </c>
      <c r="H430" s="61" t="s">
        <v>37</v>
      </c>
      <c r="I430" s="61" t="s">
        <v>2162</v>
      </c>
      <c r="J430" s="27" t="str">
        <f t="shared" si="4"/>
        <v>19-Sep-2025</v>
      </c>
      <c r="K430" s="27"/>
      <c r="L430" s="27" t="str">
        <f t="shared" si="5"/>
        <v/>
      </c>
      <c r="M430" s="63" t="s">
        <v>291</v>
      </c>
      <c r="N430" s="61" t="s">
        <v>2163</v>
      </c>
      <c r="O430" s="67" t="s">
        <v>37</v>
      </c>
      <c r="P430" s="61">
        <v>1.0</v>
      </c>
      <c r="Q430" s="66" t="s">
        <v>2164</v>
      </c>
      <c r="R430" s="27" t="str">
        <f>IFERROR(__xludf.DUMMYFUNCTION("IF(REGEXMATCH(N430, ""PRIORITY: Low""), ""Low"", IF(REGEXMATCH(N430, ""PRIORITY: Medium""), ""Medium"", IF(REGEXMATCH(N430, ""PRIORITY: High""), ""High"", """")))
"),"Medium")</f>
        <v>Medium</v>
      </c>
      <c r="S430" s="27" t="str">
        <f>IFERROR(__xludf.DUMMYFUNCTION("IF(REGEXMATCH(N430, ""SKILL: Low""), ""Low"", IF(REGEXMATCH(N430, ""SKILL: Medium""), ""Medium"", IF(REGEXMATCH(N430, ""SKILL: High""), ""High"", """")))"),"High")</f>
        <v>High</v>
      </c>
      <c r="T430" s="27" t="str">
        <f>IFERROR(__xludf.DUMMYFUNCTION("IF(REGEXMATCH(N430, ""STATUS: Dev Complete - Awaiting QA""), ""Dev Complete - Awaiting QA"", IF(REGEXMATCH(N430, ""STATUS: Follow-Up Required""), ""Follow-Up Required"", IF(REGEXMATCH(N430, ""STATUS: In Progress""), ""In Progress"", IF(REGEXMATCH(N430, """&amp;"STATUS: In QA""), ""In QA"", IF(REGEXMATCH(N430, ""STATUS: Needs Customer Feedback""), ""Needs Customer Feedback"", IF(REGEXMATCH(N430, ""STATUS: QA Passed - Awaiting Release""), ""QA Passed - Awaiting Release"", IF(REGEXMATCH(N430, ""STATUS: Release to P"&amp;"rod""), ""Release to Prod"", """")))))))"),"")</f>
        <v/>
      </c>
    </row>
    <row r="431">
      <c r="A431" s="61" t="s">
        <v>45</v>
      </c>
      <c r="B431" s="12" t="s">
        <v>46</v>
      </c>
      <c r="C431" s="61">
        <v>187.0</v>
      </c>
      <c r="D431" s="62" t="s">
        <v>2165</v>
      </c>
      <c r="E431" s="56" t="s">
        <v>246</v>
      </c>
      <c r="F431" s="61" t="s">
        <v>2166</v>
      </c>
      <c r="G431" s="57" t="str">
        <f t="shared" si="1"/>
        <v>29-May-2025</v>
      </c>
      <c r="H431" s="61" t="s">
        <v>37</v>
      </c>
      <c r="I431" s="61" t="s">
        <v>2162</v>
      </c>
      <c r="J431" s="27" t="str">
        <f t="shared" si="4"/>
        <v>19-Sep-2025</v>
      </c>
      <c r="K431" s="27"/>
      <c r="L431" s="27" t="str">
        <f t="shared" si="5"/>
        <v/>
      </c>
      <c r="M431" s="63" t="s">
        <v>291</v>
      </c>
      <c r="N431" s="61" t="s">
        <v>2153</v>
      </c>
      <c r="O431" s="67" t="s">
        <v>37</v>
      </c>
      <c r="P431" s="61">
        <v>1.0</v>
      </c>
      <c r="Q431" s="66" t="s">
        <v>2167</v>
      </c>
      <c r="R431" s="27" t="str">
        <f>IFERROR(__xludf.DUMMYFUNCTION("IF(REGEXMATCH(N431, ""PRIORITY: Low""), ""Low"", IF(REGEXMATCH(N431, ""PRIORITY: Medium""), ""Medium"", IF(REGEXMATCH(N431, ""PRIORITY: High""), ""High"", """")))
"),"Medium")</f>
        <v>Medium</v>
      </c>
      <c r="S431" s="27" t="str">
        <f>IFERROR(__xludf.DUMMYFUNCTION("IF(REGEXMATCH(N431, ""SKILL: Low""), ""Low"", IF(REGEXMATCH(N431, ""SKILL: Medium""), ""Medium"", IF(REGEXMATCH(N431, ""SKILL: High""), ""High"", """")))"),"Medium")</f>
        <v>Medium</v>
      </c>
      <c r="T431" s="27" t="str">
        <f>IFERROR(__xludf.DUMMYFUNCTION("IF(REGEXMATCH(N431, ""STATUS: Dev Complete - Awaiting QA""), ""Dev Complete - Awaiting QA"", IF(REGEXMATCH(N431, ""STATUS: Follow-Up Required""), ""Follow-Up Required"", IF(REGEXMATCH(N431, ""STATUS: In Progress""), ""In Progress"", IF(REGEXMATCH(N431, """&amp;"STATUS: In QA""), ""In QA"", IF(REGEXMATCH(N431, ""STATUS: Needs Customer Feedback""), ""Needs Customer Feedback"", IF(REGEXMATCH(N431, ""STATUS: QA Passed - Awaiting Release""), ""QA Passed - Awaiting Release"", IF(REGEXMATCH(N431, ""STATUS: Release to P"&amp;"rod""), ""Release to Prod"", """")))))))"),"")</f>
        <v/>
      </c>
    </row>
    <row r="432">
      <c r="A432" s="61" t="s">
        <v>45</v>
      </c>
      <c r="B432" s="12" t="s">
        <v>46</v>
      </c>
      <c r="C432" s="61">
        <v>186.0</v>
      </c>
      <c r="D432" s="62" t="s">
        <v>2168</v>
      </c>
      <c r="E432" s="56" t="s">
        <v>246</v>
      </c>
      <c r="F432" s="61" t="s">
        <v>2169</v>
      </c>
      <c r="G432" s="57" t="str">
        <f t="shared" si="1"/>
        <v>29-May-2025</v>
      </c>
      <c r="H432" s="61" t="s">
        <v>37</v>
      </c>
      <c r="I432" s="61" t="s">
        <v>2170</v>
      </c>
      <c r="J432" s="27" t="str">
        <f t="shared" si="4"/>
        <v>19-Sep-2025</v>
      </c>
      <c r="K432" s="27"/>
      <c r="L432" s="27" t="str">
        <f t="shared" si="5"/>
        <v/>
      </c>
      <c r="M432" s="63" t="s">
        <v>291</v>
      </c>
      <c r="N432" s="61" t="s">
        <v>2153</v>
      </c>
      <c r="O432" s="67" t="s">
        <v>37</v>
      </c>
      <c r="P432" s="61">
        <v>2.0</v>
      </c>
      <c r="Q432" s="66" t="s">
        <v>2171</v>
      </c>
      <c r="R432" s="27" t="str">
        <f>IFERROR(__xludf.DUMMYFUNCTION("IF(REGEXMATCH(N432, ""PRIORITY: Low""), ""Low"", IF(REGEXMATCH(N432, ""PRIORITY: Medium""), ""Medium"", IF(REGEXMATCH(N432, ""PRIORITY: High""), ""High"", """")))
"),"Medium")</f>
        <v>Medium</v>
      </c>
      <c r="S432" s="27" t="str">
        <f>IFERROR(__xludf.DUMMYFUNCTION("IF(REGEXMATCH(N432, ""SKILL: Low""), ""Low"", IF(REGEXMATCH(N432, ""SKILL: Medium""), ""Medium"", IF(REGEXMATCH(N432, ""SKILL: High""), ""High"", """")))"),"Medium")</f>
        <v>Medium</v>
      </c>
      <c r="T432" s="27" t="str">
        <f>IFERROR(__xludf.DUMMYFUNCTION("IF(REGEXMATCH(N432, ""STATUS: Dev Complete - Awaiting QA""), ""Dev Complete - Awaiting QA"", IF(REGEXMATCH(N432, ""STATUS: Follow-Up Required""), ""Follow-Up Required"", IF(REGEXMATCH(N432, ""STATUS: In Progress""), ""In Progress"", IF(REGEXMATCH(N432, """&amp;"STATUS: In QA""), ""In QA"", IF(REGEXMATCH(N432, ""STATUS: Needs Customer Feedback""), ""Needs Customer Feedback"", IF(REGEXMATCH(N432, ""STATUS: QA Passed - Awaiting Release""), ""QA Passed - Awaiting Release"", IF(REGEXMATCH(N432, ""STATUS: Release to P"&amp;"rod""), ""Release to Prod"", """")))))))"),"")</f>
        <v/>
      </c>
    </row>
    <row r="433" hidden="1">
      <c r="A433" s="68" t="s">
        <v>45</v>
      </c>
      <c r="B433" s="12" t="s">
        <v>46</v>
      </c>
      <c r="C433" s="61">
        <v>183.0</v>
      </c>
      <c r="D433" s="62" t="s">
        <v>2172</v>
      </c>
      <c r="E433" s="56" t="s">
        <v>173</v>
      </c>
      <c r="F433" s="61" t="s">
        <v>2173</v>
      </c>
      <c r="G433" s="57" t="str">
        <f t="shared" si="1"/>
        <v>26-May-2025</v>
      </c>
      <c r="H433" s="61" t="s">
        <v>57</v>
      </c>
      <c r="I433" s="61" t="s">
        <v>2170</v>
      </c>
      <c r="J433" s="27" t="str">
        <f t="shared" si="4"/>
        <v>19-Sep-2025</v>
      </c>
      <c r="K433" s="61" t="s">
        <v>2174</v>
      </c>
      <c r="L433" s="27" t="str">
        <f t="shared" si="5"/>
        <v>11-Jun-2025</v>
      </c>
      <c r="M433" s="63" t="s">
        <v>249</v>
      </c>
      <c r="N433" s="61" t="s">
        <v>177</v>
      </c>
      <c r="O433" s="61" t="s">
        <v>2175</v>
      </c>
      <c r="P433" s="61">
        <v>4.0</v>
      </c>
      <c r="Q433" s="66" t="s">
        <v>2176</v>
      </c>
      <c r="R433" s="27" t="str">
        <f>IFERROR(__xludf.DUMMYFUNCTION("IF(REGEXMATCH(N433, ""PRIORITY: Low""), ""Low"", IF(REGEXMATCH(N433, ""PRIORITY: Medium""), ""Medium"", IF(REGEXMATCH(N433, ""PRIORITY: High""), ""High"", """")))
"),"")</f>
        <v/>
      </c>
      <c r="S433" s="27" t="str">
        <f>IFERROR(__xludf.DUMMYFUNCTION("IF(REGEXMATCH(N433, ""SKILL: Low""), ""Low"", IF(REGEXMATCH(N433, ""SKILL: Medium""), ""Medium"", IF(REGEXMATCH(N433, ""SKILL: High""), ""High"", """")))"),"")</f>
        <v/>
      </c>
      <c r="T433" s="27" t="str">
        <f>IFERROR(__xludf.DUMMYFUNCTION("IF(REGEXMATCH(N433, ""STATUS: Dev Complete - Awaiting QA""), ""Dev Complete - Awaiting QA"", IF(REGEXMATCH(N433, ""STATUS: Follow-Up Required""), ""Follow-Up Required"", IF(REGEXMATCH(N433, ""STATUS: In Progress""), ""In Progress"", IF(REGEXMATCH(N433, """&amp;"STATUS: In QA""), ""In QA"", IF(REGEXMATCH(N433, ""STATUS: Needs Customer Feedback""), ""Needs Customer Feedback"", IF(REGEXMATCH(N433, ""STATUS: QA Passed - Awaiting Release""), ""QA Passed - Awaiting Release"", IF(REGEXMATCH(N433, ""STATUS: Release to P"&amp;"rod""), ""Release to Prod"", """")))))))"),"")</f>
        <v/>
      </c>
    </row>
    <row r="434" hidden="1">
      <c r="A434" s="68" t="s">
        <v>45</v>
      </c>
      <c r="B434" s="12" t="s">
        <v>46</v>
      </c>
      <c r="C434" s="61">
        <v>182.0</v>
      </c>
      <c r="D434" s="62" t="s">
        <v>2177</v>
      </c>
      <c r="E434" s="56" t="s">
        <v>173</v>
      </c>
      <c r="F434" s="61" t="s">
        <v>2178</v>
      </c>
      <c r="G434" s="57" t="str">
        <f t="shared" si="1"/>
        <v>26-May-2025</v>
      </c>
      <c r="H434" s="61" t="s">
        <v>57</v>
      </c>
      <c r="I434" s="61" t="s">
        <v>2170</v>
      </c>
      <c r="J434" s="27" t="str">
        <f t="shared" si="4"/>
        <v>19-Sep-2025</v>
      </c>
      <c r="K434" s="61" t="s">
        <v>2179</v>
      </c>
      <c r="L434" s="27" t="str">
        <f t="shared" si="5"/>
        <v>11-Jun-2025</v>
      </c>
      <c r="M434" s="63" t="s">
        <v>249</v>
      </c>
      <c r="N434" s="61" t="s">
        <v>177</v>
      </c>
      <c r="O434" s="61" t="s">
        <v>2175</v>
      </c>
      <c r="P434" s="61">
        <v>4.0</v>
      </c>
      <c r="Q434" s="66" t="s">
        <v>2180</v>
      </c>
      <c r="R434" s="27" t="str">
        <f>IFERROR(__xludf.DUMMYFUNCTION("IF(REGEXMATCH(N434, ""PRIORITY: Low""), ""Low"", IF(REGEXMATCH(N434, ""PRIORITY: Medium""), ""Medium"", IF(REGEXMATCH(N434, ""PRIORITY: High""), ""High"", """")))
"),"")</f>
        <v/>
      </c>
      <c r="S434" s="27" t="str">
        <f>IFERROR(__xludf.DUMMYFUNCTION("IF(REGEXMATCH(N434, ""SKILL: Low""), ""Low"", IF(REGEXMATCH(N434, ""SKILL: Medium""), ""Medium"", IF(REGEXMATCH(N434, ""SKILL: High""), ""High"", """")))"),"")</f>
        <v/>
      </c>
      <c r="T434" s="27" t="str">
        <f>IFERROR(__xludf.DUMMYFUNCTION("IF(REGEXMATCH(N434, ""STATUS: Dev Complete - Awaiting QA""), ""Dev Complete - Awaiting QA"", IF(REGEXMATCH(N434, ""STATUS: Follow-Up Required""), ""Follow-Up Required"", IF(REGEXMATCH(N434, ""STATUS: In Progress""), ""In Progress"", IF(REGEXMATCH(N434, """&amp;"STATUS: In QA""), ""In QA"", IF(REGEXMATCH(N434, ""STATUS: Needs Customer Feedback""), ""Needs Customer Feedback"", IF(REGEXMATCH(N434, ""STATUS: QA Passed - Awaiting Release""), ""QA Passed - Awaiting Release"", IF(REGEXMATCH(N434, ""STATUS: Release to P"&amp;"rod""), ""Release to Prod"", """")))))))"),"")</f>
        <v/>
      </c>
    </row>
    <row r="435" hidden="1">
      <c r="A435" s="61" t="s">
        <v>45</v>
      </c>
      <c r="B435" s="12" t="s">
        <v>46</v>
      </c>
      <c r="C435" s="61">
        <v>181.0</v>
      </c>
      <c r="D435" s="62" t="s">
        <v>2181</v>
      </c>
      <c r="E435" s="56" t="s">
        <v>173</v>
      </c>
      <c r="F435" s="61" t="s">
        <v>2182</v>
      </c>
      <c r="G435" s="57" t="str">
        <f t="shared" si="1"/>
        <v>26-May-2025</v>
      </c>
      <c r="H435" s="61" t="s">
        <v>57</v>
      </c>
      <c r="I435" s="61" t="s">
        <v>2183</v>
      </c>
      <c r="J435" s="27" t="str">
        <f t="shared" si="4"/>
        <v>11-Jul-2025</v>
      </c>
      <c r="K435" s="61" t="s">
        <v>2184</v>
      </c>
      <c r="L435" s="27" t="str">
        <f t="shared" si="5"/>
        <v>11-Jun-2025</v>
      </c>
      <c r="M435" s="63" t="s">
        <v>249</v>
      </c>
      <c r="N435" s="61" t="s">
        <v>177</v>
      </c>
      <c r="O435" s="61" t="s">
        <v>1913</v>
      </c>
      <c r="P435" s="61">
        <v>4.0</v>
      </c>
      <c r="Q435" s="66" t="s">
        <v>2185</v>
      </c>
      <c r="R435" s="27" t="str">
        <f>IFERROR(__xludf.DUMMYFUNCTION("IF(REGEXMATCH(N435, ""PRIORITY: Low""), ""Low"", IF(REGEXMATCH(N435, ""PRIORITY: Medium""), ""Medium"", IF(REGEXMATCH(N435, ""PRIORITY: High""), ""High"", """")))
"),"")</f>
        <v/>
      </c>
      <c r="S435" s="27" t="str">
        <f>IFERROR(__xludf.DUMMYFUNCTION("IF(REGEXMATCH(N435, ""SKILL: Low""), ""Low"", IF(REGEXMATCH(N435, ""SKILL: Medium""), ""Medium"", IF(REGEXMATCH(N435, ""SKILL: High""), ""High"", """")))"),"")</f>
        <v/>
      </c>
      <c r="T435" s="27" t="str">
        <f>IFERROR(__xludf.DUMMYFUNCTION("IF(REGEXMATCH(N435, ""STATUS: Dev Complete - Awaiting QA""), ""Dev Complete - Awaiting QA"", IF(REGEXMATCH(N435, ""STATUS: Follow-Up Required""), ""Follow-Up Required"", IF(REGEXMATCH(N435, ""STATUS: In Progress""), ""In Progress"", IF(REGEXMATCH(N435, """&amp;"STATUS: In QA""), ""In QA"", IF(REGEXMATCH(N435, ""STATUS: Needs Customer Feedback""), ""Needs Customer Feedback"", IF(REGEXMATCH(N435, ""STATUS: QA Passed - Awaiting Release""), ""QA Passed - Awaiting Release"", IF(REGEXMATCH(N435, ""STATUS: Release to P"&amp;"rod""), ""Release to Prod"", """")))))))"),"")</f>
        <v/>
      </c>
    </row>
    <row r="436" hidden="1">
      <c r="A436" s="61" t="s">
        <v>45</v>
      </c>
      <c r="B436" s="12" t="s">
        <v>46</v>
      </c>
      <c r="C436" s="61">
        <v>180.0</v>
      </c>
      <c r="D436" s="62" t="s">
        <v>2186</v>
      </c>
      <c r="E436" s="56" t="s">
        <v>173</v>
      </c>
      <c r="F436" s="61" t="s">
        <v>2187</v>
      </c>
      <c r="G436" s="57" t="str">
        <f t="shared" si="1"/>
        <v>23-May-2025</v>
      </c>
      <c r="H436" s="61" t="s">
        <v>57</v>
      </c>
      <c r="I436" s="61" t="s">
        <v>694</v>
      </c>
      <c r="J436" s="27" t="str">
        <f t="shared" si="4"/>
        <v>19-Sep-2025</v>
      </c>
      <c r="K436" s="61" t="s">
        <v>2188</v>
      </c>
      <c r="L436" s="27" t="str">
        <f t="shared" si="5"/>
        <v>11-Jun-2025</v>
      </c>
      <c r="M436" s="63" t="s">
        <v>285</v>
      </c>
      <c r="N436" s="61" t="s">
        <v>177</v>
      </c>
      <c r="O436" s="61" t="s">
        <v>2175</v>
      </c>
      <c r="P436" s="61">
        <v>4.0</v>
      </c>
      <c r="Q436" s="66" t="s">
        <v>2189</v>
      </c>
      <c r="R436" s="27" t="str">
        <f>IFERROR(__xludf.DUMMYFUNCTION("IF(REGEXMATCH(N436, ""PRIORITY: Low""), ""Low"", IF(REGEXMATCH(N436, ""PRIORITY: Medium""), ""Medium"", IF(REGEXMATCH(N436, ""PRIORITY: High""), ""High"", """")))
"),"")</f>
        <v/>
      </c>
      <c r="S436" s="27" t="str">
        <f>IFERROR(__xludf.DUMMYFUNCTION("IF(REGEXMATCH(N436, ""SKILL: Low""), ""Low"", IF(REGEXMATCH(N436, ""SKILL: Medium""), ""Medium"", IF(REGEXMATCH(N436, ""SKILL: High""), ""High"", """")))"),"")</f>
        <v/>
      </c>
      <c r="T436" s="27" t="str">
        <f>IFERROR(__xludf.DUMMYFUNCTION("IF(REGEXMATCH(N436, ""STATUS: Dev Complete - Awaiting QA""), ""Dev Complete - Awaiting QA"", IF(REGEXMATCH(N436, ""STATUS: Follow-Up Required""), ""Follow-Up Required"", IF(REGEXMATCH(N436, ""STATUS: In Progress""), ""In Progress"", IF(REGEXMATCH(N436, """&amp;"STATUS: In QA""), ""In QA"", IF(REGEXMATCH(N436, ""STATUS: Needs Customer Feedback""), ""Needs Customer Feedback"", IF(REGEXMATCH(N436, ""STATUS: QA Passed - Awaiting Release""), ""QA Passed - Awaiting Release"", IF(REGEXMATCH(N436, ""STATUS: Release to P"&amp;"rod""), ""Release to Prod"", """")))))))"),"")</f>
        <v/>
      </c>
    </row>
    <row r="437" hidden="1">
      <c r="A437" s="61" t="s">
        <v>45</v>
      </c>
      <c r="B437" s="12" t="s">
        <v>46</v>
      </c>
      <c r="C437" s="61">
        <v>179.0</v>
      </c>
      <c r="D437" s="62" t="s">
        <v>2190</v>
      </c>
      <c r="E437" s="56" t="s">
        <v>173</v>
      </c>
      <c r="F437" s="61" t="s">
        <v>2191</v>
      </c>
      <c r="G437" s="57" t="str">
        <f t="shared" si="1"/>
        <v>23-May-2025</v>
      </c>
      <c r="H437" s="61" t="s">
        <v>57</v>
      </c>
      <c r="I437" s="61" t="s">
        <v>2192</v>
      </c>
      <c r="J437" s="27" t="str">
        <f t="shared" si="4"/>
        <v>11-Jul-2025</v>
      </c>
      <c r="K437" s="61" t="s">
        <v>2193</v>
      </c>
      <c r="L437" s="27" t="str">
        <f t="shared" si="5"/>
        <v>23-May-2025</v>
      </c>
      <c r="M437" s="63" t="s">
        <v>291</v>
      </c>
      <c r="N437" s="61" t="s">
        <v>177</v>
      </c>
      <c r="O437" s="61" t="s">
        <v>1913</v>
      </c>
      <c r="P437" s="61">
        <v>1.0</v>
      </c>
      <c r="Q437" s="66" t="s">
        <v>2194</v>
      </c>
      <c r="R437" s="27" t="str">
        <f>IFERROR(__xludf.DUMMYFUNCTION("IF(REGEXMATCH(N437, ""PRIORITY: Low""), ""Low"", IF(REGEXMATCH(N437, ""PRIORITY: Medium""), ""Medium"", IF(REGEXMATCH(N437, ""PRIORITY: High""), ""High"", """")))
"),"")</f>
        <v/>
      </c>
      <c r="S437" s="27" t="str">
        <f>IFERROR(__xludf.DUMMYFUNCTION("IF(REGEXMATCH(N437, ""SKILL: Low""), ""Low"", IF(REGEXMATCH(N437, ""SKILL: Medium""), ""Medium"", IF(REGEXMATCH(N437, ""SKILL: High""), ""High"", """")))"),"")</f>
        <v/>
      </c>
      <c r="T437" s="27" t="str">
        <f>IFERROR(__xludf.DUMMYFUNCTION("IF(REGEXMATCH(N437, ""STATUS: Dev Complete - Awaiting QA""), ""Dev Complete - Awaiting QA"", IF(REGEXMATCH(N437, ""STATUS: Follow-Up Required""), ""Follow-Up Required"", IF(REGEXMATCH(N437, ""STATUS: In Progress""), ""In Progress"", IF(REGEXMATCH(N437, """&amp;"STATUS: In QA""), ""In QA"", IF(REGEXMATCH(N437, ""STATUS: Needs Customer Feedback""), ""Needs Customer Feedback"", IF(REGEXMATCH(N437, ""STATUS: QA Passed - Awaiting Release""), ""QA Passed - Awaiting Release"", IF(REGEXMATCH(N437, ""STATUS: Release to P"&amp;"rod""), ""Release to Prod"", """")))))))"),"")</f>
        <v/>
      </c>
    </row>
    <row r="438">
      <c r="A438" s="61" t="s">
        <v>45</v>
      </c>
      <c r="B438" s="12" t="s">
        <v>46</v>
      </c>
      <c r="C438" s="61">
        <v>177.0</v>
      </c>
      <c r="D438" s="62" t="s">
        <v>2195</v>
      </c>
      <c r="E438" s="56" t="s">
        <v>246</v>
      </c>
      <c r="F438" s="61" t="s">
        <v>2196</v>
      </c>
      <c r="G438" s="57" t="str">
        <f t="shared" si="1"/>
        <v>22-May-2025</v>
      </c>
      <c r="H438" s="61" t="s">
        <v>57</v>
      </c>
      <c r="I438" s="61" t="s">
        <v>2197</v>
      </c>
      <c r="J438" s="27" t="str">
        <f t="shared" si="4"/>
        <v>31-Jul-2025</v>
      </c>
      <c r="K438" s="27"/>
      <c r="L438" s="27" t="str">
        <f t="shared" si="5"/>
        <v/>
      </c>
      <c r="M438" s="63" t="s">
        <v>249</v>
      </c>
      <c r="N438" s="61" t="s">
        <v>2198</v>
      </c>
      <c r="O438" s="67" t="s">
        <v>57</v>
      </c>
      <c r="P438" s="61">
        <v>6.0</v>
      </c>
      <c r="Q438" s="66" t="s">
        <v>2199</v>
      </c>
      <c r="R438" s="27" t="str">
        <f>IFERROR(__xludf.DUMMYFUNCTION("IF(REGEXMATCH(N438, ""PRIORITY: Low""), ""Low"", IF(REGEXMATCH(N438, ""PRIORITY: Medium""), ""Medium"", IF(REGEXMATCH(N438, ""PRIORITY: High""), ""High"", """")))
"),"Low")</f>
        <v>Low</v>
      </c>
      <c r="S438" s="27" t="str">
        <f>IFERROR(__xludf.DUMMYFUNCTION("IF(REGEXMATCH(N438, ""SKILL: Low""), ""Low"", IF(REGEXMATCH(N438, ""SKILL: Medium""), ""Medium"", IF(REGEXMATCH(N438, ""SKILL: High""), ""High"", """")))"),"Medium")</f>
        <v>Medium</v>
      </c>
      <c r="T438" s="27" t="str">
        <f>IFERROR(__xludf.DUMMYFUNCTION("IF(REGEXMATCH(N438, ""STATUS: Dev Complete - Awaiting QA""), ""Dev Complete - Awaiting QA"", IF(REGEXMATCH(N438, ""STATUS: Follow-Up Required""), ""Follow-Up Required"", IF(REGEXMATCH(N438, ""STATUS: In Progress""), ""In Progress"", IF(REGEXMATCH(N438, """&amp;"STATUS: In QA""), ""In QA"", IF(REGEXMATCH(N438, ""STATUS: Needs Customer Feedback""), ""Needs Customer Feedback"", IF(REGEXMATCH(N438, ""STATUS: QA Passed - Awaiting Release""), ""QA Passed - Awaiting Release"", IF(REGEXMATCH(N438, ""STATUS: Release to P"&amp;"rod""), ""Release to Prod"", """")))))))"),"Needs Customer Feedback")</f>
        <v>Needs Customer Feedback</v>
      </c>
    </row>
    <row r="439">
      <c r="A439" s="61" t="s">
        <v>45</v>
      </c>
      <c r="B439" s="12" t="s">
        <v>46</v>
      </c>
      <c r="C439" s="61">
        <v>176.0</v>
      </c>
      <c r="D439" s="62" t="s">
        <v>2200</v>
      </c>
      <c r="E439" s="56" t="s">
        <v>246</v>
      </c>
      <c r="F439" s="61" t="s">
        <v>2201</v>
      </c>
      <c r="G439" s="57" t="str">
        <f t="shared" si="1"/>
        <v>22-May-2025</v>
      </c>
      <c r="H439" s="61" t="s">
        <v>57</v>
      </c>
      <c r="I439" s="61" t="s">
        <v>2202</v>
      </c>
      <c r="J439" s="27" t="str">
        <f t="shared" si="4"/>
        <v>31-Jul-2025</v>
      </c>
      <c r="K439" s="27"/>
      <c r="L439" s="27" t="str">
        <f t="shared" si="5"/>
        <v/>
      </c>
      <c r="M439" s="63" t="s">
        <v>249</v>
      </c>
      <c r="N439" s="61" t="s">
        <v>302</v>
      </c>
      <c r="O439" s="67" t="s">
        <v>37</v>
      </c>
      <c r="P439" s="61">
        <v>1.0</v>
      </c>
      <c r="Q439" s="66" t="s">
        <v>2203</v>
      </c>
      <c r="R439" s="27" t="str">
        <f>IFERROR(__xludf.DUMMYFUNCTION("IF(REGEXMATCH(N439, ""PRIORITY: Low""), ""Low"", IF(REGEXMATCH(N439, ""PRIORITY: Medium""), ""Medium"", IF(REGEXMATCH(N439, ""PRIORITY: High""), ""High"", """")))
"),"Low")</f>
        <v>Low</v>
      </c>
      <c r="S439" s="27" t="str">
        <f>IFERROR(__xludf.DUMMYFUNCTION("IF(REGEXMATCH(N439, ""SKILL: Low""), ""Low"", IF(REGEXMATCH(N439, ""SKILL: Medium""), ""Medium"", IF(REGEXMATCH(N439, ""SKILL: High""), ""High"", """")))"),"Low")</f>
        <v>Low</v>
      </c>
      <c r="T439" s="27" t="str">
        <f>IFERROR(__xludf.DUMMYFUNCTION("IF(REGEXMATCH(N439, ""STATUS: Dev Complete - Awaiting QA""), ""Dev Complete - Awaiting QA"", IF(REGEXMATCH(N439, ""STATUS: Follow-Up Required""), ""Follow-Up Required"", IF(REGEXMATCH(N439, ""STATUS: In Progress""), ""In Progress"", IF(REGEXMATCH(N439, """&amp;"STATUS: In QA""), ""In QA"", IF(REGEXMATCH(N439, ""STATUS: Needs Customer Feedback""), ""Needs Customer Feedback"", IF(REGEXMATCH(N439, ""STATUS: QA Passed - Awaiting Release""), ""QA Passed - Awaiting Release"", IF(REGEXMATCH(N439, ""STATUS: Release to P"&amp;"rod""), ""Release to Prod"", """")))))))"),"")</f>
        <v/>
      </c>
    </row>
    <row r="440" hidden="1">
      <c r="A440" s="61" t="s">
        <v>45</v>
      </c>
      <c r="B440" s="12" t="s">
        <v>46</v>
      </c>
      <c r="C440" s="61">
        <v>175.0</v>
      </c>
      <c r="D440" s="62" t="s">
        <v>2204</v>
      </c>
      <c r="E440" s="56" t="s">
        <v>173</v>
      </c>
      <c r="F440" s="61" t="s">
        <v>2205</v>
      </c>
      <c r="G440" s="57" t="str">
        <f t="shared" si="1"/>
        <v>22-May-2025</v>
      </c>
      <c r="H440" s="61" t="s">
        <v>57</v>
      </c>
      <c r="I440" s="61" t="s">
        <v>2206</v>
      </c>
      <c r="J440" s="27" t="str">
        <f t="shared" si="4"/>
        <v>28-Aug-2025</v>
      </c>
      <c r="K440" s="61" t="s">
        <v>2206</v>
      </c>
      <c r="L440" s="27" t="str">
        <f t="shared" si="5"/>
        <v>28-Aug-2025</v>
      </c>
      <c r="M440" s="63" t="s">
        <v>285</v>
      </c>
      <c r="N440" s="61" t="s">
        <v>2207</v>
      </c>
      <c r="O440" s="61" t="s">
        <v>37</v>
      </c>
      <c r="P440" s="61">
        <v>3.0</v>
      </c>
      <c r="Q440" s="66" t="s">
        <v>2208</v>
      </c>
      <c r="R440" s="27" t="str">
        <f>IFERROR(__xludf.DUMMYFUNCTION("IF(REGEXMATCH(N440, ""PRIORITY: Low""), ""Low"", IF(REGEXMATCH(N440, ""PRIORITY: Medium""), ""Medium"", IF(REGEXMATCH(N440, ""PRIORITY: High""), ""High"", """")))
"),"High")</f>
        <v>High</v>
      </c>
      <c r="S440" s="27" t="str">
        <f>IFERROR(__xludf.DUMMYFUNCTION("IF(REGEXMATCH(N440, ""SKILL: Low""), ""Low"", IF(REGEXMATCH(N440, ""SKILL: Medium""), ""Medium"", IF(REGEXMATCH(N440, ""SKILL: High""), ""High"", """")))"),"Medium")</f>
        <v>Medium</v>
      </c>
      <c r="T440" s="27" t="str">
        <f>IFERROR(__xludf.DUMMYFUNCTION("IF(REGEXMATCH(N440, ""STATUS: Dev Complete - Awaiting QA""), ""Dev Complete - Awaiting QA"", IF(REGEXMATCH(N440, ""STATUS: Follow-Up Required""), ""Follow-Up Required"", IF(REGEXMATCH(N440, ""STATUS: In Progress""), ""In Progress"", IF(REGEXMATCH(N440, """&amp;"STATUS: In QA""), ""In QA"", IF(REGEXMATCH(N440, ""STATUS: Needs Customer Feedback""), ""Needs Customer Feedback"", IF(REGEXMATCH(N440, ""STATUS: QA Passed - Awaiting Release""), ""QA Passed - Awaiting Release"", IF(REGEXMATCH(N440, ""STATUS: Release to P"&amp;"rod""), ""Release to Prod"", """")))))))"),"In Progress")</f>
        <v>In Progress</v>
      </c>
    </row>
    <row r="441" hidden="1">
      <c r="A441" s="61" t="s">
        <v>45</v>
      </c>
      <c r="B441" s="12" t="s">
        <v>46</v>
      </c>
      <c r="C441" s="61">
        <v>174.0</v>
      </c>
      <c r="D441" s="62" t="s">
        <v>2209</v>
      </c>
      <c r="E441" s="56" t="s">
        <v>173</v>
      </c>
      <c r="F441" s="61" t="s">
        <v>2210</v>
      </c>
      <c r="G441" s="57" t="str">
        <f t="shared" si="1"/>
        <v>16-May-2025</v>
      </c>
      <c r="H441" s="61" t="s">
        <v>57</v>
      </c>
      <c r="I441" s="61" t="s">
        <v>699</v>
      </c>
      <c r="J441" s="27" t="str">
        <f t="shared" si="4"/>
        <v>19-Sep-2025</v>
      </c>
      <c r="K441" s="61" t="s">
        <v>2211</v>
      </c>
      <c r="L441" s="27" t="str">
        <f t="shared" si="5"/>
        <v>29-May-2025</v>
      </c>
      <c r="M441" s="63" t="s">
        <v>249</v>
      </c>
      <c r="N441" s="61" t="s">
        <v>177</v>
      </c>
      <c r="O441" s="61" t="s">
        <v>57</v>
      </c>
      <c r="P441" s="61">
        <v>2.0</v>
      </c>
      <c r="Q441" s="66" t="s">
        <v>2212</v>
      </c>
      <c r="R441" s="27" t="str">
        <f>IFERROR(__xludf.DUMMYFUNCTION("IF(REGEXMATCH(N441, ""PRIORITY: Low""), ""Low"", IF(REGEXMATCH(N441, ""PRIORITY: Medium""), ""Medium"", IF(REGEXMATCH(N441, ""PRIORITY: High""), ""High"", """")))
"),"")</f>
        <v/>
      </c>
      <c r="S441" s="27" t="str">
        <f>IFERROR(__xludf.DUMMYFUNCTION("IF(REGEXMATCH(N441, ""SKILL: Low""), ""Low"", IF(REGEXMATCH(N441, ""SKILL: Medium""), ""Medium"", IF(REGEXMATCH(N441, ""SKILL: High""), ""High"", """")))"),"")</f>
        <v/>
      </c>
      <c r="T441" s="27" t="str">
        <f>IFERROR(__xludf.DUMMYFUNCTION("IF(REGEXMATCH(N441, ""STATUS: Dev Complete - Awaiting QA""), ""Dev Complete - Awaiting QA"", IF(REGEXMATCH(N441, ""STATUS: Follow-Up Required""), ""Follow-Up Required"", IF(REGEXMATCH(N441, ""STATUS: In Progress""), ""In Progress"", IF(REGEXMATCH(N441, """&amp;"STATUS: In QA""), ""In QA"", IF(REGEXMATCH(N441, ""STATUS: Needs Customer Feedback""), ""Needs Customer Feedback"", IF(REGEXMATCH(N441, ""STATUS: QA Passed - Awaiting Release""), ""QA Passed - Awaiting Release"", IF(REGEXMATCH(N441, ""STATUS: Release to P"&amp;"rod""), ""Release to Prod"", """")))))))"),"")</f>
        <v/>
      </c>
    </row>
    <row r="442" hidden="1">
      <c r="A442" s="61" t="s">
        <v>45</v>
      </c>
      <c r="B442" s="12" t="s">
        <v>46</v>
      </c>
      <c r="C442" s="61">
        <v>172.0</v>
      </c>
      <c r="D442" s="62" t="s">
        <v>2213</v>
      </c>
      <c r="E442" s="56" t="s">
        <v>173</v>
      </c>
      <c r="F442" s="61" t="s">
        <v>2214</v>
      </c>
      <c r="G442" s="57" t="str">
        <f t="shared" si="1"/>
        <v>13-May-2025</v>
      </c>
      <c r="H442" s="61" t="s">
        <v>57</v>
      </c>
      <c r="I442" s="61" t="s">
        <v>2215</v>
      </c>
      <c r="J442" s="27" t="str">
        <f t="shared" si="4"/>
        <v>11-Jul-2025</v>
      </c>
      <c r="K442" s="61" t="s">
        <v>2216</v>
      </c>
      <c r="L442" s="27" t="str">
        <f t="shared" si="5"/>
        <v>11-Jun-2025</v>
      </c>
      <c r="M442" s="63" t="s">
        <v>249</v>
      </c>
      <c r="N442" s="61" t="s">
        <v>177</v>
      </c>
      <c r="O442" s="61" t="s">
        <v>553</v>
      </c>
      <c r="P442" s="61">
        <v>5.0</v>
      </c>
      <c r="Q442" s="66" t="s">
        <v>2217</v>
      </c>
      <c r="R442" s="27" t="str">
        <f>IFERROR(__xludf.DUMMYFUNCTION("IF(REGEXMATCH(N442, ""PRIORITY: Low""), ""Low"", IF(REGEXMATCH(N442, ""PRIORITY: Medium""), ""Medium"", IF(REGEXMATCH(N442, ""PRIORITY: High""), ""High"", """")))
"),"")</f>
        <v/>
      </c>
      <c r="S442" s="27" t="str">
        <f>IFERROR(__xludf.DUMMYFUNCTION("IF(REGEXMATCH(N442, ""SKILL: Low""), ""Low"", IF(REGEXMATCH(N442, ""SKILL: Medium""), ""Medium"", IF(REGEXMATCH(N442, ""SKILL: High""), ""High"", """")))"),"")</f>
        <v/>
      </c>
      <c r="T442" s="27" t="str">
        <f>IFERROR(__xludf.DUMMYFUNCTION("IF(REGEXMATCH(N442, ""STATUS: Dev Complete - Awaiting QA""), ""Dev Complete - Awaiting QA"", IF(REGEXMATCH(N442, ""STATUS: Follow-Up Required""), ""Follow-Up Required"", IF(REGEXMATCH(N442, ""STATUS: In Progress""), ""In Progress"", IF(REGEXMATCH(N442, """&amp;"STATUS: In QA""), ""In QA"", IF(REGEXMATCH(N442, ""STATUS: Needs Customer Feedback""), ""Needs Customer Feedback"", IF(REGEXMATCH(N442, ""STATUS: QA Passed - Awaiting Release""), ""QA Passed - Awaiting Release"", IF(REGEXMATCH(N442, ""STATUS: Release to P"&amp;"rod""), ""Release to Prod"", """")))))))"),"")</f>
        <v/>
      </c>
    </row>
    <row r="443" hidden="1">
      <c r="A443" s="61" t="s">
        <v>45</v>
      </c>
      <c r="B443" s="12" t="s">
        <v>46</v>
      </c>
      <c r="C443" s="61">
        <v>171.0</v>
      </c>
      <c r="D443" s="62" t="s">
        <v>2218</v>
      </c>
      <c r="E443" s="56" t="s">
        <v>173</v>
      </c>
      <c r="F443" s="61" t="s">
        <v>2219</v>
      </c>
      <c r="G443" s="57" t="str">
        <f t="shared" si="1"/>
        <v>13-May-2025</v>
      </c>
      <c r="H443" s="61" t="s">
        <v>57</v>
      </c>
      <c r="I443" s="61" t="s">
        <v>2220</v>
      </c>
      <c r="J443" s="27" t="str">
        <f t="shared" si="4"/>
        <v>19-Sep-2025</v>
      </c>
      <c r="K443" s="61" t="s">
        <v>2221</v>
      </c>
      <c r="L443" s="27" t="str">
        <f t="shared" si="5"/>
        <v>11-Jun-2025</v>
      </c>
      <c r="M443" s="63" t="s">
        <v>249</v>
      </c>
      <c r="N443" s="61" t="s">
        <v>177</v>
      </c>
      <c r="O443" s="61" t="s">
        <v>47</v>
      </c>
      <c r="P443" s="61">
        <v>2.0</v>
      </c>
      <c r="Q443" s="66" t="s">
        <v>2222</v>
      </c>
      <c r="R443" s="27" t="str">
        <f>IFERROR(__xludf.DUMMYFUNCTION("IF(REGEXMATCH(N443, ""PRIORITY: Low""), ""Low"", IF(REGEXMATCH(N443, ""PRIORITY: Medium""), ""Medium"", IF(REGEXMATCH(N443, ""PRIORITY: High""), ""High"", """")))
"),"")</f>
        <v/>
      </c>
      <c r="S443" s="27" t="str">
        <f>IFERROR(__xludf.DUMMYFUNCTION("IF(REGEXMATCH(N443, ""SKILL: Low""), ""Low"", IF(REGEXMATCH(N443, ""SKILL: Medium""), ""Medium"", IF(REGEXMATCH(N443, ""SKILL: High""), ""High"", """")))"),"")</f>
        <v/>
      </c>
      <c r="T443" s="27" t="str">
        <f>IFERROR(__xludf.DUMMYFUNCTION("IF(REGEXMATCH(N443, ""STATUS: Dev Complete - Awaiting QA""), ""Dev Complete - Awaiting QA"", IF(REGEXMATCH(N443, ""STATUS: Follow-Up Required""), ""Follow-Up Required"", IF(REGEXMATCH(N443, ""STATUS: In Progress""), ""In Progress"", IF(REGEXMATCH(N443, """&amp;"STATUS: In QA""), ""In QA"", IF(REGEXMATCH(N443, ""STATUS: Needs Customer Feedback""), ""Needs Customer Feedback"", IF(REGEXMATCH(N443, ""STATUS: QA Passed - Awaiting Release""), ""QA Passed - Awaiting Release"", IF(REGEXMATCH(N443, ""STATUS: Release to P"&amp;"rod""), ""Release to Prod"", """")))))))"),"")</f>
        <v/>
      </c>
    </row>
    <row r="444">
      <c r="A444" s="61" t="s">
        <v>45</v>
      </c>
      <c r="B444" s="12" t="s">
        <v>46</v>
      </c>
      <c r="C444" s="61">
        <v>170.0</v>
      </c>
      <c r="D444" s="62" t="s">
        <v>2223</v>
      </c>
      <c r="E444" s="56" t="s">
        <v>246</v>
      </c>
      <c r="F444" s="61" t="s">
        <v>2224</v>
      </c>
      <c r="G444" s="57" t="str">
        <f t="shared" si="1"/>
        <v>13-May-2025</v>
      </c>
      <c r="H444" s="61" t="s">
        <v>57</v>
      </c>
      <c r="I444" s="61" t="s">
        <v>2225</v>
      </c>
      <c r="J444" s="27" t="str">
        <f t="shared" si="4"/>
        <v>05-Sep-2025</v>
      </c>
      <c r="K444" s="27"/>
      <c r="L444" s="27" t="str">
        <f t="shared" si="5"/>
        <v/>
      </c>
      <c r="M444" s="63" t="s">
        <v>249</v>
      </c>
      <c r="N444" s="61" t="s">
        <v>522</v>
      </c>
      <c r="O444" s="67" t="s">
        <v>37</v>
      </c>
      <c r="P444" s="61">
        <v>2.0</v>
      </c>
      <c r="Q444" s="66" t="s">
        <v>2226</v>
      </c>
      <c r="R444" s="27" t="str">
        <f>IFERROR(__xludf.DUMMYFUNCTION("IF(REGEXMATCH(N444, ""PRIORITY: Low""), ""Low"", IF(REGEXMATCH(N444, ""PRIORITY: Medium""), ""Medium"", IF(REGEXMATCH(N444, ""PRIORITY: High""), ""High"", """")))
"),"Low")</f>
        <v>Low</v>
      </c>
      <c r="S444" s="27" t="str">
        <f>IFERROR(__xludf.DUMMYFUNCTION("IF(REGEXMATCH(N444, ""SKILL: Low""), ""Low"", IF(REGEXMATCH(N444, ""SKILL: Medium""), ""Medium"", IF(REGEXMATCH(N444, ""SKILL: High""), ""High"", """")))"),"Medium")</f>
        <v>Medium</v>
      </c>
      <c r="T444" s="27" t="str">
        <f>IFERROR(__xludf.DUMMYFUNCTION("IF(REGEXMATCH(N444, ""STATUS: Dev Complete - Awaiting QA""), ""Dev Complete - Awaiting QA"", IF(REGEXMATCH(N444, ""STATUS: Follow-Up Required""), ""Follow-Up Required"", IF(REGEXMATCH(N444, ""STATUS: In Progress""), ""In Progress"", IF(REGEXMATCH(N444, """&amp;"STATUS: In QA""), ""In QA"", IF(REGEXMATCH(N444, ""STATUS: Needs Customer Feedback""), ""Needs Customer Feedback"", IF(REGEXMATCH(N444, ""STATUS: QA Passed - Awaiting Release""), ""QA Passed - Awaiting Release"", IF(REGEXMATCH(N444, ""STATUS: Release to P"&amp;"rod""), ""Release to Prod"", """")))))))"),"")</f>
        <v/>
      </c>
    </row>
    <row r="445">
      <c r="A445" s="61" t="s">
        <v>45</v>
      </c>
      <c r="B445" s="12" t="s">
        <v>46</v>
      </c>
      <c r="C445" s="61">
        <v>169.0</v>
      </c>
      <c r="D445" s="62" t="s">
        <v>2227</v>
      </c>
      <c r="E445" s="56" t="s">
        <v>246</v>
      </c>
      <c r="F445" s="61" t="s">
        <v>2228</v>
      </c>
      <c r="G445" s="57" t="str">
        <f t="shared" si="1"/>
        <v>13-May-2025</v>
      </c>
      <c r="H445" s="61" t="s">
        <v>57</v>
      </c>
      <c r="I445" s="61" t="s">
        <v>2229</v>
      </c>
      <c r="J445" s="27" t="str">
        <f t="shared" si="4"/>
        <v>31-Jul-2025</v>
      </c>
      <c r="K445" s="27"/>
      <c r="L445" s="27" t="str">
        <f t="shared" si="5"/>
        <v/>
      </c>
      <c r="M445" s="63" t="s">
        <v>249</v>
      </c>
      <c r="N445" s="61" t="s">
        <v>1946</v>
      </c>
      <c r="O445" s="67" t="s">
        <v>57</v>
      </c>
      <c r="P445" s="61">
        <v>1.0</v>
      </c>
      <c r="Q445" s="66" t="s">
        <v>2230</v>
      </c>
      <c r="R445" s="27" t="str">
        <f>IFERROR(__xludf.DUMMYFUNCTION("IF(REGEXMATCH(N445, ""PRIORITY: Low""), ""Low"", IF(REGEXMATCH(N445, ""PRIORITY: Medium""), ""Medium"", IF(REGEXMATCH(N445, ""PRIORITY: High""), ""High"", """")))
"),"Low")</f>
        <v>Low</v>
      </c>
      <c r="S445" s="27" t="str">
        <f>IFERROR(__xludf.DUMMYFUNCTION("IF(REGEXMATCH(N445, ""SKILL: Low""), ""Low"", IF(REGEXMATCH(N445, ""SKILL: Medium""), ""Medium"", IF(REGEXMATCH(N445, ""SKILL: High""), ""High"", """")))"),"Low")</f>
        <v>Low</v>
      </c>
      <c r="T445" s="27" t="str">
        <f>IFERROR(__xludf.DUMMYFUNCTION("IF(REGEXMATCH(N445, ""STATUS: Dev Complete - Awaiting QA""), ""Dev Complete - Awaiting QA"", IF(REGEXMATCH(N445, ""STATUS: Follow-Up Required""), ""Follow-Up Required"", IF(REGEXMATCH(N445, ""STATUS: In Progress""), ""In Progress"", IF(REGEXMATCH(N445, """&amp;"STATUS: In QA""), ""In QA"", IF(REGEXMATCH(N445, ""STATUS: Needs Customer Feedback""), ""Needs Customer Feedback"", IF(REGEXMATCH(N445, ""STATUS: QA Passed - Awaiting Release""), ""QA Passed - Awaiting Release"", IF(REGEXMATCH(N445, ""STATUS: Release to P"&amp;"rod""), ""Release to Prod"", """")))))))"),"Needs Customer Feedback")</f>
        <v>Needs Customer Feedback</v>
      </c>
    </row>
    <row r="446" hidden="1">
      <c r="A446" s="61" t="s">
        <v>45</v>
      </c>
      <c r="B446" s="12" t="s">
        <v>46</v>
      </c>
      <c r="C446" s="61">
        <v>168.0</v>
      </c>
      <c r="D446" s="62" t="s">
        <v>2231</v>
      </c>
      <c r="E446" s="56" t="s">
        <v>173</v>
      </c>
      <c r="F446" s="61" t="s">
        <v>2232</v>
      </c>
      <c r="G446" s="57" t="str">
        <f t="shared" si="1"/>
        <v>13-May-2025</v>
      </c>
      <c r="H446" s="61" t="s">
        <v>57</v>
      </c>
      <c r="I446" s="61" t="s">
        <v>2220</v>
      </c>
      <c r="J446" s="27" t="str">
        <f t="shared" si="4"/>
        <v>19-Sep-2025</v>
      </c>
      <c r="K446" s="61" t="s">
        <v>2233</v>
      </c>
      <c r="L446" s="27" t="str">
        <f t="shared" si="5"/>
        <v>11-Jun-2025</v>
      </c>
      <c r="M446" s="63" t="s">
        <v>249</v>
      </c>
      <c r="N446" s="61" t="s">
        <v>177</v>
      </c>
      <c r="O446" s="61" t="s">
        <v>47</v>
      </c>
      <c r="P446" s="61">
        <v>2.0</v>
      </c>
      <c r="Q446" s="66" t="s">
        <v>2234</v>
      </c>
      <c r="R446" s="27" t="str">
        <f>IFERROR(__xludf.DUMMYFUNCTION("IF(REGEXMATCH(N446, ""PRIORITY: Low""), ""Low"", IF(REGEXMATCH(N446, ""PRIORITY: Medium""), ""Medium"", IF(REGEXMATCH(N446, ""PRIORITY: High""), ""High"", """")))
"),"")</f>
        <v/>
      </c>
      <c r="S446" s="27" t="str">
        <f>IFERROR(__xludf.DUMMYFUNCTION("IF(REGEXMATCH(N446, ""SKILL: Low""), ""Low"", IF(REGEXMATCH(N446, ""SKILL: Medium""), ""Medium"", IF(REGEXMATCH(N446, ""SKILL: High""), ""High"", """")))"),"")</f>
        <v/>
      </c>
      <c r="T446" s="27" t="str">
        <f>IFERROR(__xludf.DUMMYFUNCTION("IF(REGEXMATCH(N446, ""STATUS: Dev Complete - Awaiting QA""), ""Dev Complete - Awaiting QA"", IF(REGEXMATCH(N446, ""STATUS: Follow-Up Required""), ""Follow-Up Required"", IF(REGEXMATCH(N446, ""STATUS: In Progress""), ""In Progress"", IF(REGEXMATCH(N446, """&amp;"STATUS: In QA""), ""In QA"", IF(REGEXMATCH(N446, ""STATUS: Needs Customer Feedback""), ""Needs Customer Feedback"", IF(REGEXMATCH(N446, ""STATUS: QA Passed - Awaiting Release""), ""QA Passed - Awaiting Release"", IF(REGEXMATCH(N446, ""STATUS: Release to P"&amp;"rod""), ""Release to Prod"", """")))))))"),"")</f>
        <v/>
      </c>
    </row>
    <row r="447" hidden="1">
      <c r="A447" s="61" t="s">
        <v>45</v>
      </c>
      <c r="B447" s="12" t="s">
        <v>46</v>
      </c>
      <c r="C447" s="61">
        <v>167.0</v>
      </c>
      <c r="D447" s="62" t="s">
        <v>2235</v>
      </c>
      <c r="E447" s="56" t="s">
        <v>173</v>
      </c>
      <c r="F447" s="61" t="s">
        <v>2236</v>
      </c>
      <c r="G447" s="57" t="str">
        <f t="shared" si="1"/>
        <v>13-May-2025</v>
      </c>
      <c r="H447" s="61" t="s">
        <v>57</v>
      </c>
      <c r="I447" s="61" t="s">
        <v>2237</v>
      </c>
      <c r="J447" s="27" t="str">
        <f t="shared" si="4"/>
        <v>11-Jul-2025</v>
      </c>
      <c r="K447" s="61" t="s">
        <v>2238</v>
      </c>
      <c r="L447" s="27" t="str">
        <f t="shared" si="5"/>
        <v>11-Jun-2025</v>
      </c>
      <c r="M447" s="63" t="s">
        <v>285</v>
      </c>
      <c r="N447" s="61" t="s">
        <v>177</v>
      </c>
      <c r="O447" s="61" t="s">
        <v>553</v>
      </c>
      <c r="P447" s="61">
        <v>3.0</v>
      </c>
      <c r="Q447" s="66" t="s">
        <v>2239</v>
      </c>
      <c r="R447" s="27" t="str">
        <f>IFERROR(__xludf.DUMMYFUNCTION("IF(REGEXMATCH(N447, ""PRIORITY: Low""), ""Low"", IF(REGEXMATCH(N447, ""PRIORITY: Medium""), ""Medium"", IF(REGEXMATCH(N447, ""PRIORITY: High""), ""High"", """")))
"),"")</f>
        <v/>
      </c>
      <c r="S447" s="27" t="str">
        <f>IFERROR(__xludf.DUMMYFUNCTION("IF(REGEXMATCH(N447, ""SKILL: Low""), ""Low"", IF(REGEXMATCH(N447, ""SKILL: Medium""), ""Medium"", IF(REGEXMATCH(N447, ""SKILL: High""), ""High"", """")))"),"")</f>
        <v/>
      </c>
      <c r="T447" s="27" t="str">
        <f>IFERROR(__xludf.DUMMYFUNCTION("IF(REGEXMATCH(N447, ""STATUS: Dev Complete - Awaiting QA""), ""Dev Complete - Awaiting QA"", IF(REGEXMATCH(N447, ""STATUS: Follow-Up Required""), ""Follow-Up Required"", IF(REGEXMATCH(N447, ""STATUS: In Progress""), ""In Progress"", IF(REGEXMATCH(N447, """&amp;"STATUS: In QA""), ""In QA"", IF(REGEXMATCH(N447, ""STATUS: Needs Customer Feedback""), ""Needs Customer Feedback"", IF(REGEXMATCH(N447, ""STATUS: QA Passed - Awaiting Release""), ""QA Passed - Awaiting Release"", IF(REGEXMATCH(N447, ""STATUS: Release to P"&amp;"rod""), ""Release to Prod"", """")))))))"),"")</f>
        <v/>
      </c>
    </row>
    <row r="448" hidden="1">
      <c r="A448" s="61" t="s">
        <v>45</v>
      </c>
      <c r="B448" s="12" t="s">
        <v>46</v>
      </c>
      <c r="C448" s="61">
        <v>166.0</v>
      </c>
      <c r="D448" s="62" t="s">
        <v>2240</v>
      </c>
      <c r="E448" s="56" t="s">
        <v>173</v>
      </c>
      <c r="F448" s="61" t="s">
        <v>2241</v>
      </c>
      <c r="G448" s="57" t="str">
        <f t="shared" si="1"/>
        <v>12-May-2025</v>
      </c>
      <c r="H448" s="61" t="s">
        <v>95</v>
      </c>
      <c r="I448" s="61" t="s">
        <v>708</v>
      </c>
      <c r="J448" s="27" t="str">
        <f t="shared" si="4"/>
        <v>19-Sep-2025</v>
      </c>
      <c r="K448" s="61" t="s">
        <v>2242</v>
      </c>
      <c r="L448" s="27" t="str">
        <f t="shared" si="5"/>
        <v>07-Sep-2025</v>
      </c>
      <c r="M448" s="63" t="s">
        <v>249</v>
      </c>
      <c r="N448" s="61" t="s">
        <v>302</v>
      </c>
      <c r="O448" s="27"/>
      <c r="P448" s="61">
        <v>2.0</v>
      </c>
      <c r="Q448" s="66" t="s">
        <v>2243</v>
      </c>
      <c r="R448" s="27" t="str">
        <f>IFERROR(__xludf.DUMMYFUNCTION("IF(REGEXMATCH(N448, ""PRIORITY: Low""), ""Low"", IF(REGEXMATCH(N448, ""PRIORITY: Medium""), ""Medium"", IF(REGEXMATCH(N448, ""PRIORITY: High""), ""High"", """")))
"),"Low")</f>
        <v>Low</v>
      </c>
      <c r="S448" s="27" t="str">
        <f>IFERROR(__xludf.DUMMYFUNCTION("IF(REGEXMATCH(N448, ""SKILL: Low""), ""Low"", IF(REGEXMATCH(N448, ""SKILL: Medium""), ""Medium"", IF(REGEXMATCH(N448, ""SKILL: High""), ""High"", """")))"),"Low")</f>
        <v>Low</v>
      </c>
      <c r="T448" s="27" t="str">
        <f>IFERROR(__xludf.DUMMYFUNCTION("IF(REGEXMATCH(N448, ""STATUS: Dev Complete - Awaiting QA""), ""Dev Complete - Awaiting QA"", IF(REGEXMATCH(N448, ""STATUS: Follow-Up Required""), ""Follow-Up Required"", IF(REGEXMATCH(N448, ""STATUS: In Progress""), ""In Progress"", IF(REGEXMATCH(N448, """&amp;"STATUS: In QA""), ""In QA"", IF(REGEXMATCH(N448, ""STATUS: Needs Customer Feedback""), ""Needs Customer Feedback"", IF(REGEXMATCH(N448, ""STATUS: QA Passed - Awaiting Release""), ""QA Passed - Awaiting Release"", IF(REGEXMATCH(N448, ""STATUS: Release to P"&amp;"rod""), ""Release to Prod"", """")))))))"),"")</f>
        <v/>
      </c>
    </row>
    <row r="449" hidden="1">
      <c r="A449" s="61" t="s">
        <v>45</v>
      </c>
      <c r="B449" s="12" t="s">
        <v>46</v>
      </c>
      <c r="C449" s="61">
        <v>155.0</v>
      </c>
      <c r="D449" s="62" t="s">
        <v>2244</v>
      </c>
      <c r="E449" s="56" t="s">
        <v>173</v>
      </c>
      <c r="F449" s="61" t="s">
        <v>2245</v>
      </c>
      <c r="G449" s="57" t="str">
        <f t="shared" si="1"/>
        <v>25-Apr-2025</v>
      </c>
      <c r="H449" s="61" t="s">
        <v>57</v>
      </c>
      <c r="I449" s="61" t="s">
        <v>2246</v>
      </c>
      <c r="J449" s="27" t="str">
        <f t="shared" si="4"/>
        <v>11-Jul-2025</v>
      </c>
      <c r="K449" s="61" t="s">
        <v>2247</v>
      </c>
      <c r="L449" s="27" t="str">
        <f t="shared" si="5"/>
        <v>28-Apr-2025</v>
      </c>
      <c r="M449" s="63" t="s">
        <v>285</v>
      </c>
      <c r="N449" s="61" t="s">
        <v>177</v>
      </c>
      <c r="O449" s="61" t="s">
        <v>37</v>
      </c>
      <c r="P449" s="61">
        <v>3.0</v>
      </c>
      <c r="Q449" s="66" t="s">
        <v>2248</v>
      </c>
      <c r="R449" s="27" t="str">
        <f>IFERROR(__xludf.DUMMYFUNCTION("IF(REGEXMATCH(N449, ""PRIORITY: Low""), ""Low"", IF(REGEXMATCH(N449, ""PRIORITY: Medium""), ""Medium"", IF(REGEXMATCH(N449, ""PRIORITY: High""), ""High"", """")))
"),"")</f>
        <v/>
      </c>
      <c r="S449" s="27" t="str">
        <f>IFERROR(__xludf.DUMMYFUNCTION("IF(REGEXMATCH(N449, ""SKILL: Low""), ""Low"", IF(REGEXMATCH(N449, ""SKILL: Medium""), ""Medium"", IF(REGEXMATCH(N449, ""SKILL: High""), ""High"", """")))"),"")</f>
        <v/>
      </c>
      <c r="T449" s="27" t="str">
        <f>IFERROR(__xludf.DUMMYFUNCTION("IF(REGEXMATCH(N449, ""STATUS: Dev Complete - Awaiting QA""), ""Dev Complete - Awaiting QA"", IF(REGEXMATCH(N449, ""STATUS: Follow-Up Required""), ""Follow-Up Required"", IF(REGEXMATCH(N449, ""STATUS: In Progress""), ""In Progress"", IF(REGEXMATCH(N449, """&amp;"STATUS: In QA""), ""In QA"", IF(REGEXMATCH(N449, ""STATUS: Needs Customer Feedback""), ""Needs Customer Feedback"", IF(REGEXMATCH(N449, ""STATUS: QA Passed - Awaiting Release""), ""QA Passed - Awaiting Release"", IF(REGEXMATCH(N449, ""STATUS: Release to P"&amp;"rod""), ""Release to Prod"", """")))))))"),"")</f>
        <v/>
      </c>
    </row>
    <row r="450" hidden="1">
      <c r="A450" s="61" t="s">
        <v>45</v>
      </c>
      <c r="B450" s="12" t="s">
        <v>46</v>
      </c>
      <c r="C450" s="61">
        <v>148.0</v>
      </c>
      <c r="D450" s="62" t="s">
        <v>2249</v>
      </c>
      <c r="E450" s="56" t="s">
        <v>173</v>
      </c>
      <c r="F450" s="61" t="s">
        <v>2250</v>
      </c>
      <c r="G450" s="57" t="str">
        <f t="shared" si="1"/>
        <v>24-Apr-2025</v>
      </c>
      <c r="H450" s="61" t="s">
        <v>57</v>
      </c>
      <c r="I450" s="61" t="s">
        <v>717</v>
      </c>
      <c r="J450" s="27" t="str">
        <f t="shared" si="4"/>
        <v>19-Sep-2025</v>
      </c>
      <c r="K450" s="61" t="s">
        <v>2251</v>
      </c>
      <c r="L450" s="27" t="str">
        <f t="shared" si="5"/>
        <v>28-Apr-2025</v>
      </c>
      <c r="M450" s="63" t="s">
        <v>285</v>
      </c>
      <c r="N450" s="61" t="s">
        <v>177</v>
      </c>
      <c r="O450" s="27"/>
      <c r="P450" s="61">
        <v>6.0</v>
      </c>
      <c r="Q450" s="66" t="s">
        <v>2252</v>
      </c>
      <c r="R450" s="27" t="str">
        <f>IFERROR(__xludf.DUMMYFUNCTION("IF(REGEXMATCH(N450, ""PRIORITY: Low""), ""Low"", IF(REGEXMATCH(N450, ""PRIORITY: Medium""), ""Medium"", IF(REGEXMATCH(N450, ""PRIORITY: High""), ""High"", """")))
"),"")</f>
        <v/>
      </c>
      <c r="S450" s="27" t="str">
        <f>IFERROR(__xludf.DUMMYFUNCTION("IF(REGEXMATCH(N450, ""SKILL: Low""), ""Low"", IF(REGEXMATCH(N450, ""SKILL: Medium""), ""Medium"", IF(REGEXMATCH(N450, ""SKILL: High""), ""High"", """")))"),"")</f>
        <v/>
      </c>
      <c r="T450" s="27" t="str">
        <f>IFERROR(__xludf.DUMMYFUNCTION("IF(REGEXMATCH(N450, ""STATUS: Dev Complete - Awaiting QA""), ""Dev Complete - Awaiting QA"", IF(REGEXMATCH(N450, ""STATUS: Follow-Up Required""), ""Follow-Up Required"", IF(REGEXMATCH(N450, ""STATUS: In Progress""), ""In Progress"", IF(REGEXMATCH(N450, """&amp;"STATUS: In QA""), ""In QA"", IF(REGEXMATCH(N450, ""STATUS: Needs Customer Feedback""), ""Needs Customer Feedback"", IF(REGEXMATCH(N450, ""STATUS: QA Passed - Awaiting Release""), ""QA Passed - Awaiting Release"", IF(REGEXMATCH(N450, ""STATUS: Release to P"&amp;"rod""), ""Release to Prod"", """")))))))"),"")</f>
        <v/>
      </c>
    </row>
    <row r="451" hidden="1">
      <c r="A451" s="61" t="s">
        <v>45</v>
      </c>
      <c r="B451" s="12" t="s">
        <v>46</v>
      </c>
      <c r="C451" s="61">
        <v>137.0</v>
      </c>
      <c r="D451" s="62" t="s">
        <v>2253</v>
      </c>
      <c r="E451" s="56" t="s">
        <v>173</v>
      </c>
      <c r="F451" s="61" t="s">
        <v>2254</v>
      </c>
      <c r="G451" s="57" t="str">
        <f t="shared" si="1"/>
        <v>11-Apr-2025</v>
      </c>
      <c r="H451" s="61" t="s">
        <v>57</v>
      </c>
      <c r="I451" s="61" t="s">
        <v>2255</v>
      </c>
      <c r="J451" s="27" t="str">
        <f t="shared" si="4"/>
        <v>11-Jul-2025</v>
      </c>
      <c r="K451" s="61" t="s">
        <v>2256</v>
      </c>
      <c r="L451" s="27" t="str">
        <f t="shared" si="5"/>
        <v>05-May-2025</v>
      </c>
      <c r="M451" s="63" t="s">
        <v>285</v>
      </c>
      <c r="N451" s="61" t="s">
        <v>177</v>
      </c>
      <c r="O451" s="61" t="s">
        <v>1913</v>
      </c>
      <c r="P451" s="61">
        <v>4.0</v>
      </c>
      <c r="Q451" s="66" t="s">
        <v>2257</v>
      </c>
      <c r="R451" s="27" t="str">
        <f>IFERROR(__xludf.DUMMYFUNCTION("IF(REGEXMATCH(N451, ""PRIORITY: Low""), ""Low"", IF(REGEXMATCH(N451, ""PRIORITY: Medium""), ""Medium"", IF(REGEXMATCH(N451, ""PRIORITY: High""), ""High"", """")))
"),"")</f>
        <v/>
      </c>
      <c r="S451" s="27" t="str">
        <f>IFERROR(__xludf.DUMMYFUNCTION("IF(REGEXMATCH(N451, ""SKILL: Low""), ""Low"", IF(REGEXMATCH(N451, ""SKILL: Medium""), ""Medium"", IF(REGEXMATCH(N451, ""SKILL: High""), ""High"", """")))"),"")</f>
        <v/>
      </c>
      <c r="T451" s="27" t="str">
        <f>IFERROR(__xludf.DUMMYFUNCTION("IF(REGEXMATCH(N451, ""STATUS: Dev Complete - Awaiting QA""), ""Dev Complete - Awaiting QA"", IF(REGEXMATCH(N451, ""STATUS: Follow-Up Required""), ""Follow-Up Required"", IF(REGEXMATCH(N451, ""STATUS: In Progress""), ""In Progress"", IF(REGEXMATCH(N451, """&amp;"STATUS: In QA""), ""In QA"", IF(REGEXMATCH(N451, ""STATUS: Needs Customer Feedback""), ""Needs Customer Feedback"", IF(REGEXMATCH(N451, ""STATUS: QA Passed - Awaiting Release""), ""QA Passed - Awaiting Release"", IF(REGEXMATCH(N451, ""STATUS: Release to P"&amp;"rod""), ""Release to Prod"", """")))))))"),"")</f>
        <v/>
      </c>
    </row>
    <row r="452" hidden="1">
      <c r="A452" s="61" t="s">
        <v>45</v>
      </c>
      <c r="B452" s="12" t="s">
        <v>46</v>
      </c>
      <c r="C452" s="61">
        <v>136.0</v>
      </c>
      <c r="D452" s="62" t="s">
        <v>2258</v>
      </c>
      <c r="E452" s="56" t="s">
        <v>173</v>
      </c>
      <c r="F452" s="61" t="s">
        <v>2259</v>
      </c>
      <c r="G452" s="57" t="str">
        <f t="shared" si="1"/>
        <v>11-Apr-2025</v>
      </c>
      <c r="H452" s="61" t="s">
        <v>57</v>
      </c>
      <c r="I452" s="61" t="s">
        <v>2260</v>
      </c>
      <c r="J452" s="27" t="str">
        <f t="shared" si="4"/>
        <v>11-Jul-2025</v>
      </c>
      <c r="K452" s="61" t="s">
        <v>2261</v>
      </c>
      <c r="L452" s="27" t="str">
        <f t="shared" si="5"/>
        <v>24-Apr-2025</v>
      </c>
      <c r="M452" s="63" t="s">
        <v>285</v>
      </c>
      <c r="N452" s="61" t="s">
        <v>177</v>
      </c>
      <c r="O452" s="61" t="s">
        <v>1913</v>
      </c>
      <c r="P452" s="61">
        <v>2.0</v>
      </c>
      <c r="Q452" s="66" t="s">
        <v>2262</v>
      </c>
      <c r="R452" s="27" t="str">
        <f>IFERROR(__xludf.DUMMYFUNCTION("IF(REGEXMATCH(N452, ""PRIORITY: Low""), ""Low"", IF(REGEXMATCH(N452, ""PRIORITY: Medium""), ""Medium"", IF(REGEXMATCH(N452, ""PRIORITY: High""), ""High"", """")))
"),"")</f>
        <v/>
      </c>
      <c r="S452" s="27" t="str">
        <f>IFERROR(__xludf.DUMMYFUNCTION("IF(REGEXMATCH(N452, ""SKILL: Low""), ""Low"", IF(REGEXMATCH(N452, ""SKILL: Medium""), ""Medium"", IF(REGEXMATCH(N452, ""SKILL: High""), ""High"", """")))"),"")</f>
        <v/>
      </c>
      <c r="T452" s="27" t="str">
        <f>IFERROR(__xludf.DUMMYFUNCTION("IF(REGEXMATCH(N452, ""STATUS: Dev Complete - Awaiting QA""), ""Dev Complete - Awaiting QA"", IF(REGEXMATCH(N452, ""STATUS: Follow-Up Required""), ""Follow-Up Required"", IF(REGEXMATCH(N452, ""STATUS: In Progress""), ""In Progress"", IF(REGEXMATCH(N452, """&amp;"STATUS: In QA""), ""In QA"", IF(REGEXMATCH(N452, ""STATUS: Needs Customer Feedback""), ""Needs Customer Feedback"", IF(REGEXMATCH(N452, ""STATUS: QA Passed - Awaiting Release""), ""QA Passed - Awaiting Release"", IF(REGEXMATCH(N452, ""STATUS: Release to P"&amp;"rod""), ""Release to Prod"", """")))))))"),"")</f>
        <v/>
      </c>
    </row>
    <row r="453" hidden="1">
      <c r="A453" s="61" t="s">
        <v>45</v>
      </c>
      <c r="B453" s="12" t="s">
        <v>46</v>
      </c>
      <c r="C453" s="61">
        <v>131.0</v>
      </c>
      <c r="D453" s="62" t="s">
        <v>2263</v>
      </c>
      <c r="E453" s="56" t="s">
        <v>173</v>
      </c>
      <c r="F453" s="61" t="s">
        <v>2264</v>
      </c>
      <c r="G453" s="57" t="str">
        <f t="shared" si="1"/>
        <v>10-Apr-2025</v>
      </c>
      <c r="H453" s="61" t="s">
        <v>57</v>
      </c>
      <c r="I453" s="61" t="s">
        <v>2265</v>
      </c>
      <c r="J453" s="27" t="str">
        <f t="shared" si="4"/>
        <v>11-Jul-2025</v>
      </c>
      <c r="K453" s="61" t="s">
        <v>2266</v>
      </c>
      <c r="L453" s="27" t="str">
        <f t="shared" si="5"/>
        <v>11-Apr-2025</v>
      </c>
      <c r="M453" s="63" t="s">
        <v>285</v>
      </c>
      <c r="N453" s="61" t="s">
        <v>177</v>
      </c>
      <c r="O453" s="61" t="s">
        <v>57</v>
      </c>
      <c r="P453" s="61">
        <v>4.0</v>
      </c>
      <c r="Q453" s="66" t="s">
        <v>2267</v>
      </c>
      <c r="R453" s="27" t="str">
        <f>IFERROR(__xludf.DUMMYFUNCTION("IF(REGEXMATCH(N453, ""PRIORITY: Low""), ""Low"", IF(REGEXMATCH(N453, ""PRIORITY: Medium""), ""Medium"", IF(REGEXMATCH(N453, ""PRIORITY: High""), ""High"", """")))
"),"")</f>
        <v/>
      </c>
      <c r="S453" s="27" t="str">
        <f>IFERROR(__xludf.DUMMYFUNCTION("IF(REGEXMATCH(N453, ""SKILL: Low""), ""Low"", IF(REGEXMATCH(N453, ""SKILL: Medium""), ""Medium"", IF(REGEXMATCH(N453, ""SKILL: High""), ""High"", """")))"),"")</f>
        <v/>
      </c>
      <c r="T453" s="27" t="str">
        <f>IFERROR(__xludf.DUMMYFUNCTION("IF(REGEXMATCH(N453, ""STATUS: Dev Complete - Awaiting QA""), ""Dev Complete - Awaiting QA"", IF(REGEXMATCH(N453, ""STATUS: Follow-Up Required""), ""Follow-Up Required"", IF(REGEXMATCH(N453, ""STATUS: In Progress""), ""In Progress"", IF(REGEXMATCH(N453, """&amp;"STATUS: In QA""), ""In QA"", IF(REGEXMATCH(N453, ""STATUS: Needs Customer Feedback""), ""Needs Customer Feedback"", IF(REGEXMATCH(N453, ""STATUS: QA Passed - Awaiting Release""), ""QA Passed - Awaiting Release"", IF(REGEXMATCH(N453, ""STATUS: Release to P"&amp;"rod""), ""Release to Prod"", """")))))))"),"")</f>
        <v/>
      </c>
    </row>
    <row r="454" hidden="1">
      <c r="A454" s="61" t="s">
        <v>45</v>
      </c>
      <c r="B454" s="12" t="s">
        <v>46</v>
      </c>
      <c r="C454" s="61">
        <v>126.0</v>
      </c>
      <c r="D454" s="62" t="s">
        <v>2268</v>
      </c>
      <c r="E454" s="56" t="s">
        <v>173</v>
      </c>
      <c r="F454" s="61" t="s">
        <v>2269</v>
      </c>
      <c r="G454" s="57" t="str">
        <f t="shared" si="1"/>
        <v>10-Apr-2025</v>
      </c>
      <c r="H454" s="61" t="s">
        <v>37</v>
      </c>
      <c r="I454" s="61" t="s">
        <v>2270</v>
      </c>
      <c r="J454" s="27" t="str">
        <f t="shared" si="4"/>
        <v>11-Jul-2025</v>
      </c>
      <c r="K454" s="61" t="s">
        <v>2271</v>
      </c>
      <c r="L454" s="27" t="str">
        <f t="shared" si="5"/>
        <v>24-Apr-2025</v>
      </c>
      <c r="M454" s="63" t="s">
        <v>285</v>
      </c>
      <c r="N454" s="61" t="s">
        <v>177</v>
      </c>
      <c r="O454" s="61" t="s">
        <v>2272</v>
      </c>
      <c r="P454" s="61">
        <v>2.0</v>
      </c>
      <c r="Q454" s="66" t="s">
        <v>2273</v>
      </c>
      <c r="R454" s="27" t="str">
        <f>IFERROR(__xludf.DUMMYFUNCTION("IF(REGEXMATCH(N454, ""PRIORITY: Low""), ""Low"", IF(REGEXMATCH(N454, ""PRIORITY: Medium""), ""Medium"", IF(REGEXMATCH(N454, ""PRIORITY: High""), ""High"", """")))
"),"")</f>
        <v/>
      </c>
      <c r="S454" s="27" t="str">
        <f>IFERROR(__xludf.DUMMYFUNCTION("IF(REGEXMATCH(N454, ""SKILL: Low""), ""Low"", IF(REGEXMATCH(N454, ""SKILL: Medium""), ""Medium"", IF(REGEXMATCH(N454, ""SKILL: High""), ""High"", """")))"),"")</f>
        <v/>
      </c>
      <c r="T454" s="27" t="str">
        <f>IFERROR(__xludf.DUMMYFUNCTION("IF(REGEXMATCH(N454, ""STATUS: Dev Complete - Awaiting QA""), ""Dev Complete - Awaiting QA"", IF(REGEXMATCH(N454, ""STATUS: Follow-Up Required""), ""Follow-Up Required"", IF(REGEXMATCH(N454, ""STATUS: In Progress""), ""In Progress"", IF(REGEXMATCH(N454, """&amp;"STATUS: In QA""), ""In QA"", IF(REGEXMATCH(N454, ""STATUS: Needs Customer Feedback""), ""Needs Customer Feedback"", IF(REGEXMATCH(N454, ""STATUS: QA Passed - Awaiting Release""), ""QA Passed - Awaiting Release"", IF(REGEXMATCH(N454, ""STATUS: Release to P"&amp;"rod""), ""Release to Prod"", """")))))))"),"")</f>
        <v/>
      </c>
    </row>
    <row r="455" hidden="1">
      <c r="A455" s="61" t="s">
        <v>45</v>
      </c>
      <c r="B455" s="12" t="s">
        <v>46</v>
      </c>
      <c r="C455" s="61">
        <v>120.0</v>
      </c>
      <c r="D455" s="62" t="s">
        <v>2274</v>
      </c>
      <c r="E455" s="56" t="s">
        <v>173</v>
      </c>
      <c r="F455" s="61" t="s">
        <v>2275</v>
      </c>
      <c r="G455" s="57" t="str">
        <f t="shared" si="1"/>
        <v>08-Apr-2025</v>
      </c>
      <c r="H455" s="61" t="s">
        <v>57</v>
      </c>
      <c r="I455" s="61" t="s">
        <v>800</v>
      </c>
      <c r="J455" s="27" t="str">
        <f t="shared" si="4"/>
        <v>19-Sep-2025</v>
      </c>
      <c r="K455" s="61" t="s">
        <v>2276</v>
      </c>
      <c r="L455" s="27" t="str">
        <f t="shared" si="5"/>
        <v>24-Apr-2025</v>
      </c>
      <c r="M455" s="63" t="s">
        <v>249</v>
      </c>
      <c r="N455" s="61" t="s">
        <v>177</v>
      </c>
      <c r="O455" s="27"/>
      <c r="P455" s="61">
        <v>3.0</v>
      </c>
      <c r="Q455" s="66" t="s">
        <v>2277</v>
      </c>
      <c r="R455" s="27" t="str">
        <f>IFERROR(__xludf.DUMMYFUNCTION("IF(REGEXMATCH(N455, ""PRIORITY: Low""), ""Low"", IF(REGEXMATCH(N455, ""PRIORITY: Medium""), ""Medium"", IF(REGEXMATCH(N455, ""PRIORITY: High""), ""High"", """")))
"),"")</f>
        <v/>
      </c>
      <c r="S455" s="27" t="str">
        <f>IFERROR(__xludf.DUMMYFUNCTION("IF(REGEXMATCH(N455, ""SKILL: Low""), ""Low"", IF(REGEXMATCH(N455, ""SKILL: Medium""), ""Medium"", IF(REGEXMATCH(N455, ""SKILL: High""), ""High"", """")))"),"")</f>
        <v/>
      </c>
      <c r="T455" s="27" t="str">
        <f>IFERROR(__xludf.DUMMYFUNCTION("IF(REGEXMATCH(N455, ""STATUS: Dev Complete - Awaiting QA""), ""Dev Complete - Awaiting QA"", IF(REGEXMATCH(N455, ""STATUS: Follow-Up Required""), ""Follow-Up Required"", IF(REGEXMATCH(N455, ""STATUS: In Progress""), ""In Progress"", IF(REGEXMATCH(N455, """&amp;"STATUS: In QA""), ""In QA"", IF(REGEXMATCH(N455, ""STATUS: Needs Customer Feedback""), ""Needs Customer Feedback"", IF(REGEXMATCH(N455, ""STATUS: QA Passed - Awaiting Release""), ""QA Passed - Awaiting Release"", IF(REGEXMATCH(N455, ""STATUS: Release to P"&amp;"rod""), ""Release to Prod"", """")))))))"),"")</f>
        <v/>
      </c>
    </row>
    <row r="456" hidden="1">
      <c r="A456" s="61" t="s">
        <v>45</v>
      </c>
      <c r="B456" s="12" t="s">
        <v>46</v>
      </c>
      <c r="C456" s="61">
        <v>119.0</v>
      </c>
      <c r="D456" s="62" t="s">
        <v>2278</v>
      </c>
      <c r="E456" s="56" t="s">
        <v>173</v>
      </c>
      <c r="F456" s="61" t="s">
        <v>2279</v>
      </c>
      <c r="G456" s="57" t="str">
        <f t="shared" si="1"/>
        <v>08-Apr-2025</v>
      </c>
      <c r="H456" s="61" t="s">
        <v>57</v>
      </c>
      <c r="I456" s="61" t="s">
        <v>2280</v>
      </c>
      <c r="J456" s="27" t="str">
        <f t="shared" si="4"/>
        <v>11-Jul-2025</v>
      </c>
      <c r="K456" s="61" t="s">
        <v>2281</v>
      </c>
      <c r="L456" s="27" t="str">
        <f t="shared" si="5"/>
        <v>11-Apr-2025</v>
      </c>
      <c r="M456" s="63" t="s">
        <v>249</v>
      </c>
      <c r="N456" s="61" t="s">
        <v>177</v>
      </c>
      <c r="O456" s="61" t="s">
        <v>37</v>
      </c>
      <c r="P456" s="61">
        <v>1.0</v>
      </c>
      <c r="Q456" s="66" t="s">
        <v>2282</v>
      </c>
      <c r="R456" s="27" t="str">
        <f>IFERROR(__xludf.DUMMYFUNCTION("IF(REGEXMATCH(N456, ""PRIORITY: Low""), ""Low"", IF(REGEXMATCH(N456, ""PRIORITY: Medium""), ""Medium"", IF(REGEXMATCH(N456, ""PRIORITY: High""), ""High"", """")))
"),"")</f>
        <v/>
      </c>
      <c r="S456" s="27" t="str">
        <f>IFERROR(__xludf.DUMMYFUNCTION("IF(REGEXMATCH(N456, ""SKILL: Low""), ""Low"", IF(REGEXMATCH(N456, ""SKILL: Medium""), ""Medium"", IF(REGEXMATCH(N456, ""SKILL: High""), ""High"", """")))"),"")</f>
        <v/>
      </c>
      <c r="T456" s="27" t="str">
        <f>IFERROR(__xludf.DUMMYFUNCTION("IF(REGEXMATCH(N456, ""STATUS: Dev Complete - Awaiting QA""), ""Dev Complete - Awaiting QA"", IF(REGEXMATCH(N456, ""STATUS: Follow-Up Required""), ""Follow-Up Required"", IF(REGEXMATCH(N456, ""STATUS: In Progress""), ""In Progress"", IF(REGEXMATCH(N456, """&amp;"STATUS: In QA""), ""In QA"", IF(REGEXMATCH(N456, ""STATUS: Needs Customer Feedback""), ""Needs Customer Feedback"", IF(REGEXMATCH(N456, ""STATUS: QA Passed - Awaiting Release""), ""QA Passed - Awaiting Release"", IF(REGEXMATCH(N456, ""STATUS: Release to P"&amp;"rod""), ""Release to Prod"", """")))))))"),"")</f>
        <v/>
      </c>
    </row>
    <row r="457" hidden="1">
      <c r="A457" s="61" t="s">
        <v>45</v>
      </c>
      <c r="B457" s="12" t="s">
        <v>46</v>
      </c>
      <c r="C457" s="61">
        <v>117.0</v>
      </c>
      <c r="D457" s="62" t="s">
        <v>2283</v>
      </c>
      <c r="E457" s="56" t="s">
        <v>173</v>
      </c>
      <c r="F457" s="61" t="s">
        <v>2284</v>
      </c>
      <c r="G457" s="57" t="str">
        <f t="shared" si="1"/>
        <v>07-Apr-2025</v>
      </c>
      <c r="H457" s="61" t="s">
        <v>57</v>
      </c>
      <c r="I457" s="61" t="s">
        <v>2285</v>
      </c>
      <c r="J457" s="27" t="str">
        <f t="shared" si="4"/>
        <v>11-Jul-2025</v>
      </c>
      <c r="K457" s="61" t="s">
        <v>2286</v>
      </c>
      <c r="L457" s="27" t="str">
        <f t="shared" si="5"/>
        <v>11-Apr-2025</v>
      </c>
      <c r="M457" s="63" t="s">
        <v>285</v>
      </c>
      <c r="N457" s="61" t="s">
        <v>177</v>
      </c>
      <c r="O457" s="61" t="s">
        <v>37</v>
      </c>
      <c r="P457" s="61">
        <v>1.0</v>
      </c>
      <c r="Q457" s="66" t="s">
        <v>2287</v>
      </c>
      <c r="R457" s="27" t="str">
        <f>IFERROR(__xludf.DUMMYFUNCTION("IF(REGEXMATCH(N457, ""PRIORITY: Low""), ""Low"", IF(REGEXMATCH(N457, ""PRIORITY: Medium""), ""Medium"", IF(REGEXMATCH(N457, ""PRIORITY: High""), ""High"", """")))
"),"")</f>
        <v/>
      </c>
      <c r="S457" s="27" t="str">
        <f>IFERROR(__xludf.DUMMYFUNCTION("IF(REGEXMATCH(N457, ""SKILL: Low""), ""Low"", IF(REGEXMATCH(N457, ""SKILL: Medium""), ""Medium"", IF(REGEXMATCH(N457, ""SKILL: High""), ""High"", """")))"),"")</f>
        <v/>
      </c>
      <c r="T457" s="27" t="str">
        <f>IFERROR(__xludf.DUMMYFUNCTION("IF(REGEXMATCH(N457, ""STATUS: Dev Complete - Awaiting QA""), ""Dev Complete - Awaiting QA"", IF(REGEXMATCH(N457, ""STATUS: Follow-Up Required""), ""Follow-Up Required"", IF(REGEXMATCH(N457, ""STATUS: In Progress""), ""In Progress"", IF(REGEXMATCH(N457, """&amp;"STATUS: In QA""), ""In QA"", IF(REGEXMATCH(N457, ""STATUS: Needs Customer Feedback""), ""Needs Customer Feedback"", IF(REGEXMATCH(N457, ""STATUS: QA Passed - Awaiting Release""), ""QA Passed - Awaiting Release"", IF(REGEXMATCH(N457, ""STATUS: Release to P"&amp;"rod""), ""Release to Prod"", """")))))))"),"")</f>
        <v/>
      </c>
    </row>
    <row r="458" hidden="1">
      <c r="A458" s="61" t="s">
        <v>45</v>
      </c>
      <c r="B458" s="12" t="s">
        <v>46</v>
      </c>
      <c r="C458" s="61">
        <v>116.0</v>
      </c>
      <c r="D458" s="62" t="s">
        <v>2288</v>
      </c>
      <c r="E458" s="56" t="s">
        <v>173</v>
      </c>
      <c r="F458" s="61" t="s">
        <v>2289</v>
      </c>
      <c r="G458" s="57" t="str">
        <f t="shared" si="1"/>
        <v>07-Apr-2025</v>
      </c>
      <c r="H458" s="61" t="s">
        <v>57</v>
      </c>
      <c r="I458" s="61" t="s">
        <v>2290</v>
      </c>
      <c r="J458" s="27" t="str">
        <f t="shared" si="4"/>
        <v>11-Jul-2025</v>
      </c>
      <c r="K458" s="61" t="s">
        <v>2291</v>
      </c>
      <c r="L458" s="27" t="str">
        <f t="shared" si="5"/>
        <v>11-Apr-2025</v>
      </c>
      <c r="M458" s="63" t="s">
        <v>249</v>
      </c>
      <c r="N458" s="61" t="s">
        <v>177</v>
      </c>
      <c r="O458" s="61" t="s">
        <v>37</v>
      </c>
      <c r="P458" s="61">
        <v>2.0</v>
      </c>
      <c r="Q458" s="66" t="s">
        <v>2292</v>
      </c>
      <c r="R458" s="27" t="str">
        <f>IFERROR(__xludf.DUMMYFUNCTION("IF(REGEXMATCH(N458, ""PRIORITY: Low""), ""Low"", IF(REGEXMATCH(N458, ""PRIORITY: Medium""), ""Medium"", IF(REGEXMATCH(N458, ""PRIORITY: High""), ""High"", """")))
"),"")</f>
        <v/>
      </c>
      <c r="S458" s="27" t="str">
        <f>IFERROR(__xludf.DUMMYFUNCTION("IF(REGEXMATCH(N458, ""SKILL: Low""), ""Low"", IF(REGEXMATCH(N458, ""SKILL: Medium""), ""Medium"", IF(REGEXMATCH(N458, ""SKILL: High""), ""High"", """")))"),"")</f>
        <v/>
      </c>
      <c r="T458" s="27" t="str">
        <f>IFERROR(__xludf.DUMMYFUNCTION("IF(REGEXMATCH(N458, ""STATUS: Dev Complete - Awaiting QA""), ""Dev Complete - Awaiting QA"", IF(REGEXMATCH(N458, ""STATUS: Follow-Up Required""), ""Follow-Up Required"", IF(REGEXMATCH(N458, ""STATUS: In Progress""), ""In Progress"", IF(REGEXMATCH(N458, """&amp;"STATUS: In QA""), ""In QA"", IF(REGEXMATCH(N458, ""STATUS: Needs Customer Feedback""), ""Needs Customer Feedback"", IF(REGEXMATCH(N458, ""STATUS: QA Passed - Awaiting Release""), ""QA Passed - Awaiting Release"", IF(REGEXMATCH(N458, ""STATUS: Release to P"&amp;"rod""), ""Release to Prod"", """")))))))"),"")</f>
        <v/>
      </c>
    </row>
    <row r="459" hidden="1">
      <c r="A459" s="61" t="s">
        <v>45</v>
      </c>
      <c r="B459" s="12" t="s">
        <v>46</v>
      </c>
      <c r="C459" s="61">
        <v>115.0</v>
      </c>
      <c r="D459" s="62" t="s">
        <v>2293</v>
      </c>
      <c r="E459" s="56" t="s">
        <v>173</v>
      </c>
      <c r="F459" s="61" t="s">
        <v>2294</v>
      </c>
      <c r="G459" s="57" t="str">
        <f t="shared" si="1"/>
        <v>07-Apr-2025</v>
      </c>
      <c r="H459" s="61" t="s">
        <v>57</v>
      </c>
      <c r="I459" s="61" t="s">
        <v>2295</v>
      </c>
      <c r="J459" s="27" t="str">
        <f t="shared" si="4"/>
        <v>11-Jul-2025</v>
      </c>
      <c r="K459" s="61" t="s">
        <v>2296</v>
      </c>
      <c r="L459" s="27" t="str">
        <f t="shared" si="5"/>
        <v>23-Apr-2025</v>
      </c>
      <c r="M459" s="63" t="s">
        <v>249</v>
      </c>
      <c r="N459" s="61" t="s">
        <v>177</v>
      </c>
      <c r="O459" s="61" t="s">
        <v>1913</v>
      </c>
      <c r="P459" s="61">
        <v>3.0</v>
      </c>
      <c r="Q459" s="66" t="s">
        <v>2297</v>
      </c>
      <c r="R459" s="27" t="str">
        <f>IFERROR(__xludf.DUMMYFUNCTION("IF(REGEXMATCH(N459, ""PRIORITY: Low""), ""Low"", IF(REGEXMATCH(N459, ""PRIORITY: Medium""), ""Medium"", IF(REGEXMATCH(N459, ""PRIORITY: High""), ""High"", """")))
"),"")</f>
        <v/>
      </c>
      <c r="S459" s="27" t="str">
        <f>IFERROR(__xludf.DUMMYFUNCTION("IF(REGEXMATCH(N459, ""SKILL: Low""), ""Low"", IF(REGEXMATCH(N459, ""SKILL: Medium""), ""Medium"", IF(REGEXMATCH(N459, ""SKILL: High""), ""High"", """")))"),"")</f>
        <v/>
      </c>
      <c r="T459" s="27" t="str">
        <f>IFERROR(__xludf.DUMMYFUNCTION("IF(REGEXMATCH(N459, ""STATUS: Dev Complete - Awaiting QA""), ""Dev Complete - Awaiting QA"", IF(REGEXMATCH(N459, ""STATUS: Follow-Up Required""), ""Follow-Up Required"", IF(REGEXMATCH(N459, ""STATUS: In Progress""), ""In Progress"", IF(REGEXMATCH(N459, """&amp;"STATUS: In QA""), ""In QA"", IF(REGEXMATCH(N459, ""STATUS: Needs Customer Feedback""), ""Needs Customer Feedback"", IF(REGEXMATCH(N459, ""STATUS: QA Passed - Awaiting Release""), ""QA Passed - Awaiting Release"", IF(REGEXMATCH(N459, ""STATUS: Release to P"&amp;"rod""), ""Release to Prod"", """")))))))"),"")</f>
        <v/>
      </c>
    </row>
    <row r="460" hidden="1">
      <c r="A460" s="61" t="s">
        <v>45</v>
      </c>
      <c r="B460" s="12" t="s">
        <v>46</v>
      </c>
      <c r="C460" s="61">
        <v>114.0</v>
      </c>
      <c r="D460" s="62" t="s">
        <v>2298</v>
      </c>
      <c r="E460" s="56" t="s">
        <v>173</v>
      </c>
      <c r="F460" s="61" t="s">
        <v>2299</v>
      </c>
      <c r="G460" s="57" t="str">
        <f t="shared" si="1"/>
        <v>07-Apr-2025</v>
      </c>
      <c r="H460" s="61" t="s">
        <v>57</v>
      </c>
      <c r="I460" s="61" t="s">
        <v>2300</v>
      </c>
      <c r="J460" s="27" t="str">
        <f t="shared" si="4"/>
        <v>11-Jul-2025</v>
      </c>
      <c r="K460" s="61" t="s">
        <v>2301</v>
      </c>
      <c r="L460" s="27" t="str">
        <f t="shared" si="5"/>
        <v>23-Apr-2025</v>
      </c>
      <c r="M460" s="63" t="s">
        <v>285</v>
      </c>
      <c r="N460" s="61" t="s">
        <v>177</v>
      </c>
      <c r="O460" s="61" t="s">
        <v>1913</v>
      </c>
      <c r="P460" s="61">
        <v>3.0</v>
      </c>
      <c r="Q460" s="66" t="s">
        <v>2302</v>
      </c>
      <c r="R460" s="27" t="str">
        <f>IFERROR(__xludf.DUMMYFUNCTION("IF(REGEXMATCH(N460, ""PRIORITY: Low""), ""Low"", IF(REGEXMATCH(N460, ""PRIORITY: Medium""), ""Medium"", IF(REGEXMATCH(N460, ""PRIORITY: High""), ""High"", """")))
"),"")</f>
        <v/>
      </c>
      <c r="S460" s="27" t="str">
        <f>IFERROR(__xludf.DUMMYFUNCTION("IF(REGEXMATCH(N460, ""SKILL: Low""), ""Low"", IF(REGEXMATCH(N460, ""SKILL: Medium""), ""Medium"", IF(REGEXMATCH(N460, ""SKILL: High""), ""High"", """")))"),"")</f>
        <v/>
      </c>
      <c r="T460" s="27" t="str">
        <f>IFERROR(__xludf.DUMMYFUNCTION("IF(REGEXMATCH(N460, ""STATUS: Dev Complete - Awaiting QA""), ""Dev Complete - Awaiting QA"", IF(REGEXMATCH(N460, ""STATUS: Follow-Up Required""), ""Follow-Up Required"", IF(REGEXMATCH(N460, ""STATUS: In Progress""), ""In Progress"", IF(REGEXMATCH(N460, """&amp;"STATUS: In QA""), ""In QA"", IF(REGEXMATCH(N460, ""STATUS: Needs Customer Feedback""), ""Needs Customer Feedback"", IF(REGEXMATCH(N460, ""STATUS: QA Passed - Awaiting Release""), ""QA Passed - Awaiting Release"", IF(REGEXMATCH(N460, ""STATUS: Release to P"&amp;"rod""), ""Release to Prod"", """")))))))"),"")</f>
        <v/>
      </c>
    </row>
    <row r="461" hidden="1">
      <c r="A461" s="61" t="s">
        <v>45</v>
      </c>
      <c r="B461" s="12" t="s">
        <v>46</v>
      </c>
      <c r="C461" s="61">
        <v>113.0</v>
      </c>
      <c r="D461" s="62" t="s">
        <v>2303</v>
      </c>
      <c r="E461" s="56" t="s">
        <v>173</v>
      </c>
      <c r="F461" s="61" t="s">
        <v>2304</v>
      </c>
      <c r="G461" s="57" t="str">
        <f t="shared" si="1"/>
        <v>07-Apr-2025</v>
      </c>
      <c r="H461" s="61" t="s">
        <v>57</v>
      </c>
      <c r="I461" s="61" t="s">
        <v>2305</v>
      </c>
      <c r="J461" s="27" t="str">
        <f t="shared" si="4"/>
        <v>11-Jul-2025</v>
      </c>
      <c r="K461" s="61" t="s">
        <v>2306</v>
      </c>
      <c r="L461" s="27" t="str">
        <f t="shared" si="5"/>
        <v>11-Apr-2025</v>
      </c>
      <c r="M461" s="63" t="s">
        <v>249</v>
      </c>
      <c r="N461" s="61" t="s">
        <v>177</v>
      </c>
      <c r="O461" s="61" t="s">
        <v>37</v>
      </c>
      <c r="P461" s="61">
        <v>2.0</v>
      </c>
      <c r="Q461" s="66" t="s">
        <v>2307</v>
      </c>
      <c r="R461" s="27" t="str">
        <f>IFERROR(__xludf.DUMMYFUNCTION("IF(REGEXMATCH(N461, ""PRIORITY: Low""), ""Low"", IF(REGEXMATCH(N461, ""PRIORITY: Medium""), ""Medium"", IF(REGEXMATCH(N461, ""PRIORITY: High""), ""High"", """")))
"),"")</f>
        <v/>
      </c>
      <c r="S461" s="27" t="str">
        <f>IFERROR(__xludf.DUMMYFUNCTION("IF(REGEXMATCH(N461, ""SKILL: Low""), ""Low"", IF(REGEXMATCH(N461, ""SKILL: Medium""), ""Medium"", IF(REGEXMATCH(N461, ""SKILL: High""), ""High"", """")))"),"")</f>
        <v/>
      </c>
      <c r="T461" s="27" t="str">
        <f>IFERROR(__xludf.DUMMYFUNCTION("IF(REGEXMATCH(N461, ""STATUS: Dev Complete - Awaiting QA""), ""Dev Complete - Awaiting QA"", IF(REGEXMATCH(N461, ""STATUS: Follow-Up Required""), ""Follow-Up Required"", IF(REGEXMATCH(N461, ""STATUS: In Progress""), ""In Progress"", IF(REGEXMATCH(N461, """&amp;"STATUS: In QA""), ""In QA"", IF(REGEXMATCH(N461, ""STATUS: Needs Customer Feedback""), ""Needs Customer Feedback"", IF(REGEXMATCH(N461, ""STATUS: QA Passed - Awaiting Release""), ""QA Passed - Awaiting Release"", IF(REGEXMATCH(N461, ""STATUS: Release to P"&amp;"rod""), ""Release to Prod"", """")))))))"),"")</f>
        <v/>
      </c>
    </row>
    <row r="462" hidden="1">
      <c r="A462" s="61" t="s">
        <v>45</v>
      </c>
      <c r="B462" s="12" t="s">
        <v>46</v>
      </c>
      <c r="C462" s="61">
        <v>111.0</v>
      </c>
      <c r="D462" s="62" t="s">
        <v>2308</v>
      </c>
      <c r="E462" s="56" t="s">
        <v>173</v>
      </c>
      <c r="F462" s="61" t="s">
        <v>2309</v>
      </c>
      <c r="G462" s="57" t="str">
        <f t="shared" si="1"/>
        <v>07-Apr-2025</v>
      </c>
      <c r="H462" s="61" t="s">
        <v>57</v>
      </c>
      <c r="I462" s="61" t="s">
        <v>2310</v>
      </c>
      <c r="J462" s="27" t="str">
        <f t="shared" si="4"/>
        <v>11-Jul-2025</v>
      </c>
      <c r="K462" s="61" t="s">
        <v>2311</v>
      </c>
      <c r="L462" s="27" t="str">
        <f t="shared" si="5"/>
        <v>29-May-2025</v>
      </c>
      <c r="M462" s="63" t="s">
        <v>249</v>
      </c>
      <c r="N462" s="61" t="s">
        <v>177</v>
      </c>
      <c r="O462" s="61" t="s">
        <v>37</v>
      </c>
      <c r="P462" s="61">
        <v>3.0</v>
      </c>
      <c r="Q462" s="66" t="s">
        <v>2312</v>
      </c>
      <c r="R462" s="27" t="str">
        <f>IFERROR(__xludf.DUMMYFUNCTION("IF(REGEXMATCH(N462, ""PRIORITY: Low""), ""Low"", IF(REGEXMATCH(N462, ""PRIORITY: Medium""), ""Medium"", IF(REGEXMATCH(N462, ""PRIORITY: High""), ""High"", """")))
"),"")</f>
        <v/>
      </c>
      <c r="S462" s="27" t="str">
        <f>IFERROR(__xludf.DUMMYFUNCTION("IF(REGEXMATCH(N462, ""SKILL: Low""), ""Low"", IF(REGEXMATCH(N462, ""SKILL: Medium""), ""Medium"", IF(REGEXMATCH(N462, ""SKILL: High""), ""High"", """")))"),"")</f>
        <v/>
      </c>
      <c r="T462" s="27" t="str">
        <f>IFERROR(__xludf.DUMMYFUNCTION("IF(REGEXMATCH(N462, ""STATUS: Dev Complete - Awaiting QA""), ""Dev Complete - Awaiting QA"", IF(REGEXMATCH(N462, ""STATUS: Follow-Up Required""), ""Follow-Up Required"", IF(REGEXMATCH(N462, ""STATUS: In Progress""), ""In Progress"", IF(REGEXMATCH(N462, """&amp;"STATUS: In QA""), ""In QA"", IF(REGEXMATCH(N462, ""STATUS: Needs Customer Feedback""), ""Needs Customer Feedback"", IF(REGEXMATCH(N462, ""STATUS: QA Passed - Awaiting Release""), ""QA Passed - Awaiting Release"", IF(REGEXMATCH(N462, ""STATUS: Release to P"&amp;"rod""), ""Release to Prod"", """")))))))"),"")</f>
        <v/>
      </c>
    </row>
    <row r="463" hidden="1">
      <c r="A463" s="61" t="s">
        <v>45</v>
      </c>
      <c r="B463" s="12" t="s">
        <v>46</v>
      </c>
      <c r="C463" s="61">
        <v>110.0</v>
      </c>
      <c r="D463" s="62" t="s">
        <v>2313</v>
      </c>
      <c r="E463" s="56" t="s">
        <v>173</v>
      </c>
      <c r="F463" s="61" t="s">
        <v>2314</v>
      </c>
      <c r="G463" s="57" t="str">
        <f t="shared" si="1"/>
        <v>04-Apr-2025</v>
      </c>
      <c r="H463" s="61" t="s">
        <v>57</v>
      </c>
      <c r="I463" s="61" t="s">
        <v>2315</v>
      </c>
      <c r="J463" s="27" t="str">
        <f t="shared" si="4"/>
        <v>11-Jul-2025</v>
      </c>
      <c r="K463" s="61" t="s">
        <v>2316</v>
      </c>
      <c r="L463" s="27" t="str">
        <f t="shared" si="5"/>
        <v>06-May-2025</v>
      </c>
      <c r="M463" s="63" t="s">
        <v>249</v>
      </c>
      <c r="N463" s="61" t="s">
        <v>177</v>
      </c>
      <c r="O463" s="61" t="s">
        <v>57</v>
      </c>
      <c r="P463" s="61">
        <v>7.0</v>
      </c>
      <c r="Q463" s="66" t="s">
        <v>2317</v>
      </c>
      <c r="R463" s="27" t="str">
        <f>IFERROR(__xludf.DUMMYFUNCTION("IF(REGEXMATCH(N463, ""PRIORITY: Low""), ""Low"", IF(REGEXMATCH(N463, ""PRIORITY: Medium""), ""Medium"", IF(REGEXMATCH(N463, ""PRIORITY: High""), ""High"", """")))
"),"")</f>
        <v/>
      </c>
      <c r="S463" s="27" t="str">
        <f>IFERROR(__xludf.DUMMYFUNCTION("IF(REGEXMATCH(N463, ""SKILL: Low""), ""Low"", IF(REGEXMATCH(N463, ""SKILL: Medium""), ""Medium"", IF(REGEXMATCH(N463, ""SKILL: High""), ""High"", """")))"),"")</f>
        <v/>
      </c>
      <c r="T463" s="27" t="str">
        <f>IFERROR(__xludf.DUMMYFUNCTION("IF(REGEXMATCH(N463, ""STATUS: Dev Complete - Awaiting QA""), ""Dev Complete - Awaiting QA"", IF(REGEXMATCH(N463, ""STATUS: Follow-Up Required""), ""Follow-Up Required"", IF(REGEXMATCH(N463, ""STATUS: In Progress""), ""In Progress"", IF(REGEXMATCH(N463, """&amp;"STATUS: In QA""), ""In QA"", IF(REGEXMATCH(N463, ""STATUS: Needs Customer Feedback""), ""Needs Customer Feedback"", IF(REGEXMATCH(N463, ""STATUS: QA Passed - Awaiting Release""), ""QA Passed - Awaiting Release"", IF(REGEXMATCH(N463, ""STATUS: Release to P"&amp;"rod""), ""Release to Prod"", """")))))))"),"")</f>
        <v/>
      </c>
    </row>
    <row r="464" hidden="1">
      <c r="A464" s="61" t="s">
        <v>45</v>
      </c>
      <c r="B464" s="12" t="s">
        <v>46</v>
      </c>
      <c r="C464" s="61">
        <v>109.0</v>
      </c>
      <c r="D464" s="62" t="s">
        <v>2318</v>
      </c>
      <c r="E464" s="56" t="s">
        <v>173</v>
      </c>
      <c r="F464" s="61" t="s">
        <v>2319</v>
      </c>
      <c r="G464" s="57" t="str">
        <f t="shared" si="1"/>
        <v>04-Apr-2025</v>
      </c>
      <c r="H464" s="61" t="s">
        <v>57</v>
      </c>
      <c r="I464" s="61" t="s">
        <v>2320</v>
      </c>
      <c r="J464" s="27" t="str">
        <f t="shared" si="4"/>
        <v>11-Jul-2025</v>
      </c>
      <c r="K464" s="61" t="s">
        <v>2321</v>
      </c>
      <c r="L464" s="27" t="str">
        <f t="shared" si="5"/>
        <v>29-May-2025</v>
      </c>
      <c r="M464" s="63" t="s">
        <v>285</v>
      </c>
      <c r="N464" s="61" t="s">
        <v>177</v>
      </c>
      <c r="O464" s="61" t="s">
        <v>1913</v>
      </c>
      <c r="P464" s="61">
        <v>3.0</v>
      </c>
      <c r="Q464" s="66" t="s">
        <v>2322</v>
      </c>
      <c r="R464" s="27" t="str">
        <f>IFERROR(__xludf.DUMMYFUNCTION("IF(REGEXMATCH(N464, ""PRIORITY: Low""), ""Low"", IF(REGEXMATCH(N464, ""PRIORITY: Medium""), ""Medium"", IF(REGEXMATCH(N464, ""PRIORITY: High""), ""High"", """")))
"),"")</f>
        <v/>
      </c>
      <c r="S464" s="27" t="str">
        <f>IFERROR(__xludf.DUMMYFUNCTION("IF(REGEXMATCH(N464, ""SKILL: Low""), ""Low"", IF(REGEXMATCH(N464, ""SKILL: Medium""), ""Medium"", IF(REGEXMATCH(N464, ""SKILL: High""), ""High"", """")))"),"")</f>
        <v/>
      </c>
      <c r="T464" s="27" t="str">
        <f>IFERROR(__xludf.DUMMYFUNCTION("IF(REGEXMATCH(N464, ""STATUS: Dev Complete - Awaiting QA""), ""Dev Complete - Awaiting QA"", IF(REGEXMATCH(N464, ""STATUS: Follow-Up Required""), ""Follow-Up Required"", IF(REGEXMATCH(N464, ""STATUS: In Progress""), ""In Progress"", IF(REGEXMATCH(N464, """&amp;"STATUS: In QA""), ""In QA"", IF(REGEXMATCH(N464, ""STATUS: Needs Customer Feedback""), ""Needs Customer Feedback"", IF(REGEXMATCH(N464, ""STATUS: QA Passed - Awaiting Release""), ""QA Passed - Awaiting Release"", IF(REGEXMATCH(N464, ""STATUS: Release to P"&amp;"rod""), ""Release to Prod"", """")))))))"),"")</f>
        <v/>
      </c>
    </row>
    <row r="465" hidden="1">
      <c r="A465" s="61" t="s">
        <v>45</v>
      </c>
      <c r="B465" s="12" t="s">
        <v>46</v>
      </c>
      <c r="C465" s="61">
        <v>108.0</v>
      </c>
      <c r="D465" s="62" t="s">
        <v>2323</v>
      </c>
      <c r="E465" s="56" t="s">
        <v>173</v>
      </c>
      <c r="F465" s="61" t="s">
        <v>2324</v>
      </c>
      <c r="G465" s="57" t="str">
        <f t="shared" si="1"/>
        <v>04-Apr-2025</v>
      </c>
      <c r="H465" s="61" t="s">
        <v>57</v>
      </c>
      <c r="I465" s="61" t="s">
        <v>1965</v>
      </c>
      <c r="J465" s="27" t="str">
        <f t="shared" si="4"/>
        <v>19-Sep-2025</v>
      </c>
      <c r="K465" s="61" t="s">
        <v>2325</v>
      </c>
      <c r="L465" s="27" t="str">
        <f t="shared" si="5"/>
        <v>11-Apr-2025</v>
      </c>
      <c r="M465" s="63" t="s">
        <v>249</v>
      </c>
      <c r="N465" s="61" t="s">
        <v>177</v>
      </c>
      <c r="O465" s="27"/>
      <c r="P465" s="61">
        <v>1.0</v>
      </c>
      <c r="Q465" s="66" t="s">
        <v>2326</v>
      </c>
      <c r="R465" s="27" t="str">
        <f>IFERROR(__xludf.DUMMYFUNCTION("IF(REGEXMATCH(N465, ""PRIORITY: Low""), ""Low"", IF(REGEXMATCH(N465, ""PRIORITY: Medium""), ""Medium"", IF(REGEXMATCH(N465, ""PRIORITY: High""), ""High"", """")))
"),"")</f>
        <v/>
      </c>
      <c r="S465" s="27" t="str">
        <f>IFERROR(__xludf.DUMMYFUNCTION("IF(REGEXMATCH(N465, ""SKILL: Low""), ""Low"", IF(REGEXMATCH(N465, ""SKILL: Medium""), ""Medium"", IF(REGEXMATCH(N465, ""SKILL: High""), ""High"", """")))"),"")</f>
        <v/>
      </c>
      <c r="T465" s="27" t="str">
        <f>IFERROR(__xludf.DUMMYFUNCTION("IF(REGEXMATCH(N465, ""STATUS: Dev Complete - Awaiting QA""), ""Dev Complete - Awaiting QA"", IF(REGEXMATCH(N465, ""STATUS: Follow-Up Required""), ""Follow-Up Required"", IF(REGEXMATCH(N465, ""STATUS: In Progress""), ""In Progress"", IF(REGEXMATCH(N465, """&amp;"STATUS: In QA""), ""In QA"", IF(REGEXMATCH(N465, ""STATUS: Needs Customer Feedback""), ""Needs Customer Feedback"", IF(REGEXMATCH(N465, ""STATUS: QA Passed - Awaiting Release""), ""QA Passed - Awaiting Release"", IF(REGEXMATCH(N465, ""STATUS: Release to P"&amp;"rod""), ""Release to Prod"", """")))))))"),"")</f>
        <v/>
      </c>
    </row>
    <row r="466" hidden="1">
      <c r="A466" s="61" t="s">
        <v>45</v>
      </c>
      <c r="B466" s="12" t="s">
        <v>46</v>
      </c>
      <c r="C466" s="61">
        <v>102.0</v>
      </c>
      <c r="D466" s="62" t="s">
        <v>2327</v>
      </c>
      <c r="E466" s="56" t="s">
        <v>173</v>
      </c>
      <c r="F466" s="61" t="s">
        <v>2328</v>
      </c>
      <c r="G466" s="57" t="str">
        <f t="shared" si="1"/>
        <v>04-Apr-2025</v>
      </c>
      <c r="H466" s="61" t="s">
        <v>57</v>
      </c>
      <c r="I466" s="61" t="s">
        <v>2329</v>
      </c>
      <c r="J466" s="27" t="str">
        <f t="shared" si="4"/>
        <v>11-Jul-2025</v>
      </c>
      <c r="K466" s="61" t="s">
        <v>2330</v>
      </c>
      <c r="L466" s="27" t="str">
        <f t="shared" si="5"/>
        <v>09-Apr-2025</v>
      </c>
      <c r="M466" s="63" t="s">
        <v>285</v>
      </c>
      <c r="N466" s="61" t="s">
        <v>177</v>
      </c>
      <c r="O466" s="61" t="s">
        <v>57</v>
      </c>
      <c r="P466" s="61">
        <v>2.0</v>
      </c>
      <c r="Q466" s="66" t="s">
        <v>2331</v>
      </c>
      <c r="R466" s="27" t="str">
        <f>IFERROR(__xludf.DUMMYFUNCTION("IF(REGEXMATCH(N466, ""PRIORITY: Low""), ""Low"", IF(REGEXMATCH(N466, ""PRIORITY: Medium""), ""Medium"", IF(REGEXMATCH(N466, ""PRIORITY: High""), ""High"", """")))
"),"")</f>
        <v/>
      </c>
      <c r="S466" s="27" t="str">
        <f>IFERROR(__xludf.DUMMYFUNCTION("IF(REGEXMATCH(N466, ""SKILL: Low""), ""Low"", IF(REGEXMATCH(N466, ""SKILL: Medium""), ""Medium"", IF(REGEXMATCH(N466, ""SKILL: High""), ""High"", """")))"),"")</f>
        <v/>
      </c>
      <c r="T466" s="27" t="str">
        <f>IFERROR(__xludf.DUMMYFUNCTION("IF(REGEXMATCH(N466, ""STATUS: Dev Complete - Awaiting QA""), ""Dev Complete - Awaiting QA"", IF(REGEXMATCH(N466, ""STATUS: Follow-Up Required""), ""Follow-Up Required"", IF(REGEXMATCH(N466, ""STATUS: In Progress""), ""In Progress"", IF(REGEXMATCH(N466, """&amp;"STATUS: In QA""), ""In QA"", IF(REGEXMATCH(N466, ""STATUS: Needs Customer Feedback""), ""Needs Customer Feedback"", IF(REGEXMATCH(N466, ""STATUS: QA Passed - Awaiting Release""), ""QA Passed - Awaiting Release"", IF(REGEXMATCH(N466, ""STATUS: Release to P"&amp;"rod""), ""Release to Prod"", """")))))))"),"")</f>
        <v/>
      </c>
    </row>
    <row r="467" hidden="1">
      <c r="A467" s="61" t="s">
        <v>45</v>
      </c>
      <c r="B467" s="12" t="s">
        <v>46</v>
      </c>
      <c r="C467" s="61">
        <v>100.0</v>
      </c>
      <c r="D467" s="62" t="s">
        <v>2332</v>
      </c>
      <c r="E467" s="56" t="s">
        <v>173</v>
      </c>
      <c r="F467" s="61" t="s">
        <v>2333</v>
      </c>
      <c r="G467" s="57" t="str">
        <f t="shared" si="1"/>
        <v>03-Apr-2025</v>
      </c>
      <c r="H467" s="61" t="s">
        <v>98</v>
      </c>
      <c r="I467" s="61" t="s">
        <v>2334</v>
      </c>
      <c r="J467" s="27" t="str">
        <f t="shared" si="4"/>
        <v>19-Sep-2025</v>
      </c>
      <c r="K467" s="61" t="s">
        <v>2335</v>
      </c>
      <c r="L467" s="27" t="str">
        <f t="shared" si="5"/>
        <v>24-Apr-2025</v>
      </c>
      <c r="M467" s="63" t="s">
        <v>249</v>
      </c>
      <c r="N467" s="61" t="s">
        <v>177</v>
      </c>
      <c r="O467" s="61" t="s">
        <v>57</v>
      </c>
      <c r="P467" s="61">
        <v>3.0</v>
      </c>
      <c r="Q467" s="66" t="s">
        <v>2336</v>
      </c>
      <c r="R467" s="27" t="str">
        <f>IFERROR(__xludf.DUMMYFUNCTION("IF(REGEXMATCH(N467, ""PRIORITY: Low""), ""Low"", IF(REGEXMATCH(N467, ""PRIORITY: Medium""), ""Medium"", IF(REGEXMATCH(N467, ""PRIORITY: High""), ""High"", """")))
"),"")</f>
        <v/>
      </c>
      <c r="S467" s="27" t="str">
        <f>IFERROR(__xludf.DUMMYFUNCTION("IF(REGEXMATCH(N467, ""SKILL: Low""), ""Low"", IF(REGEXMATCH(N467, ""SKILL: Medium""), ""Medium"", IF(REGEXMATCH(N467, ""SKILL: High""), ""High"", """")))"),"")</f>
        <v/>
      </c>
      <c r="T467" s="27" t="str">
        <f>IFERROR(__xludf.DUMMYFUNCTION("IF(REGEXMATCH(N467, ""STATUS: Dev Complete - Awaiting QA""), ""Dev Complete - Awaiting QA"", IF(REGEXMATCH(N467, ""STATUS: Follow-Up Required""), ""Follow-Up Required"", IF(REGEXMATCH(N467, ""STATUS: In Progress""), ""In Progress"", IF(REGEXMATCH(N467, """&amp;"STATUS: In QA""), ""In QA"", IF(REGEXMATCH(N467, ""STATUS: Needs Customer Feedback""), ""Needs Customer Feedback"", IF(REGEXMATCH(N467, ""STATUS: QA Passed - Awaiting Release""), ""QA Passed - Awaiting Release"", IF(REGEXMATCH(N467, ""STATUS: Release to P"&amp;"rod""), ""Release to Prod"", """")))))))"),"")</f>
        <v/>
      </c>
    </row>
    <row r="468" hidden="1">
      <c r="A468" s="61" t="s">
        <v>45</v>
      </c>
      <c r="B468" s="12" t="s">
        <v>46</v>
      </c>
      <c r="C468" s="61">
        <v>98.0</v>
      </c>
      <c r="D468" s="62" t="s">
        <v>2337</v>
      </c>
      <c r="E468" s="56" t="s">
        <v>173</v>
      </c>
      <c r="F468" s="61" t="s">
        <v>2338</v>
      </c>
      <c r="G468" s="57" t="str">
        <f t="shared" si="1"/>
        <v>02-Apr-2025</v>
      </c>
      <c r="H468" s="61" t="s">
        <v>98</v>
      </c>
      <c r="I468" s="61" t="s">
        <v>2339</v>
      </c>
      <c r="J468" s="27" t="str">
        <f t="shared" si="4"/>
        <v>11-Jul-2025</v>
      </c>
      <c r="K468" s="61" t="s">
        <v>2340</v>
      </c>
      <c r="L468" s="27" t="str">
        <f t="shared" si="5"/>
        <v>09-Apr-2025</v>
      </c>
      <c r="M468" s="63" t="s">
        <v>15</v>
      </c>
      <c r="N468" s="61" t="s">
        <v>177</v>
      </c>
      <c r="O468" s="27"/>
      <c r="P468" s="61">
        <v>0.0</v>
      </c>
      <c r="Q468" s="66" t="s">
        <v>2341</v>
      </c>
      <c r="R468" s="27" t="str">
        <f>IFERROR(__xludf.DUMMYFUNCTION("IF(REGEXMATCH(N468, ""PRIORITY: Low""), ""Low"", IF(REGEXMATCH(N468, ""PRIORITY: Medium""), ""Medium"", IF(REGEXMATCH(N468, ""PRIORITY: High""), ""High"", """")))
"),"")</f>
        <v/>
      </c>
      <c r="S468" s="27" t="str">
        <f>IFERROR(__xludf.DUMMYFUNCTION("IF(REGEXMATCH(N468, ""SKILL: Low""), ""Low"", IF(REGEXMATCH(N468, ""SKILL: Medium""), ""Medium"", IF(REGEXMATCH(N468, ""SKILL: High""), ""High"", """")))"),"")</f>
        <v/>
      </c>
      <c r="T468" s="27" t="str">
        <f>IFERROR(__xludf.DUMMYFUNCTION("IF(REGEXMATCH(N468, ""STATUS: Dev Complete - Awaiting QA""), ""Dev Complete - Awaiting QA"", IF(REGEXMATCH(N468, ""STATUS: Follow-Up Required""), ""Follow-Up Required"", IF(REGEXMATCH(N468, ""STATUS: In Progress""), ""In Progress"", IF(REGEXMATCH(N468, """&amp;"STATUS: In QA""), ""In QA"", IF(REGEXMATCH(N468, ""STATUS: Needs Customer Feedback""), ""Needs Customer Feedback"", IF(REGEXMATCH(N468, ""STATUS: QA Passed - Awaiting Release""), ""QA Passed - Awaiting Release"", IF(REGEXMATCH(N468, ""STATUS: Release to P"&amp;"rod""), ""Release to Prod"", """")))))))"),"")</f>
        <v/>
      </c>
    </row>
    <row r="469" hidden="1">
      <c r="A469" s="61" t="s">
        <v>45</v>
      </c>
      <c r="B469" s="12" t="s">
        <v>46</v>
      </c>
      <c r="C469" s="61">
        <v>97.0</v>
      </c>
      <c r="D469" s="62" t="s">
        <v>2342</v>
      </c>
      <c r="E469" s="56" t="s">
        <v>173</v>
      </c>
      <c r="F469" s="61" t="s">
        <v>2343</v>
      </c>
      <c r="G469" s="57" t="str">
        <f t="shared" si="1"/>
        <v>02-Apr-2025</v>
      </c>
      <c r="H469" s="61" t="s">
        <v>98</v>
      </c>
      <c r="I469" s="61" t="s">
        <v>2334</v>
      </c>
      <c r="J469" s="27" t="str">
        <f t="shared" si="4"/>
        <v>19-Sep-2025</v>
      </c>
      <c r="K469" s="61" t="s">
        <v>2344</v>
      </c>
      <c r="L469" s="27" t="str">
        <f t="shared" si="5"/>
        <v>14-Apr-2025</v>
      </c>
      <c r="M469" s="63" t="s">
        <v>249</v>
      </c>
      <c r="N469" s="61" t="s">
        <v>177</v>
      </c>
      <c r="O469" s="27"/>
      <c r="P469" s="61">
        <v>3.0</v>
      </c>
      <c r="Q469" s="66" t="s">
        <v>2345</v>
      </c>
      <c r="R469" s="27" t="str">
        <f>IFERROR(__xludf.DUMMYFUNCTION("IF(REGEXMATCH(N469, ""PRIORITY: Low""), ""Low"", IF(REGEXMATCH(N469, ""PRIORITY: Medium""), ""Medium"", IF(REGEXMATCH(N469, ""PRIORITY: High""), ""High"", """")))
"),"")</f>
        <v/>
      </c>
      <c r="S469" s="27" t="str">
        <f>IFERROR(__xludf.DUMMYFUNCTION("IF(REGEXMATCH(N469, ""SKILL: Low""), ""Low"", IF(REGEXMATCH(N469, ""SKILL: Medium""), ""Medium"", IF(REGEXMATCH(N469, ""SKILL: High""), ""High"", """")))"),"")</f>
        <v/>
      </c>
      <c r="T469" s="27" t="str">
        <f>IFERROR(__xludf.DUMMYFUNCTION("IF(REGEXMATCH(N469, ""STATUS: Dev Complete - Awaiting QA""), ""Dev Complete - Awaiting QA"", IF(REGEXMATCH(N469, ""STATUS: Follow-Up Required""), ""Follow-Up Required"", IF(REGEXMATCH(N469, ""STATUS: In Progress""), ""In Progress"", IF(REGEXMATCH(N469, """&amp;"STATUS: In QA""), ""In QA"", IF(REGEXMATCH(N469, ""STATUS: Needs Customer Feedback""), ""Needs Customer Feedback"", IF(REGEXMATCH(N469, ""STATUS: QA Passed - Awaiting Release""), ""QA Passed - Awaiting Release"", IF(REGEXMATCH(N469, ""STATUS: Release to P"&amp;"rod""), ""Release to Prod"", """")))))))"),"")</f>
        <v/>
      </c>
    </row>
    <row r="470" hidden="1">
      <c r="A470" s="61" t="s">
        <v>45</v>
      </c>
      <c r="B470" s="12" t="s">
        <v>46</v>
      </c>
      <c r="C470" s="61">
        <v>96.0</v>
      </c>
      <c r="D470" s="62" t="s">
        <v>2346</v>
      </c>
      <c r="E470" s="56" t="s">
        <v>173</v>
      </c>
      <c r="F470" s="61" t="s">
        <v>2347</v>
      </c>
      <c r="G470" s="57" t="str">
        <f t="shared" si="1"/>
        <v>02-Apr-2025</v>
      </c>
      <c r="H470" s="61" t="s">
        <v>98</v>
      </c>
      <c r="I470" s="61" t="s">
        <v>2348</v>
      </c>
      <c r="J470" s="27" t="str">
        <f t="shared" si="4"/>
        <v>11-Jul-2025</v>
      </c>
      <c r="K470" s="61" t="s">
        <v>2349</v>
      </c>
      <c r="L470" s="27" t="str">
        <f t="shared" si="5"/>
        <v>10-Apr-2025</v>
      </c>
      <c r="M470" s="63" t="s">
        <v>285</v>
      </c>
      <c r="N470" s="61" t="s">
        <v>177</v>
      </c>
      <c r="O470" s="61" t="s">
        <v>57</v>
      </c>
      <c r="P470" s="61">
        <v>4.0</v>
      </c>
      <c r="Q470" s="66" t="s">
        <v>2350</v>
      </c>
      <c r="R470" s="27" t="str">
        <f>IFERROR(__xludf.DUMMYFUNCTION("IF(REGEXMATCH(N470, ""PRIORITY: Low""), ""Low"", IF(REGEXMATCH(N470, ""PRIORITY: Medium""), ""Medium"", IF(REGEXMATCH(N470, ""PRIORITY: High""), ""High"", """")))
"),"")</f>
        <v/>
      </c>
      <c r="S470" s="27" t="str">
        <f>IFERROR(__xludf.DUMMYFUNCTION("IF(REGEXMATCH(N470, ""SKILL: Low""), ""Low"", IF(REGEXMATCH(N470, ""SKILL: Medium""), ""Medium"", IF(REGEXMATCH(N470, ""SKILL: High""), ""High"", """")))"),"")</f>
        <v/>
      </c>
      <c r="T470" s="27" t="str">
        <f>IFERROR(__xludf.DUMMYFUNCTION("IF(REGEXMATCH(N470, ""STATUS: Dev Complete - Awaiting QA""), ""Dev Complete - Awaiting QA"", IF(REGEXMATCH(N470, ""STATUS: Follow-Up Required""), ""Follow-Up Required"", IF(REGEXMATCH(N470, ""STATUS: In Progress""), ""In Progress"", IF(REGEXMATCH(N470, """&amp;"STATUS: In QA""), ""In QA"", IF(REGEXMATCH(N470, ""STATUS: Needs Customer Feedback""), ""Needs Customer Feedback"", IF(REGEXMATCH(N470, ""STATUS: QA Passed - Awaiting Release""), ""QA Passed - Awaiting Release"", IF(REGEXMATCH(N470, ""STATUS: Release to P"&amp;"rod""), ""Release to Prod"", """")))))))"),"")</f>
        <v/>
      </c>
    </row>
    <row r="471" hidden="1">
      <c r="A471" s="61" t="s">
        <v>45</v>
      </c>
      <c r="B471" s="12" t="s">
        <v>46</v>
      </c>
      <c r="C471" s="61">
        <v>95.0</v>
      </c>
      <c r="D471" s="62" t="s">
        <v>2351</v>
      </c>
      <c r="E471" s="56" t="s">
        <v>173</v>
      </c>
      <c r="F471" s="61" t="s">
        <v>2352</v>
      </c>
      <c r="G471" s="57" t="str">
        <f t="shared" si="1"/>
        <v>02-Apr-2025</v>
      </c>
      <c r="H471" s="61" t="s">
        <v>98</v>
      </c>
      <c r="I471" s="61" t="s">
        <v>2334</v>
      </c>
      <c r="J471" s="27" t="str">
        <f t="shared" si="4"/>
        <v>19-Sep-2025</v>
      </c>
      <c r="K471" s="61" t="s">
        <v>2353</v>
      </c>
      <c r="L471" s="27" t="str">
        <f t="shared" si="5"/>
        <v>25-Apr-2025</v>
      </c>
      <c r="M471" s="63" t="s">
        <v>291</v>
      </c>
      <c r="N471" s="61" t="s">
        <v>177</v>
      </c>
      <c r="O471" s="27"/>
      <c r="P471" s="61">
        <v>6.0</v>
      </c>
      <c r="Q471" s="66" t="s">
        <v>2354</v>
      </c>
      <c r="R471" s="27" t="str">
        <f>IFERROR(__xludf.DUMMYFUNCTION("IF(REGEXMATCH(N471, ""PRIORITY: Low""), ""Low"", IF(REGEXMATCH(N471, ""PRIORITY: Medium""), ""Medium"", IF(REGEXMATCH(N471, ""PRIORITY: High""), ""High"", """")))
"),"")</f>
        <v/>
      </c>
      <c r="S471" s="27" t="str">
        <f>IFERROR(__xludf.DUMMYFUNCTION("IF(REGEXMATCH(N471, ""SKILL: Low""), ""Low"", IF(REGEXMATCH(N471, ""SKILL: Medium""), ""Medium"", IF(REGEXMATCH(N471, ""SKILL: High""), ""High"", """")))"),"")</f>
        <v/>
      </c>
      <c r="T471" s="27" t="str">
        <f>IFERROR(__xludf.DUMMYFUNCTION("IF(REGEXMATCH(N471, ""STATUS: Dev Complete - Awaiting QA""), ""Dev Complete - Awaiting QA"", IF(REGEXMATCH(N471, ""STATUS: Follow-Up Required""), ""Follow-Up Required"", IF(REGEXMATCH(N471, ""STATUS: In Progress""), ""In Progress"", IF(REGEXMATCH(N471, """&amp;"STATUS: In QA""), ""In QA"", IF(REGEXMATCH(N471, ""STATUS: Needs Customer Feedback""), ""Needs Customer Feedback"", IF(REGEXMATCH(N471, ""STATUS: QA Passed - Awaiting Release""), ""QA Passed - Awaiting Release"", IF(REGEXMATCH(N471, ""STATUS: Release to P"&amp;"rod""), ""Release to Prod"", """")))))))"),"")</f>
        <v/>
      </c>
    </row>
    <row r="472" hidden="1">
      <c r="A472" s="61" t="s">
        <v>45</v>
      </c>
      <c r="B472" s="12" t="s">
        <v>46</v>
      </c>
      <c r="C472" s="61">
        <v>94.0</v>
      </c>
      <c r="D472" s="62" t="s">
        <v>2355</v>
      </c>
      <c r="E472" s="56" t="s">
        <v>173</v>
      </c>
      <c r="F472" s="61" t="s">
        <v>2356</v>
      </c>
      <c r="G472" s="57" t="str">
        <f t="shared" si="1"/>
        <v>02-Apr-2025</v>
      </c>
      <c r="H472" s="61" t="s">
        <v>98</v>
      </c>
      <c r="I472" s="61" t="s">
        <v>2357</v>
      </c>
      <c r="J472" s="27" t="str">
        <f t="shared" si="4"/>
        <v>19-Sep-2025</v>
      </c>
      <c r="K472" s="61" t="s">
        <v>2358</v>
      </c>
      <c r="L472" s="27" t="str">
        <f t="shared" si="5"/>
        <v>28-Apr-2025</v>
      </c>
      <c r="M472" s="63" t="s">
        <v>249</v>
      </c>
      <c r="N472" s="61" t="s">
        <v>177</v>
      </c>
      <c r="O472" s="27"/>
      <c r="P472" s="61">
        <v>7.0</v>
      </c>
      <c r="Q472" s="66" t="s">
        <v>2359</v>
      </c>
      <c r="R472" s="27" t="str">
        <f>IFERROR(__xludf.DUMMYFUNCTION("IF(REGEXMATCH(N472, ""PRIORITY: Low""), ""Low"", IF(REGEXMATCH(N472, ""PRIORITY: Medium""), ""Medium"", IF(REGEXMATCH(N472, ""PRIORITY: High""), ""High"", """")))
"),"")</f>
        <v/>
      </c>
      <c r="S472" s="27" t="str">
        <f>IFERROR(__xludf.DUMMYFUNCTION("IF(REGEXMATCH(N472, ""SKILL: Low""), ""Low"", IF(REGEXMATCH(N472, ""SKILL: Medium""), ""Medium"", IF(REGEXMATCH(N472, ""SKILL: High""), ""High"", """")))"),"")</f>
        <v/>
      </c>
      <c r="T472" s="27" t="str">
        <f>IFERROR(__xludf.DUMMYFUNCTION("IF(REGEXMATCH(N472, ""STATUS: Dev Complete - Awaiting QA""), ""Dev Complete - Awaiting QA"", IF(REGEXMATCH(N472, ""STATUS: Follow-Up Required""), ""Follow-Up Required"", IF(REGEXMATCH(N472, ""STATUS: In Progress""), ""In Progress"", IF(REGEXMATCH(N472, """&amp;"STATUS: In QA""), ""In QA"", IF(REGEXMATCH(N472, ""STATUS: Needs Customer Feedback""), ""Needs Customer Feedback"", IF(REGEXMATCH(N472, ""STATUS: QA Passed - Awaiting Release""), ""QA Passed - Awaiting Release"", IF(REGEXMATCH(N472, ""STATUS: Release to P"&amp;"rod""), ""Release to Prod"", """")))))))"),"")</f>
        <v/>
      </c>
    </row>
    <row r="473" hidden="1">
      <c r="A473" s="61" t="s">
        <v>45</v>
      </c>
      <c r="B473" s="12" t="s">
        <v>46</v>
      </c>
      <c r="C473" s="61">
        <v>93.0</v>
      </c>
      <c r="D473" s="62" t="s">
        <v>2360</v>
      </c>
      <c r="E473" s="56" t="s">
        <v>173</v>
      </c>
      <c r="F473" s="61" t="s">
        <v>2361</v>
      </c>
      <c r="G473" s="57" t="str">
        <f t="shared" si="1"/>
        <v>02-Apr-2025</v>
      </c>
      <c r="H473" s="61" t="s">
        <v>37</v>
      </c>
      <c r="I473" s="61" t="s">
        <v>2362</v>
      </c>
      <c r="J473" s="27" t="str">
        <f t="shared" si="4"/>
        <v>11-Jul-2025</v>
      </c>
      <c r="K473" s="61" t="s">
        <v>2363</v>
      </c>
      <c r="L473" s="27" t="str">
        <f t="shared" si="5"/>
        <v>24-Apr-2025</v>
      </c>
      <c r="M473" s="63" t="s">
        <v>285</v>
      </c>
      <c r="N473" s="61" t="s">
        <v>177</v>
      </c>
      <c r="O473" s="61" t="s">
        <v>1913</v>
      </c>
      <c r="P473" s="61">
        <v>2.0</v>
      </c>
      <c r="Q473" s="66" t="s">
        <v>2364</v>
      </c>
      <c r="R473" s="27" t="str">
        <f>IFERROR(__xludf.DUMMYFUNCTION("IF(REGEXMATCH(N473, ""PRIORITY: Low""), ""Low"", IF(REGEXMATCH(N473, ""PRIORITY: Medium""), ""Medium"", IF(REGEXMATCH(N473, ""PRIORITY: High""), ""High"", """")))
"),"")</f>
        <v/>
      </c>
      <c r="S473" s="27" t="str">
        <f>IFERROR(__xludf.DUMMYFUNCTION("IF(REGEXMATCH(N473, ""SKILL: Low""), ""Low"", IF(REGEXMATCH(N473, ""SKILL: Medium""), ""Medium"", IF(REGEXMATCH(N473, ""SKILL: High""), ""High"", """")))"),"")</f>
        <v/>
      </c>
      <c r="T473" s="27" t="str">
        <f>IFERROR(__xludf.DUMMYFUNCTION("IF(REGEXMATCH(N473, ""STATUS: Dev Complete - Awaiting QA""), ""Dev Complete - Awaiting QA"", IF(REGEXMATCH(N473, ""STATUS: Follow-Up Required""), ""Follow-Up Required"", IF(REGEXMATCH(N473, ""STATUS: In Progress""), ""In Progress"", IF(REGEXMATCH(N473, """&amp;"STATUS: In QA""), ""In QA"", IF(REGEXMATCH(N473, ""STATUS: Needs Customer Feedback""), ""Needs Customer Feedback"", IF(REGEXMATCH(N473, ""STATUS: QA Passed - Awaiting Release""), ""QA Passed - Awaiting Release"", IF(REGEXMATCH(N473, ""STATUS: Release to P"&amp;"rod""), ""Release to Prod"", """")))))))"),"")</f>
        <v/>
      </c>
    </row>
    <row r="474" hidden="1">
      <c r="A474" s="61" t="s">
        <v>45</v>
      </c>
      <c r="B474" s="12" t="s">
        <v>46</v>
      </c>
      <c r="C474" s="61">
        <v>92.0</v>
      </c>
      <c r="D474" s="62" t="s">
        <v>2365</v>
      </c>
      <c r="E474" s="56" t="s">
        <v>173</v>
      </c>
      <c r="F474" s="61" t="s">
        <v>2366</v>
      </c>
      <c r="G474" s="57" t="str">
        <f t="shared" si="1"/>
        <v>02-Apr-2025</v>
      </c>
      <c r="H474" s="61" t="s">
        <v>37</v>
      </c>
      <c r="I474" s="61" t="s">
        <v>2367</v>
      </c>
      <c r="J474" s="27" t="str">
        <f t="shared" si="4"/>
        <v>11-Jul-2025</v>
      </c>
      <c r="K474" s="61" t="s">
        <v>2368</v>
      </c>
      <c r="L474" s="27" t="str">
        <f t="shared" si="5"/>
        <v>02-May-2025</v>
      </c>
      <c r="M474" s="63" t="s">
        <v>285</v>
      </c>
      <c r="N474" s="61" t="s">
        <v>177</v>
      </c>
      <c r="O474" s="61" t="s">
        <v>1913</v>
      </c>
      <c r="P474" s="61">
        <v>5.0</v>
      </c>
      <c r="Q474" s="66" t="s">
        <v>2369</v>
      </c>
      <c r="R474" s="27" t="str">
        <f>IFERROR(__xludf.DUMMYFUNCTION("IF(REGEXMATCH(N474, ""PRIORITY: Low""), ""Low"", IF(REGEXMATCH(N474, ""PRIORITY: Medium""), ""Medium"", IF(REGEXMATCH(N474, ""PRIORITY: High""), ""High"", """")))
"),"")</f>
        <v/>
      </c>
      <c r="S474" s="27" t="str">
        <f>IFERROR(__xludf.DUMMYFUNCTION("IF(REGEXMATCH(N474, ""SKILL: Low""), ""Low"", IF(REGEXMATCH(N474, ""SKILL: Medium""), ""Medium"", IF(REGEXMATCH(N474, ""SKILL: High""), ""High"", """")))"),"")</f>
        <v/>
      </c>
      <c r="T474" s="27" t="str">
        <f>IFERROR(__xludf.DUMMYFUNCTION("IF(REGEXMATCH(N474, ""STATUS: Dev Complete - Awaiting QA""), ""Dev Complete - Awaiting QA"", IF(REGEXMATCH(N474, ""STATUS: Follow-Up Required""), ""Follow-Up Required"", IF(REGEXMATCH(N474, ""STATUS: In Progress""), ""In Progress"", IF(REGEXMATCH(N474, """&amp;"STATUS: In QA""), ""In QA"", IF(REGEXMATCH(N474, ""STATUS: Needs Customer Feedback""), ""Needs Customer Feedback"", IF(REGEXMATCH(N474, ""STATUS: QA Passed - Awaiting Release""), ""QA Passed - Awaiting Release"", IF(REGEXMATCH(N474, ""STATUS: Release to P"&amp;"rod""), ""Release to Prod"", """")))))))"),"")</f>
        <v/>
      </c>
    </row>
    <row r="475" hidden="1">
      <c r="A475" s="61" t="s">
        <v>45</v>
      </c>
      <c r="B475" s="12" t="s">
        <v>46</v>
      </c>
      <c r="C475" s="61">
        <v>91.0</v>
      </c>
      <c r="D475" s="62" t="s">
        <v>2370</v>
      </c>
      <c r="E475" s="56" t="s">
        <v>173</v>
      </c>
      <c r="F475" s="61" t="s">
        <v>2371</v>
      </c>
      <c r="G475" s="57" t="str">
        <f t="shared" si="1"/>
        <v>02-Apr-2025</v>
      </c>
      <c r="H475" s="61" t="s">
        <v>37</v>
      </c>
      <c r="I475" s="61" t="s">
        <v>2357</v>
      </c>
      <c r="J475" s="27" t="str">
        <f t="shared" si="4"/>
        <v>19-Sep-2025</v>
      </c>
      <c r="K475" s="61" t="s">
        <v>2372</v>
      </c>
      <c r="L475" s="27" t="str">
        <f t="shared" si="5"/>
        <v>14-Apr-2025</v>
      </c>
      <c r="M475" s="63" t="s">
        <v>249</v>
      </c>
      <c r="N475" s="61" t="s">
        <v>177</v>
      </c>
      <c r="O475" s="27"/>
      <c r="P475" s="61">
        <v>3.0</v>
      </c>
      <c r="Q475" s="66" t="s">
        <v>2373</v>
      </c>
      <c r="R475" s="27" t="str">
        <f>IFERROR(__xludf.DUMMYFUNCTION("IF(REGEXMATCH(N475, ""PRIORITY: Low""), ""Low"", IF(REGEXMATCH(N475, ""PRIORITY: Medium""), ""Medium"", IF(REGEXMATCH(N475, ""PRIORITY: High""), ""High"", """")))
"),"")</f>
        <v/>
      </c>
      <c r="S475" s="27" t="str">
        <f>IFERROR(__xludf.DUMMYFUNCTION("IF(REGEXMATCH(N475, ""SKILL: Low""), ""Low"", IF(REGEXMATCH(N475, ""SKILL: Medium""), ""Medium"", IF(REGEXMATCH(N475, ""SKILL: High""), ""High"", """")))"),"")</f>
        <v/>
      </c>
      <c r="T475" s="27" t="str">
        <f>IFERROR(__xludf.DUMMYFUNCTION("IF(REGEXMATCH(N475, ""STATUS: Dev Complete - Awaiting QA""), ""Dev Complete - Awaiting QA"", IF(REGEXMATCH(N475, ""STATUS: Follow-Up Required""), ""Follow-Up Required"", IF(REGEXMATCH(N475, ""STATUS: In Progress""), ""In Progress"", IF(REGEXMATCH(N475, """&amp;"STATUS: In QA""), ""In QA"", IF(REGEXMATCH(N475, ""STATUS: Needs Customer Feedback""), ""Needs Customer Feedback"", IF(REGEXMATCH(N475, ""STATUS: QA Passed - Awaiting Release""), ""QA Passed - Awaiting Release"", IF(REGEXMATCH(N475, ""STATUS: Release to P"&amp;"rod""), ""Release to Prod"", """")))))))"),"")</f>
        <v/>
      </c>
    </row>
    <row r="476" hidden="1">
      <c r="A476" s="61" t="s">
        <v>45</v>
      </c>
      <c r="B476" s="12" t="s">
        <v>46</v>
      </c>
      <c r="C476" s="61">
        <v>90.0</v>
      </c>
      <c r="D476" s="62" t="s">
        <v>2374</v>
      </c>
      <c r="E476" s="56" t="s">
        <v>173</v>
      </c>
      <c r="F476" s="61" t="s">
        <v>2375</v>
      </c>
      <c r="G476" s="57" t="str">
        <f t="shared" si="1"/>
        <v>02-Apr-2025</v>
      </c>
      <c r="H476" s="61" t="s">
        <v>37</v>
      </c>
      <c r="I476" s="61" t="s">
        <v>2376</v>
      </c>
      <c r="J476" s="27" t="str">
        <f t="shared" si="4"/>
        <v>11-Jul-2025</v>
      </c>
      <c r="K476" s="61" t="s">
        <v>2377</v>
      </c>
      <c r="L476" s="27" t="str">
        <f t="shared" si="5"/>
        <v>25-Apr-2025</v>
      </c>
      <c r="M476" s="63" t="s">
        <v>285</v>
      </c>
      <c r="N476" s="61" t="s">
        <v>177</v>
      </c>
      <c r="O476" s="61" t="s">
        <v>1913</v>
      </c>
      <c r="P476" s="61">
        <v>3.0</v>
      </c>
      <c r="Q476" s="66" t="s">
        <v>2378</v>
      </c>
      <c r="R476" s="27" t="str">
        <f>IFERROR(__xludf.DUMMYFUNCTION("IF(REGEXMATCH(N476, ""PRIORITY: Low""), ""Low"", IF(REGEXMATCH(N476, ""PRIORITY: Medium""), ""Medium"", IF(REGEXMATCH(N476, ""PRIORITY: High""), ""High"", """")))
"),"")</f>
        <v/>
      </c>
      <c r="S476" s="27" t="str">
        <f>IFERROR(__xludf.DUMMYFUNCTION("IF(REGEXMATCH(N476, ""SKILL: Low""), ""Low"", IF(REGEXMATCH(N476, ""SKILL: Medium""), ""Medium"", IF(REGEXMATCH(N476, ""SKILL: High""), ""High"", """")))"),"")</f>
        <v/>
      </c>
      <c r="T476" s="27" t="str">
        <f>IFERROR(__xludf.DUMMYFUNCTION("IF(REGEXMATCH(N476, ""STATUS: Dev Complete - Awaiting QA""), ""Dev Complete - Awaiting QA"", IF(REGEXMATCH(N476, ""STATUS: Follow-Up Required""), ""Follow-Up Required"", IF(REGEXMATCH(N476, ""STATUS: In Progress""), ""In Progress"", IF(REGEXMATCH(N476, """&amp;"STATUS: In QA""), ""In QA"", IF(REGEXMATCH(N476, ""STATUS: Needs Customer Feedback""), ""Needs Customer Feedback"", IF(REGEXMATCH(N476, ""STATUS: QA Passed - Awaiting Release""), ""QA Passed - Awaiting Release"", IF(REGEXMATCH(N476, ""STATUS: Release to P"&amp;"rod""), ""Release to Prod"", """")))))))"),"")</f>
        <v/>
      </c>
    </row>
    <row r="477" hidden="1">
      <c r="A477" s="61" t="s">
        <v>45</v>
      </c>
      <c r="B477" s="12" t="s">
        <v>46</v>
      </c>
      <c r="C477" s="61">
        <v>89.0</v>
      </c>
      <c r="D477" s="62" t="s">
        <v>2379</v>
      </c>
      <c r="E477" s="56" t="s">
        <v>173</v>
      </c>
      <c r="F477" s="61" t="s">
        <v>2380</v>
      </c>
      <c r="G477" s="57" t="str">
        <f t="shared" si="1"/>
        <v>29-Mar-2025</v>
      </c>
      <c r="H477" s="61" t="s">
        <v>98</v>
      </c>
      <c r="I477" s="61" t="s">
        <v>2381</v>
      </c>
      <c r="J477" s="27" t="str">
        <f t="shared" si="4"/>
        <v>11-Jul-2025</v>
      </c>
      <c r="K477" s="61" t="s">
        <v>2382</v>
      </c>
      <c r="L477" s="27" t="str">
        <f t="shared" si="5"/>
        <v>15-Apr-2025</v>
      </c>
      <c r="M477" s="63" t="s">
        <v>285</v>
      </c>
      <c r="N477" s="61" t="s">
        <v>177</v>
      </c>
      <c r="O477" s="61" t="s">
        <v>57</v>
      </c>
      <c r="P477" s="61">
        <v>3.0</v>
      </c>
      <c r="Q477" s="66" t="s">
        <v>2383</v>
      </c>
      <c r="R477" s="27" t="str">
        <f>IFERROR(__xludf.DUMMYFUNCTION("IF(REGEXMATCH(N477, ""PRIORITY: Low""), ""Low"", IF(REGEXMATCH(N477, ""PRIORITY: Medium""), ""Medium"", IF(REGEXMATCH(N477, ""PRIORITY: High""), ""High"", """")))
"),"")</f>
        <v/>
      </c>
      <c r="S477" s="27" t="str">
        <f>IFERROR(__xludf.DUMMYFUNCTION("IF(REGEXMATCH(N477, ""SKILL: Low""), ""Low"", IF(REGEXMATCH(N477, ""SKILL: Medium""), ""Medium"", IF(REGEXMATCH(N477, ""SKILL: High""), ""High"", """")))"),"")</f>
        <v/>
      </c>
      <c r="T477" s="27" t="str">
        <f>IFERROR(__xludf.DUMMYFUNCTION("IF(REGEXMATCH(N477, ""STATUS: Dev Complete - Awaiting QA""), ""Dev Complete - Awaiting QA"", IF(REGEXMATCH(N477, ""STATUS: Follow-Up Required""), ""Follow-Up Required"", IF(REGEXMATCH(N477, ""STATUS: In Progress""), ""In Progress"", IF(REGEXMATCH(N477, """&amp;"STATUS: In QA""), ""In QA"", IF(REGEXMATCH(N477, ""STATUS: Needs Customer Feedback""), ""Needs Customer Feedback"", IF(REGEXMATCH(N477, ""STATUS: QA Passed - Awaiting Release""), ""QA Passed - Awaiting Release"", IF(REGEXMATCH(N477, ""STATUS: Release to P"&amp;"rod""), ""Release to Prod"", """")))))))"),"")</f>
        <v/>
      </c>
    </row>
    <row r="478" hidden="1">
      <c r="A478" s="61" t="s">
        <v>45</v>
      </c>
      <c r="B478" s="12" t="s">
        <v>46</v>
      </c>
      <c r="C478" s="61">
        <v>83.0</v>
      </c>
      <c r="D478" s="62" t="s">
        <v>2384</v>
      </c>
      <c r="E478" s="56" t="s">
        <v>173</v>
      </c>
      <c r="F478" s="61" t="s">
        <v>2385</v>
      </c>
      <c r="G478" s="57" t="str">
        <f t="shared" si="1"/>
        <v>13-Feb-2025</v>
      </c>
      <c r="H478" s="61" t="s">
        <v>136</v>
      </c>
      <c r="I478" s="61" t="s">
        <v>2386</v>
      </c>
      <c r="J478" s="27" t="str">
        <f t="shared" si="4"/>
        <v>19-Sep-2025</v>
      </c>
      <c r="K478" s="61" t="s">
        <v>2387</v>
      </c>
      <c r="L478" s="27" t="str">
        <f t="shared" si="5"/>
        <v>14-Apr-2025</v>
      </c>
      <c r="M478" s="63" t="s">
        <v>285</v>
      </c>
      <c r="N478" s="61" t="s">
        <v>177</v>
      </c>
      <c r="O478" s="27"/>
      <c r="P478" s="61">
        <v>3.0</v>
      </c>
      <c r="Q478" s="66" t="s">
        <v>2388</v>
      </c>
      <c r="R478" s="27" t="str">
        <f>IFERROR(__xludf.DUMMYFUNCTION("IF(REGEXMATCH(N478, ""PRIORITY: Low""), ""Low"", IF(REGEXMATCH(N478, ""PRIORITY: Medium""), ""Medium"", IF(REGEXMATCH(N478, ""PRIORITY: High""), ""High"", """")))
"),"")</f>
        <v/>
      </c>
      <c r="S478" s="27" t="str">
        <f>IFERROR(__xludf.DUMMYFUNCTION("IF(REGEXMATCH(N478, ""SKILL: Low""), ""Low"", IF(REGEXMATCH(N478, ""SKILL: Medium""), ""Medium"", IF(REGEXMATCH(N478, ""SKILL: High""), ""High"", """")))"),"")</f>
        <v/>
      </c>
      <c r="T478" s="27" t="str">
        <f>IFERROR(__xludf.DUMMYFUNCTION("IF(REGEXMATCH(N478, ""STATUS: Dev Complete - Awaiting QA""), ""Dev Complete - Awaiting QA"", IF(REGEXMATCH(N478, ""STATUS: Follow-Up Required""), ""Follow-Up Required"", IF(REGEXMATCH(N478, ""STATUS: In Progress""), ""In Progress"", IF(REGEXMATCH(N478, """&amp;"STATUS: In QA""), ""In QA"", IF(REGEXMATCH(N478, ""STATUS: Needs Customer Feedback""), ""Needs Customer Feedback"", IF(REGEXMATCH(N478, ""STATUS: QA Passed - Awaiting Release""), ""QA Passed - Awaiting Release"", IF(REGEXMATCH(N478, ""STATUS: Release to P"&amp;"rod""), ""Release to Prod"", """")))))))"),"")</f>
        <v/>
      </c>
    </row>
    <row r="479" hidden="1">
      <c r="A479" s="61" t="s">
        <v>45</v>
      </c>
      <c r="B479" s="12" t="s">
        <v>46</v>
      </c>
      <c r="C479" s="61">
        <v>79.0</v>
      </c>
      <c r="D479" s="62" t="s">
        <v>2389</v>
      </c>
      <c r="E479" s="56" t="s">
        <v>173</v>
      </c>
      <c r="F479" s="61" t="s">
        <v>2390</v>
      </c>
      <c r="G479" s="57" t="str">
        <f t="shared" si="1"/>
        <v>10-Feb-2025</v>
      </c>
      <c r="H479" s="61" t="s">
        <v>44</v>
      </c>
      <c r="I479" s="61" t="s">
        <v>2391</v>
      </c>
      <c r="J479" s="27" t="str">
        <f t="shared" si="4"/>
        <v>11-Jul-2025</v>
      </c>
      <c r="K479" s="61" t="s">
        <v>2392</v>
      </c>
      <c r="L479" s="27" t="str">
        <f t="shared" si="5"/>
        <v>14-Apr-2025</v>
      </c>
      <c r="M479" s="63" t="s">
        <v>285</v>
      </c>
      <c r="N479" s="61" t="s">
        <v>177</v>
      </c>
      <c r="O479" s="61" t="s">
        <v>37</v>
      </c>
      <c r="P479" s="61">
        <v>4.0</v>
      </c>
      <c r="Q479" s="66" t="s">
        <v>2393</v>
      </c>
      <c r="R479" s="27" t="str">
        <f>IFERROR(__xludf.DUMMYFUNCTION("IF(REGEXMATCH(N479, ""PRIORITY: Low""), ""Low"", IF(REGEXMATCH(N479, ""PRIORITY: Medium""), ""Medium"", IF(REGEXMATCH(N479, ""PRIORITY: High""), ""High"", """")))
"),"")</f>
        <v/>
      </c>
      <c r="S479" s="27" t="str">
        <f>IFERROR(__xludf.DUMMYFUNCTION("IF(REGEXMATCH(N479, ""SKILL: Low""), ""Low"", IF(REGEXMATCH(N479, ""SKILL: Medium""), ""Medium"", IF(REGEXMATCH(N479, ""SKILL: High""), ""High"", """")))"),"")</f>
        <v/>
      </c>
      <c r="T479" s="27" t="str">
        <f>IFERROR(__xludf.DUMMYFUNCTION("IF(REGEXMATCH(N479, ""STATUS: Dev Complete - Awaiting QA""), ""Dev Complete - Awaiting QA"", IF(REGEXMATCH(N479, ""STATUS: Follow-Up Required""), ""Follow-Up Required"", IF(REGEXMATCH(N479, ""STATUS: In Progress""), ""In Progress"", IF(REGEXMATCH(N479, """&amp;"STATUS: In QA""), ""In QA"", IF(REGEXMATCH(N479, ""STATUS: Needs Customer Feedback""), ""Needs Customer Feedback"", IF(REGEXMATCH(N479, ""STATUS: QA Passed - Awaiting Release""), ""QA Passed - Awaiting Release"", IF(REGEXMATCH(N479, ""STATUS: Release to P"&amp;"rod""), ""Release to Prod"", """")))))))"),"")</f>
        <v/>
      </c>
    </row>
    <row r="480" hidden="1">
      <c r="A480" s="61" t="s">
        <v>45</v>
      </c>
      <c r="B480" s="12" t="s">
        <v>46</v>
      </c>
      <c r="C480" s="61">
        <v>78.0</v>
      </c>
      <c r="D480" s="62" t="s">
        <v>2389</v>
      </c>
      <c r="E480" s="56" t="s">
        <v>173</v>
      </c>
      <c r="F480" s="61" t="s">
        <v>2394</v>
      </c>
      <c r="G480" s="57" t="str">
        <f t="shared" si="1"/>
        <v>10-Feb-2025</v>
      </c>
      <c r="H480" s="61" t="s">
        <v>44</v>
      </c>
      <c r="I480" s="61" t="s">
        <v>2395</v>
      </c>
      <c r="J480" s="27" t="str">
        <f t="shared" si="4"/>
        <v>11-Jul-2025</v>
      </c>
      <c r="K480" s="61" t="s">
        <v>2396</v>
      </c>
      <c r="L480" s="27" t="str">
        <f t="shared" si="5"/>
        <v>10-Feb-2025</v>
      </c>
      <c r="M480" s="63" t="s">
        <v>15</v>
      </c>
      <c r="N480" s="61" t="s">
        <v>177</v>
      </c>
      <c r="O480" s="61" t="s">
        <v>44</v>
      </c>
      <c r="P480" s="61">
        <v>1.0</v>
      </c>
      <c r="Q480" s="66" t="s">
        <v>2397</v>
      </c>
      <c r="R480" s="27" t="str">
        <f>IFERROR(__xludf.DUMMYFUNCTION("IF(REGEXMATCH(N480, ""PRIORITY: Low""), ""Low"", IF(REGEXMATCH(N480, ""PRIORITY: Medium""), ""Medium"", IF(REGEXMATCH(N480, ""PRIORITY: High""), ""High"", """")))
"),"")</f>
        <v/>
      </c>
      <c r="S480" s="27" t="str">
        <f>IFERROR(__xludf.DUMMYFUNCTION("IF(REGEXMATCH(N480, ""SKILL: Low""), ""Low"", IF(REGEXMATCH(N480, ""SKILL: Medium""), ""Medium"", IF(REGEXMATCH(N480, ""SKILL: High""), ""High"", """")))"),"")</f>
        <v/>
      </c>
      <c r="T480" s="27" t="str">
        <f>IFERROR(__xludf.DUMMYFUNCTION("IF(REGEXMATCH(N480, ""STATUS: Dev Complete - Awaiting QA""), ""Dev Complete - Awaiting QA"", IF(REGEXMATCH(N480, ""STATUS: Follow-Up Required""), ""Follow-Up Required"", IF(REGEXMATCH(N480, ""STATUS: In Progress""), ""In Progress"", IF(REGEXMATCH(N480, """&amp;"STATUS: In QA""), ""In QA"", IF(REGEXMATCH(N480, ""STATUS: Needs Customer Feedback""), ""Needs Customer Feedback"", IF(REGEXMATCH(N480, ""STATUS: QA Passed - Awaiting Release""), ""QA Passed - Awaiting Release"", IF(REGEXMATCH(N480, ""STATUS: Release to P"&amp;"rod""), ""Release to Prod"", """")))))))"),"")</f>
        <v/>
      </c>
    </row>
    <row r="481" hidden="1">
      <c r="A481" s="61" t="s">
        <v>45</v>
      </c>
      <c r="B481" s="12" t="s">
        <v>46</v>
      </c>
      <c r="C481" s="61">
        <v>77.0</v>
      </c>
      <c r="D481" s="62" t="s">
        <v>2398</v>
      </c>
      <c r="E481" s="56" t="s">
        <v>173</v>
      </c>
      <c r="F481" s="61" t="s">
        <v>2399</v>
      </c>
      <c r="G481" s="57" t="str">
        <f t="shared" si="1"/>
        <v>10-Feb-2025</v>
      </c>
      <c r="H481" s="61" t="s">
        <v>44</v>
      </c>
      <c r="I481" s="61" t="s">
        <v>2395</v>
      </c>
      <c r="J481" s="27" t="str">
        <f t="shared" si="4"/>
        <v>11-Jul-2025</v>
      </c>
      <c r="K481" s="61" t="s">
        <v>2400</v>
      </c>
      <c r="L481" s="27" t="str">
        <f t="shared" si="5"/>
        <v>15-Apr-2025</v>
      </c>
      <c r="M481" s="63" t="s">
        <v>15</v>
      </c>
      <c r="N481" s="61" t="s">
        <v>177</v>
      </c>
      <c r="O481" s="61" t="s">
        <v>44</v>
      </c>
      <c r="P481" s="61">
        <v>4.0</v>
      </c>
      <c r="Q481" s="66" t="s">
        <v>2401</v>
      </c>
      <c r="R481" s="27" t="str">
        <f>IFERROR(__xludf.DUMMYFUNCTION("IF(REGEXMATCH(N481, ""PRIORITY: Low""), ""Low"", IF(REGEXMATCH(N481, ""PRIORITY: Medium""), ""Medium"", IF(REGEXMATCH(N481, ""PRIORITY: High""), ""High"", """")))
"),"")</f>
        <v/>
      </c>
      <c r="S481" s="27" t="str">
        <f>IFERROR(__xludf.DUMMYFUNCTION("IF(REGEXMATCH(N481, ""SKILL: Low""), ""Low"", IF(REGEXMATCH(N481, ""SKILL: Medium""), ""Medium"", IF(REGEXMATCH(N481, ""SKILL: High""), ""High"", """")))"),"")</f>
        <v/>
      </c>
      <c r="T481" s="27" t="str">
        <f>IFERROR(__xludf.DUMMYFUNCTION("IF(REGEXMATCH(N481, ""STATUS: Dev Complete - Awaiting QA""), ""Dev Complete - Awaiting QA"", IF(REGEXMATCH(N481, ""STATUS: Follow-Up Required""), ""Follow-Up Required"", IF(REGEXMATCH(N481, ""STATUS: In Progress""), ""In Progress"", IF(REGEXMATCH(N481, """&amp;"STATUS: In QA""), ""In QA"", IF(REGEXMATCH(N481, ""STATUS: Needs Customer Feedback""), ""Needs Customer Feedback"", IF(REGEXMATCH(N481, ""STATUS: QA Passed - Awaiting Release""), ""QA Passed - Awaiting Release"", IF(REGEXMATCH(N481, ""STATUS: Release to P"&amp;"rod""), ""Release to Prod"", """")))))))"),"")</f>
        <v/>
      </c>
    </row>
    <row r="482" hidden="1">
      <c r="A482" s="61" t="s">
        <v>45</v>
      </c>
      <c r="B482" s="12" t="s">
        <v>46</v>
      </c>
      <c r="C482" s="61">
        <v>76.0</v>
      </c>
      <c r="D482" s="62" t="s">
        <v>2402</v>
      </c>
      <c r="E482" s="56" t="s">
        <v>173</v>
      </c>
      <c r="F482" s="61" t="s">
        <v>2403</v>
      </c>
      <c r="G482" s="57" t="str">
        <f t="shared" si="1"/>
        <v>07-Feb-2025</v>
      </c>
      <c r="H482" s="61" t="s">
        <v>136</v>
      </c>
      <c r="I482" s="61" t="s">
        <v>2404</v>
      </c>
      <c r="J482" s="27" t="str">
        <f t="shared" si="4"/>
        <v>11-Jul-2025</v>
      </c>
      <c r="K482" s="61" t="s">
        <v>2405</v>
      </c>
      <c r="L482" s="27" t="str">
        <f t="shared" si="5"/>
        <v>14-Apr-2025</v>
      </c>
      <c r="M482" s="63" t="s">
        <v>249</v>
      </c>
      <c r="N482" s="61" t="s">
        <v>177</v>
      </c>
      <c r="O482" s="61" t="s">
        <v>136</v>
      </c>
      <c r="P482" s="61">
        <v>3.0</v>
      </c>
      <c r="Q482" s="66" t="s">
        <v>2406</v>
      </c>
      <c r="R482" s="27" t="str">
        <f>IFERROR(__xludf.DUMMYFUNCTION("IF(REGEXMATCH(N482, ""PRIORITY: Low""), ""Low"", IF(REGEXMATCH(N482, ""PRIORITY: Medium""), ""Medium"", IF(REGEXMATCH(N482, ""PRIORITY: High""), ""High"", """")))
"),"")</f>
        <v/>
      </c>
      <c r="S482" s="27" t="str">
        <f>IFERROR(__xludf.DUMMYFUNCTION("IF(REGEXMATCH(N482, ""SKILL: Low""), ""Low"", IF(REGEXMATCH(N482, ""SKILL: Medium""), ""Medium"", IF(REGEXMATCH(N482, ""SKILL: High""), ""High"", """")))"),"")</f>
        <v/>
      </c>
      <c r="T482" s="27" t="str">
        <f>IFERROR(__xludf.DUMMYFUNCTION("IF(REGEXMATCH(N482, ""STATUS: Dev Complete - Awaiting QA""), ""Dev Complete - Awaiting QA"", IF(REGEXMATCH(N482, ""STATUS: Follow-Up Required""), ""Follow-Up Required"", IF(REGEXMATCH(N482, ""STATUS: In Progress""), ""In Progress"", IF(REGEXMATCH(N482, """&amp;"STATUS: In QA""), ""In QA"", IF(REGEXMATCH(N482, ""STATUS: Needs Customer Feedback""), ""Needs Customer Feedback"", IF(REGEXMATCH(N482, ""STATUS: QA Passed - Awaiting Release""), ""QA Passed - Awaiting Release"", IF(REGEXMATCH(N482, ""STATUS: Release to P"&amp;"rod""), ""Release to Prod"", """")))))))"),"")</f>
        <v/>
      </c>
    </row>
    <row r="483" hidden="1">
      <c r="A483" s="61" t="s">
        <v>45</v>
      </c>
      <c r="B483" s="12" t="s">
        <v>46</v>
      </c>
      <c r="C483" s="61">
        <v>75.0</v>
      </c>
      <c r="D483" s="62" t="s">
        <v>2407</v>
      </c>
      <c r="E483" s="56" t="s">
        <v>173</v>
      </c>
      <c r="F483" s="61" t="s">
        <v>2408</v>
      </c>
      <c r="G483" s="57" t="str">
        <f t="shared" si="1"/>
        <v>07-Feb-2025</v>
      </c>
      <c r="H483" s="61" t="s">
        <v>136</v>
      </c>
      <c r="I483" s="61" t="s">
        <v>2386</v>
      </c>
      <c r="J483" s="27" t="str">
        <f t="shared" si="4"/>
        <v>19-Sep-2025</v>
      </c>
      <c r="K483" s="61" t="s">
        <v>2409</v>
      </c>
      <c r="L483" s="27" t="str">
        <f t="shared" si="5"/>
        <v>24-Apr-2025</v>
      </c>
      <c r="M483" s="63" t="s">
        <v>15</v>
      </c>
      <c r="N483" s="61" t="s">
        <v>177</v>
      </c>
      <c r="O483" s="27"/>
      <c r="P483" s="61">
        <v>0.0</v>
      </c>
      <c r="Q483" s="66" t="s">
        <v>2410</v>
      </c>
      <c r="R483" s="27" t="str">
        <f>IFERROR(__xludf.DUMMYFUNCTION("IF(REGEXMATCH(N483, ""PRIORITY: Low""), ""Low"", IF(REGEXMATCH(N483, ""PRIORITY: Medium""), ""Medium"", IF(REGEXMATCH(N483, ""PRIORITY: High""), ""High"", """")))
"),"")</f>
        <v/>
      </c>
      <c r="S483" s="27" t="str">
        <f>IFERROR(__xludf.DUMMYFUNCTION("IF(REGEXMATCH(N483, ""SKILL: Low""), ""Low"", IF(REGEXMATCH(N483, ""SKILL: Medium""), ""Medium"", IF(REGEXMATCH(N483, ""SKILL: High""), ""High"", """")))"),"")</f>
        <v/>
      </c>
      <c r="T483" s="27" t="str">
        <f>IFERROR(__xludf.DUMMYFUNCTION("IF(REGEXMATCH(N483, ""STATUS: Dev Complete - Awaiting QA""), ""Dev Complete - Awaiting QA"", IF(REGEXMATCH(N483, ""STATUS: Follow-Up Required""), ""Follow-Up Required"", IF(REGEXMATCH(N483, ""STATUS: In Progress""), ""In Progress"", IF(REGEXMATCH(N483, """&amp;"STATUS: In QA""), ""In QA"", IF(REGEXMATCH(N483, ""STATUS: Needs Customer Feedback""), ""Needs Customer Feedback"", IF(REGEXMATCH(N483, ""STATUS: QA Passed - Awaiting Release""), ""QA Passed - Awaiting Release"", IF(REGEXMATCH(N483, ""STATUS: Release to P"&amp;"rod""), ""Release to Prod"", """")))))))"),"")</f>
        <v/>
      </c>
    </row>
    <row r="484" hidden="1">
      <c r="A484" s="61" t="s">
        <v>45</v>
      </c>
      <c r="B484" s="12" t="s">
        <v>46</v>
      </c>
      <c r="C484" s="61">
        <v>55.0</v>
      </c>
      <c r="D484" s="62" t="s">
        <v>2411</v>
      </c>
      <c r="E484" s="56" t="s">
        <v>173</v>
      </c>
      <c r="F484" s="61" t="s">
        <v>2412</v>
      </c>
      <c r="G484" s="57" t="str">
        <f t="shared" si="1"/>
        <v>30-Jan-2025</v>
      </c>
      <c r="H484" s="61" t="s">
        <v>136</v>
      </c>
      <c r="I484" s="61" t="s">
        <v>2413</v>
      </c>
      <c r="J484" s="27" t="str">
        <f t="shared" si="4"/>
        <v>11-Jul-2025</v>
      </c>
      <c r="K484" s="61" t="s">
        <v>2414</v>
      </c>
      <c r="L484" s="27" t="str">
        <f t="shared" si="5"/>
        <v>07-Feb-2025</v>
      </c>
      <c r="M484" s="63" t="s">
        <v>291</v>
      </c>
      <c r="N484" s="61" t="s">
        <v>177</v>
      </c>
      <c r="O484" s="61" t="s">
        <v>2415</v>
      </c>
      <c r="P484" s="61">
        <v>1.0</v>
      </c>
      <c r="Q484" s="66" t="s">
        <v>2416</v>
      </c>
      <c r="R484" s="27" t="str">
        <f>IFERROR(__xludf.DUMMYFUNCTION("IF(REGEXMATCH(N484, ""PRIORITY: Low""), ""Low"", IF(REGEXMATCH(N484, ""PRIORITY: Medium""), ""Medium"", IF(REGEXMATCH(N484, ""PRIORITY: High""), ""High"", """")))
"),"")</f>
        <v/>
      </c>
      <c r="S484" s="27" t="str">
        <f>IFERROR(__xludf.DUMMYFUNCTION("IF(REGEXMATCH(N484, ""SKILL: Low""), ""Low"", IF(REGEXMATCH(N484, ""SKILL: Medium""), ""Medium"", IF(REGEXMATCH(N484, ""SKILL: High""), ""High"", """")))"),"")</f>
        <v/>
      </c>
      <c r="T484" s="27" t="str">
        <f>IFERROR(__xludf.DUMMYFUNCTION("IF(REGEXMATCH(N484, ""STATUS: Dev Complete - Awaiting QA""), ""Dev Complete - Awaiting QA"", IF(REGEXMATCH(N484, ""STATUS: Follow-Up Required""), ""Follow-Up Required"", IF(REGEXMATCH(N484, ""STATUS: In Progress""), ""In Progress"", IF(REGEXMATCH(N484, """&amp;"STATUS: In QA""), ""In QA"", IF(REGEXMATCH(N484, ""STATUS: Needs Customer Feedback""), ""Needs Customer Feedback"", IF(REGEXMATCH(N484, ""STATUS: QA Passed - Awaiting Release""), ""QA Passed - Awaiting Release"", IF(REGEXMATCH(N484, ""STATUS: Release to P"&amp;"rod""), ""Release to Prod"", """")))))))"),"")</f>
        <v/>
      </c>
    </row>
    <row r="485" hidden="1">
      <c r="A485" s="61" t="s">
        <v>45</v>
      </c>
      <c r="B485" s="12" t="s">
        <v>46</v>
      </c>
      <c r="C485" s="61">
        <v>52.0</v>
      </c>
      <c r="D485" s="62" t="s">
        <v>2417</v>
      </c>
      <c r="E485" s="56" t="s">
        <v>173</v>
      </c>
      <c r="F485" s="61" t="s">
        <v>2418</v>
      </c>
      <c r="G485" s="57" t="str">
        <f t="shared" si="1"/>
        <v>29-Jan-2025</v>
      </c>
      <c r="H485" s="61" t="s">
        <v>98</v>
      </c>
      <c r="I485" s="61" t="s">
        <v>2419</v>
      </c>
      <c r="J485" s="27" t="str">
        <f t="shared" si="4"/>
        <v>11-Jul-2025</v>
      </c>
      <c r="K485" s="61" t="s">
        <v>2420</v>
      </c>
      <c r="L485" s="27" t="str">
        <f t="shared" si="5"/>
        <v>06-Feb-2025</v>
      </c>
      <c r="M485" s="63" t="s">
        <v>15</v>
      </c>
      <c r="N485" s="61" t="s">
        <v>177</v>
      </c>
      <c r="O485" s="27"/>
      <c r="P485" s="61">
        <v>1.0</v>
      </c>
      <c r="Q485" s="66" t="s">
        <v>2421</v>
      </c>
      <c r="R485" s="27" t="str">
        <f>IFERROR(__xludf.DUMMYFUNCTION("IF(REGEXMATCH(N485, ""PRIORITY: Low""), ""Low"", IF(REGEXMATCH(N485, ""PRIORITY: Medium""), ""Medium"", IF(REGEXMATCH(N485, ""PRIORITY: High""), ""High"", """")))
"),"")</f>
        <v/>
      </c>
      <c r="S485" s="27" t="str">
        <f>IFERROR(__xludf.DUMMYFUNCTION("IF(REGEXMATCH(N485, ""SKILL: Low""), ""Low"", IF(REGEXMATCH(N485, ""SKILL: Medium""), ""Medium"", IF(REGEXMATCH(N485, ""SKILL: High""), ""High"", """")))"),"")</f>
        <v/>
      </c>
      <c r="T485" s="27" t="str">
        <f>IFERROR(__xludf.DUMMYFUNCTION("IF(REGEXMATCH(N485, ""STATUS: Dev Complete - Awaiting QA""), ""Dev Complete - Awaiting QA"", IF(REGEXMATCH(N485, ""STATUS: Follow-Up Required""), ""Follow-Up Required"", IF(REGEXMATCH(N485, ""STATUS: In Progress""), ""In Progress"", IF(REGEXMATCH(N485, """&amp;"STATUS: In QA""), ""In QA"", IF(REGEXMATCH(N485, ""STATUS: Needs Customer Feedback""), ""Needs Customer Feedback"", IF(REGEXMATCH(N485, ""STATUS: QA Passed - Awaiting Release""), ""QA Passed - Awaiting Release"", IF(REGEXMATCH(N485, ""STATUS: Release to P"&amp;"rod""), ""Release to Prod"", """")))))))"),"")</f>
        <v/>
      </c>
    </row>
    <row r="486" hidden="1">
      <c r="A486" s="61" t="s">
        <v>45</v>
      </c>
      <c r="B486" s="12" t="s">
        <v>46</v>
      </c>
      <c r="C486" s="61">
        <v>45.0</v>
      </c>
      <c r="D486" s="62" t="s">
        <v>2422</v>
      </c>
      <c r="E486" s="56" t="s">
        <v>173</v>
      </c>
      <c r="F486" s="61" t="s">
        <v>2423</v>
      </c>
      <c r="G486" s="57" t="str">
        <f t="shared" si="1"/>
        <v>24-Jan-2025</v>
      </c>
      <c r="H486" s="61" t="s">
        <v>37</v>
      </c>
      <c r="I486" s="61" t="s">
        <v>2424</v>
      </c>
      <c r="J486" s="27" t="str">
        <f t="shared" si="4"/>
        <v>11-Jul-2025</v>
      </c>
      <c r="K486" s="61" t="s">
        <v>2425</v>
      </c>
      <c r="L486" s="27" t="str">
        <f t="shared" si="5"/>
        <v>30-Jan-2025</v>
      </c>
      <c r="M486" s="63" t="s">
        <v>15</v>
      </c>
      <c r="N486" s="61" t="s">
        <v>177</v>
      </c>
      <c r="O486" s="27"/>
      <c r="P486" s="61">
        <v>1.0</v>
      </c>
      <c r="Q486" s="66" t="s">
        <v>2426</v>
      </c>
      <c r="R486" s="27" t="str">
        <f>IFERROR(__xludf.DUMMYFUNCTION("IF(REGEXMATCH(N486, ""PRIORITY: Low""), ""Low"", IF(REGEXMATCH(N486, ""PRIORITY: Medium""), ""Medium"", IF(REGEXMATCH(N486, ""PRIORITY: High""), ""High"", """")))
"),"")</f>
        <v/>
      </c>
      <c r="S486" s="27" t="str">
        <f>IFERROR(__xludf.DUMMYFUNCTION("IF(REGEXMATCH(N486, ""SKILL: Low""), ""Low"", IF(REGEXMATCH(N486, ""SKILL: Medium""), ""Medium"", IF(REGEXMATCH(N486, ""SKILL: High""), ""High"", """")))"),"")</f>
        <v/>
      </c>
      <c r="T486" s="27" t="str">
        <f>IFERROR(__xludf.DUMMYFUNCTION("IF(REGEXMATCH(N486, ""STATUS: Dev Complete - Awaiting QA""), ""Dev Complete - Awaiting QA"", IF(REGEXMATCH(N486, ""STATUS: Follow-Up Required""), ""Follow-Up Required"", IF(REGEXMATCH(N486, ""STATUS: In Progress""), ""In Progress"", IF(REGEXMATCH(N486, """&amp;"STATUS: In QA""), ""In QA"", IF(REGEXMATCH(N486, ""STATUS: Needs Customer Feedback""), ""Needs Customer Feedback"", IF(REGEXMATCH(N486, ""STATUS: QA Passed - Awaiting Release""), ""QA Passed - Awaiting Release"", IF(REGEXMATCH(N486, ""STATUS: Release to P"&amp;"rod""), ""Release to Prod"", """")))))))"),"")</f>
        <v/>
      </c>
    </row>
    <row r="487" hidden="1">
      <c r="A487" s="61" t="s">
        <v>45</v>
      </c>
      <c r="B487" s="12" t="s">
        <v>46</v>
      </c>
      <c r="C487" s="61">
        <v>44.0</v>
      </c>
      <c r="D487" s="62" t="s">
        <v>2427</v>
      </c>
      <c r="E487" s="56" t="s">
        <v>173</v>
      </c>
      <c r="F487" s="61" t="s">
        <v>2428</v>
      </c>
      <c r="G487" s="57" t="str">
        <f t="shared" si="1"/>
        <v>24-Jan-2025</v>
      </c>
      <c r="H487" s="61" t="s">
        <v>37</v>
      </c>
      <c r="I487" s="61" t="s">
        <v>2424</v>
      </c>
      <c r="J487" s="27" t="str">
        <f t="shared" si="4"/>
        <v>11-Jul-2025</v>
      </c>
      <c r="K487" s="61" t="s">
        <v>2429</v>
      </c>
      <c r="L487" s="27" t="str">
        <f t="shared" si="5"/>
        <v>13-Feb-2025</v>
      </c>
      <c r="M487" s="63" t="s">
        <v>15</v>
      </c>
      <c r="N487" s="61" t="s">
        <v>177</v>
      </c>
      <c r="O487" s="27"/>
      <c r="P487" s="61">
        <v>0.0</v>
      </c>
      <c r="Q487" s="66" t="s">
        <v>2430</v>
      </c>
      <c r="R487" s="27" t="str">
        <f>IFERROR(__xludf.DUMMYFUNCTION("IF(REGEXMATCH(N487, ""PRIORITY: Low""), ""Low"", IF(REGEXMATCH(N487, ""PRIORITY: Medium""), ""Medium"", IF(REGEXMATCH(N487, ""PRIORITY: High""), ""High"", """")))
"),"")</f>
        <v/>
      </c>
      <c r="S487" s="27" t="str">
        <f>IFERROR(__xludf.DUMMYFUNCTION("IF(REGEXMATCH(N487, ""SKILL: Low""), ""Low"", IF(REGEXMATCH(N487, ""SKILL: Medium""), ""Medium"", IF(REGEXMATCH(N487, ""SKILL: High""), ""High"", """")))"),"")</f>
        <v/>
      </c>
      <c r="T487" s="27" t="str">
        <f>IFERROR(__xludf.DUMMYFUNCTION("IF(REGEXMATCH(N487, ""STATUS: Dev Complete - Awaiting QA""), ""Dev Complete - Awaiting QA"", IF(REGEXMATCH(N487, ""STATUS: Follow-Up Required""), ""Follow-Up Required"", IF(REGEXMATCH(N487, ""STATUS: In Progress""), ""In Progress"", IF(REGEXMATCH(N487, """&amp;"STATUS: In QA""), ""In QA"", IF(REGEXMATCH(N487, ""STATUS: Needs Customer Feedback""), ""Needs Customer Feedback"", IF(REGEXMATCH(N487, ""STATUS: QA Passed - Awaiting Release""), ""QA Passed - Awaiting Release"", IF(REGEXMATCH(N487, ""STATUS: Release to P"&amp;"rod""), ""Release to Prod"", """")))))))"),"")</f>
        <v/>
      </c>
    </row>
    <row r="488" hidden="1">
      <c r="A488" s="61" t="s">
        <v>45</v>
      </c>
      <c r="B488" s="12" t="s">
        <v>46</v>
      </c>
      <c r="C488" s="61">
        <v>40.0</v>
      </c>
      <c r="D488" s="62" t="s">
        <v>2431</v>
      </c>
      <c r="E488" s="56" t="s">
        <v>173</v>
      </c>
      <c r="F488" s="61" t="s">
        <v>2432</v>
      </c>
      <c r="G488" s="57" t="str">
        <f t="shared" si="1"/>
        <v>23-Jan-2025</v>
      </c>
      <c r="H488" s="61" t="s">
        <v>1876</v>
      </c>
      <c r="I488" s="61" t="s">
        <v>2433</v>
      </c>
      <c r="J488" s="27" t="str">
        <f t="shared" si="4"/>
        <v>11-Jul-2025</v>
      </c>
      <c r="K488" s="61" t="s">
        <v>2434</v>
      </c>
      <c r="L488" s="27" t="str">
        <f t="shared" si="5"/>
        <v>06-Feb-2025</v>
      </c>
      <c r="M488" s="63" t="s">
        <v>15</v>
      </c>
      <c r="N488" s="61" t="s">
        <v>177</v>
      </c>
      <c r="O488" s="27"/>
      <c r="P488" s="61">
        <v>0.0</v>
      </c>
      <c r="Q488" s="66" t="s">
        <v>2435</v>
      </c>
      <c r="R488" s="27" t="str">
        <f>IFERROR(__xludf.DUMMYFUNCTION("IF(REGEXMATCH(N488, ""PRIORITY: Low""), ""Low"", IF(REGEXMATCH(N488, ""PRIORITY: Medium""), ""Medium"", IF(REGEXMATCH(N488, ""PRIORITY: High""), ""High"", """")))
"),"")</f>
        <v/>
      </c>
      <c r="S488" s="27" t="str">
        <f>IFERROR(__xludf.DUMMYFUNCTION("IF(REGEXMATCH(N488, ""SKILL: Low""), ""Low"", IF(REGEXMATCH(N488, ""SKILL: Medium""), ""Medium"", IF(REGEXMATCH(N488, ""SKILL: High""), ""High"", """")))"),"")</f>
        <v/>
      </c>
      <c r="T488" s="27" t="str">
        <f>IFERROR(__xludf.DUMMYFUNCTION("IF(REGEXMATCH(N488, ""STATUS: Dev Complete - Awaiting QA""), ""Dev Complete - Awaiting QA"", IF(REGEXMATCH(N488, ""STATUS: Follow-Up Required""), ""Follow-Up Required"", IF(REGEXMATCH(N488, ""STATUS: In Progress""), ""In Progress"", IF(REGEXMATCH(N488, """&amp;"STATUS: In QA""), ""In QA"", IF(REGEXMATCH(N488, ""STATUS: Needs Customer Feedback""), ""Needs Customer Feedback"", IF(REGEXMATCH(N488, ""STATUS: QA Passed - Awaiting Release""), ""QA Passed - Awaiting Release"", IF(REGEXMATCH(N488, ""STATUS: Release to P"&amp;"rod""), ""Release to Prod"", """")))))))"),"")</f>
        <v/>
      </c>
    </row>
    <row r="489" hidden="1">
      <c r="A489" s="61" t="s">
        <v>45</v>
      </c>
      <c r="B489" s="12" t="s">
        <v>46</v>
      </c>
      <c r="C489" s="61">
        <v>37.0</v>
      </c>
      <c r="D489" s="62" t="s">
        <v>2436</v>
      </c>
      <c r="E489" s="56" t="s">
        <v>173</v>
      </c>
      <c r="F489" s="61" t="s">
        <v>2437</v>
      </c>
      <c r="G489" s="57" t="str">
        <f t="shared" si="1"/>
        <v>22-Jan-2025</v>
      </c>
      <c r="H489" s="61" t="s">
        <v>98</v>
      </c>
      <c r="I489" s="61" t="s">
        <v>2438</v>
      </c>
      <c r="J489" s="27" t="str">
        <f t="shared" si="4"/>
        <v>11-Jul-2025</v>
      </c>
      <c r="K489" s="61" t="s">
        <v>2439</v>
      </c>
      <c r="L489" s="27" t="str">
        <f t="shared" si="5"/>
        <v>07-Feb-2025</v>
      </c>
      <c r="M489" s="63" t="s">
        <v>15</v>
      </c>
      <c r="N489" s="61" t="s">
        <v>177</v>
      </c>
      <c r="O489" s="27"/>
      <c r="P489" s="61">
        <v>1.0</v>
      </c>
      <c r="Q489" s="66" t="s">
        <v>2440</v>
      </c>
      <c r="R489" s="27" t="str">
        <f>IFERROR(__xludf.DUMMYFUNCTION("IF(REGEXMATCH(N489, ""PRIORITY: Low""), ""Low"", IF(REGEXMATCH(N489, ""PRIORITY: Medium""), ""Medium"", IF(REGEXMATCH(N489, ""PRIORITY: High""), ""High"", """")))
"),"")</f>
        <v/>
      </c>
      <c r="S489" s="27" t="str">
        <f>IFERROR(__xludf.DUMMYFUNCTION("IF(REGEXMATCH(N489, ""SKILL: Low""), ""Low"", IF(REGEXMATCH(N489, ""SKILL: Medium""), ""Medium"", IF(REGEXMATCH(N489, ""SKILL: High""), ""High"", """")))"),"")</f>
        <v/>
      </c>
      <c r="T489" s="27" t="str">
        <f>IFERROR(__xludf.DUMMYFUNCTION("IF(REGEXMATCH(N489, ""STATUS: Dev Complete - Awaiting QA""), ""Dev Complete - Awaiting QA"", IF(REGEXMATCH(N489, ""STATUS: Follow-Up Required""), ""Follow-Up Required"", IF(REGEXMATCH(N489, ""STATUS: In Progress""), ""In Progress"", IF(REGEXMATCH(N489, """&amp;"STATUS: In QA""), ""In QA"", IF(REGEXMATCH(N489, ""STATUS: Needs Customer Feedback""), ""Needs Customer Feedback"", IF(REGEXMATCH(N489, ""STATUS: QA Passed - Awaiting Release""), ""QA Passed - Awaiting Release"", IF(REGEXMATCH(N489, ""STATUS: Release to P"&amp;"rod""), ""Release to Prod"", """")))))))"),"")</f>
        <v/>
      </c>
    </row>
    <row r="490" hidden="1">
      <c r="A490" s="61" t="s">
        <v>45</v>
      </c>
      <c r="B490" s="12" t="s">
        <v>46</v>
      </c>
      <c r="C490" s="61">
        <v>36.0</v>
      </c>
      <c r="D490" s="62" t="s">
        <v>2441</v>
      </c>
      <c r="E490" s="56" t="s">
        <v>173</v>
      </c>
      <c r="F490" s="61" t="s">
        <v>2442</v>
      </c>
      <c r="G490" s="57" t="str">
        <f t="shared" si="1"/>
        <v>22-Jan-2025</v>
      </c>
      <c r="H490" s="61" t="s">
        <v>2443</v>
      </c>
      <c r="I490" s="61" t="s">
        <v>2438</v>
      </c>
      <c r="J490" s="27" t="str">
        <f t="shared" si="4"/>
        <v>11-Jul-2025</v>
      </c>
      <c r="K490" s="61" t="s">
        <v>2444</v>
      </c>
      <c r="L490" s="27" t="str">
        <f t="shared" si="5"/>
        <v>28-Jan-2025</v>
      </c>
      <c r="M490" s="63" t="s">
        <v>15</v>
      </c>
      <c r="N490" s="61" t="s">
        <v>177</v>
      </c>
      <c r="O490" s="27"/>
      <c r="P490" s="61">
        <v>1.0</v>
      </c>
      <c r="Q490" s="66" t="s">
        <v>2445</v>
      </c>
      <c r="R490" s="27" t="str">
        <f>IFERROR(__xludf.DUMMYFUNCTION("IF(REGEXMATCH(N490, ""PRIORITY: Low""), ""Low"", IF(REGEXMATCH(N490, ""PRIORITY: Medium""), ""Medium"", IF(REGEXMATCH(N490, ""PRIORITY: High""), ""High"", """")))
"),"")</f>
        <v/>
      </c>
      <c r="S490" s="27" t="str">
        <f>IFERROR(__xludf.DUMMYFUNCTION("IF(REGEXMATCH(N490, ""SKILL: Low""), ""Low"", IF(REGEXMATCH(N490, ""SKILL: Medium""), ""Medium"", IF(REGEXMATCH(N490, ""SKILL: High""), ""High"", """")))"),"")</f>
        <v/>
      </c>
      <c r="T490" s="27" t="str">
        <f>IFERROR(__xludf.DUMMYFUNCTION("IF(REGEXMATCH(N490, ""STATUS: Dev Complete - Awaiting QA""), ""Dev Complete - Awaiting QA"", IF(REGEXMATCH(N490, ""STATUS: Follow-Up Required""), ""Follow-Up Required"", IF(REGEXMATCH(N490, ""STATUS: In Progress""), ""In Progress"", IF(REGEXMATCH(N490, """&amp;"STATUS: In QA""), ""In QA"", IF(REGEXMATCH(N490, ""STATUS: Needs Customer Feedback""), ""Needs Customer Feedback"", IF(REGEXMATCH(N490, ""STATUS: QA Passed - Awaiting Release""), ""QA Passed - Awaiting Release"", IF(REGEXMATCH(N490, ""STATUS: Release to P"&amp;"rod""), ""Release to Prod"", """")))))))"),"")</f>
        <v/>
      </c>
    </row>
    <row r="491" hidden="1">
      <c r="A491" s="61" t="s">
        <v>45</v>
      </c>
      <c r="B491" s="12" t="s">
        <v>46</v>
      </c>
      <c r="C491" s="61">
        <v>35.0</v>
      </c>
      <c r="D491" s="62" t="s">
        <v>2446</v>
      </c>
      <c r="E491" s="56" t="s">
        <v>173</v>
      </c>
      <c r="F491" s="61" t="s">
        <v>2447</v>
      </c>
      <c r="G491" s="57" t="str">
        <f t="shared" si="1"/>
        <v>22-Jan-2025</v>
      </c>
      <c r="H491" s="61" t="s">
        <v>2443</v>
      </c>
      <c r="I491" s="61" t="s">
        <v>2448</v>
      </c>
      <c r="J491" s="27" t="str">
        <f t="shared" si="4"/>
        <v>11-Jul-2025</v>
      </c>
      <c r="K491" s="61" t="s">
        <v>2449</v>
      </c>
      <c r="L491" s="27" t="str">
        <f t="shared" si="5"/>
        <v>06-Feb-2025</v>
      </c>
      <c r="M491" s="63" t="s">
        <v>15</v>
      </c>
      <c r="N491" s="61" t="s">
        <v>177</v>
      </c>
      <c r="O491" s="27"/>
      <c r="P491" s="61">
        <v>0.0</v>
      </c>
      <c r="Q491" s="66" t="s">
        <v>2450</v>
      </c>
      <c r="R491" s="27" t="str">
        <f>IFERROR(__xludf.DUMMYFUNCTION("IF(REGEXMATCH(N491, ""PRIORITY: Low""), ""Low"", IF(REGEXMATCH(N491, ""PRIORITY: Medium""), ""Medium"", IF(REGEXMATCH(N491, ""PRIORITY: High""), ""High"", """")))
"),"")</f>
        <v/>
      </c>
      <c r="S491" s="27" t="str">
        <f>IFERROR(__xludf.DUMMYFUNCTION("IF(REGEXMATCH(N491, ""SKILL: Low""), ""Low"", IF(REGEXMATCH(N491, ""SKILL: Medium""), ""Medium"", IF(REGEXMATCH(N491, ""SKILL: High""), ""High"", """")))"),"")</f>
        <v/>
      </c>
      <c r="T491" s="27" t="str">
        <f>IFERROR(__xludf.DUMMYFUNCTION("IF(REGEXMATCH(N491, ""STATUS: Dev Complete - Awaiting QA""), ""Dev Complete - Awaiting QA"", IF(REGEXMATCH(N491, ""STATUS: Follow-Up Required""), ""Follow-Up Required"", IF(REGEXMATCH(N491, ""STATUS: In Progress""), ""In Progress"", IF(REGEXMATCH(N491, """&amp;"STATUS: In QA""), ""In QA"", IF(REGEXMATCH(N491, ""STATUS: Needs Customer Feedback""), ""Needs Customer Feedback"", IF(REGEXMATCH(N491, ""STATUS: QA Passed - Awaiting Release""), ""QA Passed - Awaiting Release"", IF(REGEXMATCH(N491, ""STATUS: Release to P"&amp;"rod""), ""Release to Prod"", """")))))))"),"")</f>
        <v/>
      </c>
    </row>
    <row r="492" hidden="1">
      <c r="A492" s="61" t="s">
        <v>45</v>
      </c>
      <c r="B492" s="12" t="s">
        <v>46</v>
      </c>
      <c r="C492" s="61">
        <v>34.0</v>
      </c>
      <c r="D492" s="62" t="s">
        <v>2451</v>
      </c>
      <c r="E492" s="56" t="s">
        <v>173</v>
      </c>
      <c r="F492" s="61" t="s">
        <v>2452</v>
      </c>
      <c r="G492" s="57" t="str">
        <f t="shared" si="1"/>
        <v>22-Jan-2025</v>
      </c>
      <c r="H492" s="61" t="s">
        <v>2443</v>
      </c>
      <c r="I492" s="61" t="s">
        <v>2453</v>
      </c>
      <c r="J492" s="27" t="str">
        <f t="shared" si="4"/>
        <v>11-Jul-2025</v>
      </c>
      <c r="K492" s="61" t="s">
        <v>2454</v>
      </c>
      <c r="L492" s="27" t="str">
        <f t="shared" si="5"/>
        <v>06-Feb-2025</v>
      </c>
      <c r="M492" s="63" t="s">
        <v>15</v>
      </c>
      <c r="N492" s="61" t="s">
        <v>177</v>
      </c>
      <c r="O492" s="27"/>
      <c r="P492" s="61">
        <v>0.0</v>
      </c>
      <c r="Q492" s="66" t="s">
        <v>2455</v>
      </c>
      <c r="R492" s="27" t="str">
        <f>IFERROR(__xludf.DUMMYFUNCTION("IF(REGEXMATCH(N492, ""PRIORITY: Low""), ""Low"", IF(REGEXMATCH(N492, ""PRIORITY: Medium""), ""Medium"", IF(REGEXMATCH(N492, ""PRIORITY: High""), ""High"", """")))
"),"")</f>
        <v/>
      </c>
      <c r="S492" s="27" t="str">
        <f>IFERROR(__xludf.DUMMYFUNCTION("IF(REGEXMATCH(N492, ""SKILL: Low""), ""Low"", IF(REGEXMATCH(N492, ""SKILL: Medium""), ""Medium"", IF(REGEXMATCH(N492, ""SKILL: High""), ""High"", """")))"),"")</f>
        <v/>
      </c>
      <c r="T492" s="27" t="str">
        <f>IFERROR(__xludf.DUMMYFUNCTION("IF(REGEXMATCH(N492, ""STATUS: Dev Complete - Awaiting QA""), ""Dev Complete - Awaiting QA"", IF(REGEXMATCH(N492, ""STATUS: Follow-Up Required""), ""Follow-Up Required"", IF(REGEXMATCH(N492, ""STATUS: In Progress""), ""In Progress"", IF(REGEXMATCH(N492, """&amp;"STATUS: In QA""), ""In QA"", IF(REGEXMATCH(N492, ""STATUS: Needs Customer Feedback""), ""Needs Customer Feedback"", IF(REGEXMATCH(N492, ""STATUS: QA Passed - Awaiting Release""), ""QA Passed - Awaiting Release"", IF(REGEXMATCH(N492, ""STATUS: Release to P"&amp;"rod""), ""Release to Prod"", """")))))))"),"")</f>
        <v/>
      </c>
    </row>
    <row r="493" hidden="1">
      <c r="A493" s="61" t="s">
        <v>45</v>
      </c>
      <c r="B493" s="12" t="s">
        <v>46</v>
      </c>
      <c r="C493" s="61">
        <v>33.0</v>
      </c>
      <c r="D493" s="62" t="s">
        <v>2456</v>
      </c>
      <c r="E493" s="56" t="s">
        <v>173</v>
      </c>
      <c r="F493" s="61" t="s">
        <v>2457</v>
      </c>
      <c r="G493" s="57" t="str">
        <f t="shared" si="1"/>
        <v>22-Jan-2025</v>
      </c>
      <c r="H493" s="61" t="s">
        <v>2443</v>
      </c>
      <c r="I493" s="61" t="s">
        <v>2453</v>
      </c>
      <c r="J493" s="27" t="str">
        <f t="shared" si="4"/>
        <v>11-Jul-2025</v>
      </c>
      <c r="K493" s="61" t="s">
        <v>2458</v>
      </c>
      <c r="L493" s="27" t="str">
        <f t="shared" si="5"/>
        <v>07-Feb-2025</v>
      </c>
      <c r="M493" s="63" t="s">
        <v>15</v>
      </c>
      <c r="N493" s="61" t="s">
        <v>177</v>
      </c>
      <c r="O493" s="27"/>
      <c r="P493" s="61">
        <v>1.0</v>
      </c>
      <c r="Q493" s="66" t="s">
        <v>2459</v>
      </c>
      <c r="R493" s="27" t="str">
        <f>IFERROR(__xludf.DUMMYFUNCTION("IF(REGEXMATCH(N493, ""PRIORITY: Low""), ""Low"", IF(REGEXMATCH(N493, ""PRIORITY: Medium""), ""Medium"", IF(REGEXMATCH(N493, ""PRIORITY: High""), ""High"", """")))
"),"")</f>
        <v/>
      </c>
      <c r="S493" s="27" t="str">
        <f>IFERROR(__xludf.DUMMYFUNCTION("IF(REGEXMATCH(N493, ""SKILL: Low""), ""Low"", IF(REGEXMATCH(N493, ""SKILL: Medium""), ""Medium"", IF(REGEXMATCH(N493, ""SKILL: High""), ""High"", """")))"),"")</f>
        <v/>
      </c>
      <c r="T493" s="27" t="str">
        <f>IFERROR(__xludf.DUMMYFUNCTION("IF(REGEXMATCH(N493, ""STATUS: Dev Complete - Awaiting QA""), ""Dev Complete - Awaiting QA"", IF(REGEXMATCH(N493, ""STATUS: Follow-Up Required""), ""Follow-Up Required"", IF(REGEXMATCH(N493, ""STATUS: In Progress""), ""In Progress"", IF(REGEXMATCH(N493, """&amp;"STATUS: In QA""), ""In QA"", IF(REGEXMATCH(N493, ""STATUS: Needs Customer Feedback""), ""Needs Customer Feedback"", IF(REGEXMATCH(N493, ""STATUS: QA Passed - Awaiting Release""), ""QA Passed - Awaiting Release"", IF(REGEXMATCH(N493, ""STATUS: Release to P"&amp;"rod""), ""Release to Prod"", """")))))))"),"")</f>
        <v/>
      </c>
    </row>
    <row r="494" hidden="1">
      <c r="A494" s="61" t="s">
        <v>45</v>
      </c>
      <c r="B494" s="12" t="s">
        <v>46</v>
      </c>
      <c r="C494" s="61">
        <v>32.0</v>
      </c>
      <c r="D494" s="62" t="s">
        <v>2460</v>
      </c>
      <c r="E494" s="56" t="s">
        <v>173</v>
      </c>
      <c r="F494" s="61" t="s">
        <v>2461</v>
      </c>
      <c r="G494" s="57" t="str">
        <f t="shared" si="1"/>
        <v>22-Jan-2025</v>
      </c>
      <c r="H494" s="61" t="s">
        <v>2443</v>
      </c>
      <c r="I494" s="61" t="s">
        <v>2386</v>
      </c>
      <c r="J494" s="27" t="str">
        <f t="shared" si="4"/>
        <v>19-Sep-2025</v>
      </c>
      <c r="K494" s="61" t="s">
        <v>2462</v>
      </c>
      <c r="L494" s="27" t="str">
        <f t="shared" si="5"/>
        <v>15-Apr-2025</v>
      </c>
      <c r="M494" s="63" t="s">
        <v>291</v>
      </c>
      <c r="N494" s="61" t="s">
        <v>177</v>
      </c>
      <c r="O494" s="27"/>
      <c r="P494" s="61">
        <v>2.0</v>
      </c>
      <c r="Q494" s="66" t="s">
        <v>2463</v>
      </c>
      <c r="R494" s="27" t="str">
        <f>IFERROR(__xludf.DUMMYFUNCTION("IF(REGEXMATCH(N494, ""PRIORITY: Low""), ""Low"", IF(REGEXMATCH(N494, ""PRIORITY: Medium""), ""Medium"", IF(REGEXMATCH(N494, ""PRIORITY: High""), ""High"", """")))
"),"")</f>
        <v/>
      </c>
      <c r="S494" s="27" t="str">
        <f>IFERROR(__xludf.DUMMYFUNCTION("IF(REGEXMATCH(N494, ""SKILL: Low""), ""Low"", IF(REGEXMATCH(N494, ""SKILL: Medium""), ""Medium"", IF(REGEXMATCH(N494, ""SKILL: High""), ""High"", """")))"),"")</f>
        <v/>
      </c>
      <c r="T494" s="27" t="str">
        <f>IFERROR(__xludf.DUMMYFUNCTION("IF(REGEXMATCH(N494, ""STATUS: Dev Complete - Awaiting QA""), ""Dev Complete - Awaiting QA"", IF(REGEXMATCH(N494, ""STATUS: Follow-Up Required""), ""Follow-Up Required"", IF(REGEXMATCH(N494, ""STATUS: In Progress""), ""In Progress"", IF(REGEXMATCH(N494, """&amp;"STATUS: In QA""), ""In QA"", IF(REGEXMATCH(N494, ""STATUS: Needs Customer Feedback""), ""Needs Customer Feedback"", IF(REGEXMATCH(N494, ""STATUS: QA Passed - Awaiting Release""), ""QA Passed - Awaiting Release"", IF(REGEXMATCH(N494, ""STATUS: Release to P"&amp;"rod""), ""Release to Prod"", """")))))))"),"")</f>
        <v/>
      </c>
    </row>
    <row r="495" hidden="1">
      <c r="A495" s="61" t="s">
        <v>45</v>
      </c>
      <c r="B495" s="12" t="s">
        <v>46</v>
      </c>
      <c r="C495" s="61">
        <v>30.0</v>
      </c>
      <c r="D495" s="62" t="s">
        <v>2464</v>
      </c>
      <c r="E495" s="56" t="s">
        <v>173</v>
      </c>
      <c r="F495" s="61" t="s">
        <v>2465</v>
      </c>
      <c r="G495" s="57" t="str">
        <f t="shared" si="1"/>
        <v>21-Jan-2025</v>
      </c>
      <c r="H495" s="61" t="s">
        <v>98</v>
      </c>
      <c r="I495" s="61" t="s">
        <v>2466</v>
      </c>
      <c r="J495" s="27" t="str">
        <f t="shared" si="4"/>
        <v>19-Sep-2025</v>
      </c>
      <c r="K495" s="61" t="s">
        <v>2467</v>
      </c>
      <c r="L495" s="27" t="str">
        <f t="shared" si="5"/>
        <v>02-May-2025</v>
      </c>
      <c r="M495" s="63" t="s">
        <v>249</v>
      </c>
      <c r="N495" s="61" t="s">
        <v>177</v>
      </c>
      <c r="O495" s="27"/>
      <c r="P495" s="61">
        <v>4.0</v>
      </c>
      <c r="Q495" s="66" t="s">
        <v>2468</v>
      </c>
      <c r="R495" s="27" t="str">
        <f>IFERROR(__xludf.DUMMYFUNCTION("IF(REGEXMATCH(N495, ""PRIORITY: Low""), ""Low"", IF(REGEXMATCH(N495, ""PRIORITY: Medium""), ""Medium"", IF(REGEXMATCH(N495, ""PRIORITY: High""), ""High"", """")))
"),"")</f>
        <v/>
      </c>
      <c r="S495" s="27" t="str">
        <f>IFERROR(__xludf.DUMMYFUNCTION("IF(REGEXMATCH(N495, ""SKILL: Low""), ""Low"", IF(REGEXMATCH(N495, ""SKILL: Medium""), ""Medium"", IF(REGEXMATCH(N495, ""SKILL: High""), ""High"", """")))"),"")</f>
        <v/>
      </c>
      <c r="T495" s="27" t="str">
        <f>IFERROR(__xludf.DUMMYFUNCTION("IF(REGEXMATCH(N495, ""STATUS: Dev Complete - Awaiting QA""), ""Dev Complete - Awaiting QA"", IF(REGEXMATCH(N495, ""STATUS: Follow-Up Required""), ""Follow-Up Required"", IF(REGEXMATCH(N495, ""STATUS: In Progress""), ""In Progress"", IF(REGEXMATCH(N495, """&amp;"STATUS: In QA""), ""In QA"", IF(REGEXMATCH(N495, ""STATUS: Needs Customer Feedback""), ""Needs Customer Feedback"", IF(REGEXMATCH(N495, ""STATUS: QA Passed - Awaiting Release""), ""QA Passed - Awaiting Release"", IF(REGEXMATCH(N495, ""STATUS: Release to P"&amp;"rod""), ""Release to Prod"", """")))))))"),"")</f>
        <v/>
      </c>
    </row>
    <row r="496" hidden="1">
      <c r="A496" s="61" t="s">
        <v>45</v>
      </c>
      <c r="B496" s="12" t="s">
        <v>46</v>
      </c>
      <c r="C496" s="61">
        <v>28.0</v>
      </c>
      <c r="D496" s="62" t="s">
        <v>2469</v>
      </c>
      <c r="E496" s="56" t="s">
        <v>173</v>
      </c>
      <c r="F496" s="61" t="s">
        <v>2470</v>
      </c>
      <c r="G496" s="57" t="str">
        <f t="shared" si="1"/>
        <v>21-Jan-2025</v>
      </c>
      <c r="H496" s="61" t="s">
        <v>98</v>
      </c>
      <c r="I496" s="61" t="s">
        <v>2466</v>
      </c>
      <c r="J496" s="27" t="str">
        <f t="shared" si="4"/>
        <v>19-Sep-2025</v>
      </c>
      <c r="K496" s="61" t="s">
        <v>2471</v>
      </c>
      <c r="L496" s="27" t="str">
        <f t="shared" si="5"/>
        <v>01-May-2025</v>
      </c>
      <c r="M496" s="63" t="s">
        <v>291</v>
      </c>
      <c r="N496" s="61" t="s">
        <v>177</v>
      </c>
      <c r="O496" s="27"/>
      <c r="P496" s="61">
        <v>2.0</v>
      </c>
      <c r="Q496" s="66" t="s">
        <v>2472</v>
      </c>
      <c r="R496" s="27" t="str">
        <f>IFERROR(__xludf.DUMMYFUNCTION("IF(REGEXMATCH(N496, ""PRIORITY: Low""), ""Low"", IF(REGEXMATCH(N496, ""PRIORITY: Medium""), ""Medium"", IF(REGEXMATCH(N496, ""PRIORITY: High""), ""High"", """")))
"),"")</f>
        <v/>
      </c>
      <c r="S496" s="27" t="str">
        <f>IFERROR(__xludf.DUMMYFUNCTION("IF(REGEXMATCH(N496, ""SKILL: Low""), ""Low"", IF(REGEXMATCH(N496, ""SKILL: Medium""), ""Medium"", IF(REGEXMATCH(N496, ""SKILL: High""), ""High"", """")))"),"")</f>
        <v/>
      </c>
      <c r="T496" s="27" t="str">
        <f>IFERROR(__xludf.DUMMYFUNCTION("IF(REGEXMATCH(N496, ""STATUS: Dev Complete - Awaiting QA""), ""Dev Complete - Awaiting QA"", IF(REGEXMATCH(N496, ""STATUS: Follow-Up Required""), ""Follow-Up Required"", IF(REGEXMATCH(N496, ""STATUS: In Progress""), ""In Progress"", IF(REGEXMATCH(N496, """&amp;"STATUS: In QA""), ""In QA"", IF(REGEXMATCH(N496, ""STATUS: Needs Customer Feedback""), ""Needs Customer Feedback"", IF(REGEXMATCH(N496, ""STATUS: QA Passed - Awaiting Release""), ""QA Passed - Awaiting Release"", IF(REGEXMATCH(N496, ""STATUS: Release to P"&amp;"rod""), ""Release to Prod"", """")))))))"),"")</f>
        <v/>
      </c>
    </row>
    <row r="497" hidden="1">
      <c r="A497" s="61" t="s">
        <v>45</v>
      </c>
      <c r="B497" s="12" t="s">
        <v>46</v>
      </c>
      <c r="C497" s="61">
        <v>27.0</v>
      </c>
      <c r="D497" s="62" t="s">
        <v>2473</v>
      </c>
      <c r="E497" s="56" t="s">
        <v>173</v>
      </c>
      <c r="F497" s="61" t="s">
        <v>2474</v>
      </c>
      <c r="G497" s="57" t="str">
        <f t="shared" si="1"/>
        <v>21-Jan-2025</v>
      </c>
      <c r="H497" s="61" t="s">
        <v>98</v>
      </c>
      <c r="I497" s="61" t="s">
        <v>2475</v>
      </c>
      <c r="J497" s="27" t="str">
        <f t="shared" si="4"/>
        <v>11-Jul-2025</v>
      </c>
      <c r="K497" s="61" t="s">
        <v>2476</v>
      </c>
      <c r="L497" s="27" t="str">
        <f t="shared" si="5"/>
        <v>07-Feb-2025</v>
      </c>
      <c r="M497" s="63" t="s">
        <v>15</v>
      </c>
      <c r="N497" s="61" t="s">
        <v>177</v>
      </c>
      <c r="O497" s="27"/>
      <c r="P497" s="61">
        <v>0.0</v>
      </c>
      <c r="Q497" s="66" t="s">
        <v>2477</v>
      </c>
      <c r="R497" s="27" t="str">
        <f>IFERROR(__xludf.DUMMYFUNCTION("IF(REGEXMATCH(N497, ""PRIORITY: Low""), ""Low"", IF(REGEXMATCH(N497, ""PRIORITY: Medium""), ""Medium"", IF(REGEXMATCH(N497, ""PRIORITY: High""), ""High"", """")))
"),"")</f>
        <v/>
      </c>
      <c r="S497" s="27" t="str">
        <f>IFERROR(__xludf.DUMMYFUNCTION("IF(REGEXMATCH(N497, ""SKILL: Low""), ""Low"", IF(REGEXMATCH(N497, ""SKILL: Medium""), ""Medium"", IF(REGEXMATCH(N497, ""SKILL: High""), ""High"", """")))"),"")</f>
        <v/>
      </c>
      <c r="T497" s="27" t="str">
        <f>IFERROR(__xludf.DUMMYFUNCTION("IF(REGEXMATCH(N497, ""STATUS: Dev Complete - Awaiting QA""), ""Dev Complete - Awaiting QA"", IF(REGEXMATCH(N497, ""STATUS: Follow-Up Required""), ""Follow-Up Required"", IF(REGEXMATCH(N497, ""STATUS: In Progress""), ""In Progress"", IF(REGEXMATCH(N497, """&amp;"STATUS: In QA""), ""In QA"", IF(REGEXMATCH(N497, ""STATUS: Needs Customer Feedback""), ""Needs Customer Feedback"", IF(REGEXMATCH(N497, ""STATUS: QA Passed - Awaiting Release""), ""QA Passed - Awaiting Release"", IF(REGEXMATCH(N497, ""STATUS: Release to P"&amp;"rod""), ""Release to Prod"", """")))))))"),"")</f>
        <v/>
      </c>
    </row>
    <row r="498" hidden="1">
      <c r="A498" s="61" t="s">
        <v>45</v>
      </c>
      <c r="B498" s="12" t="s">
        <v>46</v>
      </c>
      <c r="C498" s="61">
        <v>26.0</v>
      </c>
      <c r="D498" s="62" t="s">
        <v>2478</v>
      </c>
      <c r="E498" s="56" t="s">
        <v>173</v>
      </c>
      <c r="F498" s="61" t="s">
        <v>2479</v>
      </c>
      <c r="G498" s="57" t="str">
        <f t="shared" si="1"/>
        <v>21-Jan-2025</v>
      </c>
      <c r="H498" s="61" t="s">
        <v>98</v>
      </c>
      <c r="I498" s="61" t="s">
        <v>2480</v>
      </c>
      <c r="J498" s="27" t="str">
        <f t="shared" si="4"/>
        <v>11-Jul-2025</v>
      </c>
      <c r="K498" s="61" t="s">
        <v>2481</v>
      </c>
      <c r="L498" s="27" t="str">
        <f t="shared" si="5"/>
        <v>06-Feb-2025</v>
      </c>
      <c r="M498" s="63" t="s">
        <v>15</v>
      </c>
      <c r="N498" s="61" t="s">
        <v>177</v>
      </c>
      <c r="O498" s="27"/>
      <c r="P498" s="61">
        <v>0.0</v>
      </c>
      <c r="Q498" s="66" t="s">
        <v>2482</v>
      </c>
      <c r="R498" s="27" t="str">
        <f>IFERROR(__xludf.DUMMYFUNCTION("IF(REGEXMATCH(N498, ""PRIORITY: Low""), ""Low"", IF(REGEXMATCH(N498, ""PRIORITY: Medium""), ""Medium"", IF(REGEXMATCH(N498, ""PRIORITY: High""), ""High"", """")))
"),"")</f>
        <v/>
      </c>
      <c r="S498" s="27" t="str">
        <f>IFERROR(__xludf.DUMMYFUNCTION("IF(REGEXMATCH(N498, ""SKILL: Low""), ""Low"", IF(REGEXMATCH(N498, ""SKILL: Medium""), ""Medium"", IF(REGEXMATCH(N498, ""SKILL: High""), ""High"", """")))"),"")</f>
        <v/>
      </c>
      <c r="T498" s="27" t="str">
        <f>IFERROR(__xludf.DUMMYFUNCTION("IF(REGEXMATCH(N498, ""STATUS: Dev Complete - Awaiting QA""), ""Dev Complete - Awaiting QA"", IF(REGEXMATCH(N498, ""STATUS: Follow-Up Required""), ""Follow-Up Required"", IF(REGEXMATCH(N498, ""STATUS: In Progress""), ""In Progress"", IF(REGEXMATCH(N498, """&amp;"STATUS: In QA""), ""In QA"", IF(REGEXMATCH(N498, ""STATUS: Needs Customer Feedback""), ""Needs Customer Feedback"", IF(REGEXMATCH(N498, ""STATUS: QA Passed - Awaiting Release""), ""QA Passed - Awaiting Release"", IF(REGEXMATCH(N498, ""STATUS: Release to P"&amp;"rod""), ""Release to Prod"", """")))))))"),"")</f>
        <v/>
      </c>
    </row>
    <row r="499" hidden="1">
      <c r="A499" s="61" t="s">
        <v>45</v>
      </c>
      <c r="B499" s="12" t="s">
        <v>46</v>
      </c>
      <c r="C499" s="61">
        <v>25.0</v>
      </c>
      <c r="D499" s="62" t="s">
        <v>2483</v>
      </c>
      <c r="E499" s="56" t="s">
        <v>173</v>
      </c>
      <c r="F499" s="61" t="s">
        <v>2484</v>
      </c>
      <c r="G499" s="57" t="str">
        <f t="shared" si="1"/>
        <v>21-Jan-2025</v>
      </c>
      <c r="H499" s="61" t="s">
        <v>1876</v>
      </c>
      <c r="I499" s="61" t="s">
        <v>2485</v>
      </c>
      <c r="J499" s="27" t="str">
        <f t="shared" si="4"/>
        <v>11-Jul-2025</v>
      </c>
      <c r="K499" s="61" t="s">
        <v>2486</v>
      </c>
      <c r="L499" s="27" t="str">
        <f t="shared" si="5"/>
        <v>28-Jan-2025</v>
      </c>
      <c r="M499" s="63" t="s">
        <v>15</v>
      </c>
      <c r="N499" s="61" t="s">
        <v>177</v>
      </c>
      <c r="O499" s="27"/>
      <c r="P499" s="61">
        <v>1.0</v>
      </c>
      <c r="Q499" s="66" t="s">
        <v>2487</v>
      </c>
      <c r="R499" s="27" t="str">
        <f>IFERROR(__xludf.DUMMYFUNCTION("IF(REGEXMATCH(N499, ""PRIORITY: Low""), ""Low"", IF(REGEXMATCH(N499, ""PRIORITY: Medium""), ""Medium"", IF(REGEXMATCH(N499, ""PRIORITY: High""), ""High"", """")))
"),"")</f>
        <v/>
      </c>
      <c r="S499" s="27" t="str">
        <f>IFERROR(__xludf.DUMMYFUNCTION("IF(REGEXMATCH(N499, ""SKILL: Low""), ""Low"", IF(REGEXMATCH(N499, ""SKILL: Medium""), ""Medium"", IF(REGEXMATCH(N499, ""SKILL: High""), ""High"", """")))"),"")</f>
        <v/>
      </c>
      <c r="T499" s="27" t="str">
        <f>IFERROR(__xludf.DUMMYFUNCTION("IF(REGEXMATCH(N499, ""STATUS: Dev Complete - Awaiting QA""), ""Dev Complete - Awaiting QA"", IF(REGEXMATCH(N499, ""STATUS: Follow-Up Required""), ""Follow-Up Required"", IF(REGEXMATCH(N499, ""STATUS: In Progress""), ""In Progress"", IF(REGEXMATCH(N499, """&amp;"STATUS: In QA""), ""In QA"", IF(REGEXMATCH(N499, ""STATUS: Needs Customer Feedback""), ""Needs Customer Feedback"", IF(REGEXMATCH(N499, ""STATUS: QA Passed - Awaiting Release""), ""QA Passed - Awaiting Release"", IF(REGEXMATCH(N499, ""STATUS: Release to P"&amp;"rod""), ""Release to Prod"", """")))))))"),"")</f>
        <v/>
      </c>
    </row>
    <row r="500" hidden="1">
      <c r="A500" s="61" t="s">
        <v>45</v>
      </c>
      <c r="B500" s="12" t="s">
        <v>46</v>
      </c>
      <c r="C500" s="61">
        <v>24.0</v>
      </c>
      <c r="D500" s="62" t="s">
        <v>2488</v>
      </c>
      <c r="E500" s="56" t="s">
        <v>173</v>
      </c>
      <c r="F500" s="61" t="s">
        <v>2489</v>
      </c>
      <c r="G500" s="57" t="str">
        <f t="shared" si="1"/>
        <v>20-Jan-2025</v>
      </c>
      <c r="H500" s="61" t="s">
        <v>136</v>
      </c>
      <c r="I500" s="61" t="s">
        <v>2485</v>
      </c>
      <c r="J500" s="27" t="str">
        <f t="shared" si="4"/>
        <v>11-Jul-2025</v>
      </c>
      <c r="K500" s="61" t="s">
        <v>2490</v>
      </c>
      <c r="L500" s="27" t="str">
        <f t="shared" si="5"/>
        <v>06-Feb-2025</v>
      </c>
      <c r="M500" s="63" t="s">
        <v>285</v>
      </c>
      <c r="N500" s="61" t="s">
        <v>177</v>
      </c>
      <c r="O500" s="27"/>
      <c r="P500" s="61">
        <v>0.0</v>
      </c>
      <c r="Q500" s="66" t="s">
        <v>2491</v>
      </c>
      <c r="R500" s="27" t="str">
        <f>IFERROR(__xludf.DUMMYFUNCTION("IF(REGEXMATCH(N500, ""PRIORITY: Low""), ""Low"", IF(REGEXMATCH(N500, ""PRIORITY: Medium""), ""Medium"", IF(REGEXMATCH(N500, ""PRIORITY: High""), ""High"", """")))
"),"")</f>
        <v/>
      </c>
      <c r="S500" s="27" t="str">
        <f>IFERROR(__xludf.DUMMYFUNCTION("IF(REGEXMATCH(N500, ""SKILL: Low""), ""Low"", IF(REGEXMATCH(N500, ""SKILL: Medium""), ""Medium"", IF(REGEXMATCH(N500, ""SKILL: High""), ""High"", """")))"),"")</f>
        <v/>
      </c>
      <c r="T500" s="27" t="str">
        <f>IFERROR(__xludf.DUMMYFUNCTION("IF(REGEXMATCH(N500, ""STATUS: Dev Complete - Awaiting QA""), ""Dev Complete - Awaiting QA"", IF(REGEXMATCH(N500, ""STATUS: Follow-Up Required""), ""Follow-Up Required"", IF(REGEXMATCH(N500, ""STATUS: In Progress""), ""In Progress"", IF(REGEXMATCH(N500, """&amp;"STATUS: In QA""), ""In QA"", IF(REGEXMATCH(N500, ""STATUS: Needs Customer Feedback""), ""Needs Customer Feedback"", IF(REGEXMATCH(N500, ""STATUS: QA Passed - Awaiting Release""), ""QA Passed - Awaiting Release"", IF(REGEXMATCH(N500, ""STATUS: Release to P"&amp;"rod""), ""Release to Prod"", """")))))))"),"")</f>
        <v/>
      </c>
    </row>
    <row r="501" hidden="1">
      <c r="A501" s="61" t="s">
        <v>45</v>
      </c>
      <c r="B501" s="12" t="s">
        <v>46</v>
      </c>
      <c r="C501" s="61">
        <v>23.0</v>
      </c>
      <c r="D501" s="62" t="s">
        <v>2492</v>
      </c>
      <c r="E501" s="56" t="s">
        <v>173</v>
      </c>
      <c r="F501" s="61" t="s">
        <v>2493</v>
      </c>
      <c r="G501" s="57" t="str">
        <f t="shared" si="1"/>
        <v>20-Jan-2025</v>
      </c>
      <c r="H501" s="61" t="s">
        <v>136</v>
      </c>
      <c r="I501" s="61" t="s">
        <v>2466</v>
      </c>
      <c r="J501" s="27" t="str">
        <f t="shared" si="4"/>
        <v>19-Sep-2025</v>
      </c>
      <c r="K501" s="61" t="s">
        <v>2494</v>
      </c>
      <c r="L501" s="27" t="str">
        <f t="shared" si="5"/>
        <v>06-May-2025</v>
      </c>
      <c r="M501" s="63" t="s">
        <v>285</v>
      </c>
      <c r="N501" s="61" t="s">
        <v>177</v>
      </c>
      <c r="O501" s="61" t="s">
        <v>2058</v>
      </c>
      <c r="P501" s="61">
        <v>4.0</v>
      </c>
      <c r="Q501" s="66" t="s">
        <v>2495</v>
      </c>
      <c r="R501" s="27" t="str">
        <f>IFERROR(__xludf.DUMMYFUNCTION("IF(REGEXMATCH(N501, ""PRIORITY: Low""), ""Low"", IF(REGEXMATCH(N501, ""PRIORITY: Medium""), ""Medium"", IF(REGEXMATCH(N501, ""PRIORITY: High""), ""High"", """")))
"),"")</f>
        <v/>
      </c>
      <c r="S501" s="27" t="str">
        <f>IFERROR(__xludf.DUMMYFUNCTION("IF(REGEXMATCH(N501, ""SKILL: Low""), ""Low"", IF(REGEXMATCH(N501, ""SKILL: Medium""), ""Medium"", IF(REGEXMATCH(N501, ""SKILL: High""), ""High"", """")))"),"")</f>
        <v/>
      </c>
      <c r="T501" s="27" t="str">
        <f>IFERROR(__xludf.DUMMYFUNCTION("IF(REGEXMATCH(N501, ""STATUS: Dev Complete - Awaiting QA""), ""Dev Complete - Awaiting QA"", IF(REGEXMATCH(N501, ""STATUS: Follow-Up Required""), ""Follow-Up Required"", IF(REGEXMATCH(N501, ""STATUS: In Progress""), ""In Progress"", IF(REGEXMATCH(N501, """&amp;"STATUS: In QA""), ""In QA"", IF(REGEXMATCH(N501, ""STATUS: Needs Customer Feedback""), ""Needs Customer Feedback"", IF(REGEXMATCH(N501, ""STATUS: QA Passed - Awaiting Release""), ""QA Passed - Awaiting Release"", IF(REGEXMATCH(N501, ""STATUS: Release to P"&amp;"rod""), ""Release to Prod"", """")))))))"),"")</f>
        <v/>
      </c>
    </row>
    <row r="502" hidden="1">
      <c r="A502" s="61" t="s">
        <v>45</v>
      </c>
      <c r="B502" s="12" t="s">
        <v>46</v>
      </c>
      <c r="C502" s="61">
        <v>22.0</v>
      </c>
      <c r="D502" s="62" t="s">
        <v>2496</v>
      </c>
      <c r="E502" s="56" t="s">
        <v>173</v>
      </c>
      <c r="F502" s="61" t="s">
        <v>2497</v>
      </c>
      <c r="G502" s="57" t="str">
        <f t="shared" si="1"/>
        <v>20-Jan-2025</v>
      </c>
      <c r="H502" s="61" t="s">
        <v>136</v>
      </c>
      <c r="I502" s="61" t="s">
        <v>2498</v>
      </c>
      <c r="J502" s="27" t="str">
        <f t="shared" si="4"/>
        <v>11-Jul-2025</v>
      </c>
      <c r="K502" s="61" t="s">
        <v>2499</v>
      </c>
      <c r="L502" s="27" t="str">
        <f t="shared" si="5"/>
        <v>30-Jan-2025</v>
      </c>
      <c r="M502" s="63" t="s">
        <v>249</v>
      </c>
      <c r="N502" s="61" t="s">
        <v>177</v>
      </c>
      <c r="O502" s="27"/>
      <c r="P502" s="61">
        <v>1.0</v>
      </c>
      <c r="Q502" s="66" t="s">
        <v>2500</v>
      </c>
      <c r="R502" s="27" t="str">
        <f>IFERROR(__xludf.DUMMYFUNCTION("IF(REGEXMATCH(N502, ""PRIORITY: Low""), ""Low"", IF(REGEXMATCH(N502, ""PRIORITY: Medium""), ""Medium"", IF(REGEXMATCH(N502, ""PRIORITY: High""), ""High"", """")))
"),"")</f>
        <v/>
      </c>
      <c r="S502" s="27" t="str">
        <f>IFERROR(__xludf.DUMMYFUNCTION("IF(REGEXMATCH(N502, ""SKILL: Low""), ""Low"", IF(REGEXMATCH(N502, ""SKILL: Medium""), ""Medium"", IF(REGEXMATCH(N502, ""SKILL: High""), ""High"", """")))"),"")</f>
        <v/>
      </c>
      <c r="T502" s="27" t="str">
        <f>IFERROR(__xludf.DUMMYFUNCTION("IF(REGEXMATCH(N502, ""STATUS: Dev Complete - Awaiting QA""), ""Dev Complete - Awaiting QA"", IF(REGEXMATCH(N502, ""STATUS: Follow-Up Required""), ""Follow-Up Required"", IF(REGEXMATCH(N502, ""STATUS: In Progress""), ""In Progress"", IF(REGEXMATCH(N502, """&amp;"STATUS: In QA""), ""In QA"", IF(REGEXMATCH(N502, ""STATUS: Needs Customer Feedback""), ""Needs Customer Feedback"", IF(REGEXMATCH(N502, ""STATUS: QA Passed - Awaiting Release""), ""QA Passed - Awaiting Release"", IF(REGEXMATCH(N502, ""STATUS: Release to P"&amp;"rod""), ""Release to Prod"", """")))))))"),"")</f>
        <v/>
      </c>
    </row>
    <row r="503" hidden="1">
      <c r="A503" s="61" t="s">
        <v>45</v>
      </c>
      <c r="B503" s="12" t="s">
        <v>46</v>
      </c>
      <c r="C503" s="61">
        <v>21.0</v>
      </c>
      <c r="D503" s="62" t="s">
        <v>2501</v>
      </c>
      <c r="E503" s="56" t="s">
        <v>173</v>
      </c>
      <c r="F503" s="61" t="s">
        <v>2502</v>
      </c>
      <c r="G503" s="57" t="str">
        <f t="shared" si="1"/>
        <v>20-Jan-2025</v>
      </c>
      <c r="H503" s="61" t="s">
        <v>136</v>
      </c>
      <c r="I503" s="61" t="s">
        <v>2503</v>
      </c>
      <c r="J503" s="27" t="str">
        <f t="shared" si="4"/>
        <v>11-Jul-2025</v>
      </c>
      <c r="K503" s="61" t="s">
        <v>2504</v>
      </c>
      <c r="L503" s="27" t="str">
        <f t="shared" si="5"/>
        <v>02-May-2025</v>
      </c>
      <c r="M503" s="63" t="s">
        <v>249</v>
      </c>
      <c r="N503" s="61" t="s">
        <v>177</v>
      </c>
      <c r="O503" s="61" t="s">
        <v>136</v>
      </c>
      <c r="P503" s="61">
        <v>2.0</v>
      </c>
      <c r="Q503" s="66" t="s">
        <v>2505</v>
      </c>
      <c r="R503" s="27" t="str">
        <f>IFERROR(__xludf.DUMMYFUNCTION("IF(REGEXMATCH(N503, ""PRIORITY: Low""), ""Low"", IF(REGEXMATCH(N503, ""PRIORITY: Medium""), ""Medium"", IF(REGEXMATCH(N503, ""PRIORITY: High""), ""High"", """")))
"),"")</f>
        <v/>
      </c>
      <c r="S503" s="27" t="str">
        <f>IFERROR(__xludf.DUMMYFUNCTION("IF(REGEXMATCH(N503, ""SKILL: Low""), ""Low"", IF(REGEXMATCH(N503, ""SKILL: Medium""), ""Medium"", IF(REGEXMATCH(N503, ""SKILL: High""), ""High"", """")))"),"")</f>
        <v/>
      </c>
      <c r="T503" s="27" t="str">
        <f>IFERROR(__xludf.DUMMYFUNCTION("IF(REGEXMATCH(N503, ""STATUS: Dev Complete - Awaiting QA""), ""Dev Complete - Awaiting QA"", IF(REGEXMATCH(N503, ""STATUS: Follow-Up Required""), ""Follow-Up Required"", IF(REGEXMATCH(N503, ""STATUS: In Progress""), ""In Progress"", IF(REGEXMATCH(N503, """&amp;"STATUS: In QA""), ""In QA"", IF(REGEXMATCH(N503, ""STATUS: Needs Customer Feedback""), ""Needs Customer Feedback"", IF(REGEXMATCH(N503, ""STATUS: QA Passed - Awaiting Release""), ""QA Passed - Awaiting Release"", IF(REGEXMATCH(N503, ""STATUS: Release to P"&amp;"rod""), ""Release to Prod"", """")))))))"),"")</f>
        <v/>
      </c>
    </row>
    <row r="504" hidden="1">
      <c r="A504" s="61" t="s">
        <v>45</v>
      </c>
      <c r="B504" s="12" t="s">
        <v>46</v>
      </c>
      <c r="C504" s="61">
        <v>20.0</v>
      </c>
      <c r="D504" s="62" t="s">
        <v>2506</v>
      </c>
      <c r="E504" s="56" t="s">
        <v>173</v>
      </c>
      <c r="F504" s="61" t="s">
        <v>2507</v>
      </c>
      <c r="G504" s="57" t="str">
        <f t="shared" si="1"/>
        <v>20-Jan-2025</v>
      </c>
      <c r="H504" s="61" t="s">
        <v>136</v>
      </c>
      <c r="I504" s="61" t="s">
        <v>2508</v>
      </c>
      <c r="J504" s="27" t="str">
        <f t="shared" si="4"/>
        <v>11-Jul-2025</v>
      </c>
      <c r="K504" s="61" t="s">
        <v>2509</v>
      </c>
      <c r="L504" s="27" t="str">
        <f t="shared" si="5"/>
        <v>30-Jan-2025</v>
      </c>
      <c r="M504" s="63" t="s">
        <v>249</v>
      </c>
      <c r="N504" s="61" t="s">
        <v>177</v>
      </c>
      <c r="O504" s="27"/>
      <c r="P504" s="61">
        <v>1.0</v>
      </c>
      <c r="Q504" s="66" t="s">
        <v>2510</v>
      </c>
      <c r="R504" s="27" t="str">
        <f>IFERROR(__xludf.DUMMYFUNCTION("IF(REGEXMATCH(N504, ""PRIORITY: Low""), ""Low"", IF(REGEXMATCH(N504, ""PRIORITY: Medium""), ""Medium"", IF(REGEXMATCH(N504, ""PRIORITY: High""), ""High"", """")))
"),"")</f>
        <v/>
      </c>
      <c r="S504" s="27" t="str">
        <f>IFERROR(__xludf.DUMMYFUNCTION("IF(REGEXMATCH(N504, ""SKILL: Low""), ""Low"", IF(REGEXMATCH(N504, ""SKILL: Medium""), ""Medium"", IF(REGEXMATCH(N504, ""SKILL: High""), ""High"", """")))"),"")</f>
        <v/>
      </c>
      <c r="T504" s="27" t="str">
        <f>IFERROR(__xludf.DUMMYFUNCTION("IF(REGEXMATCH(N504, ""STATUS: Dev Complete - Awaiting QA""), ""Dev Complete - Awaiting QA"", IF(REGEXMATCH(N504, ""STATUS: Follow-Up Required""), ""Follow-Up Required"", IF(REGEXMATCH(N504, ""STATUS: In Progress""), ""In Progress"", IF(REGEXMATCH(N504, """&amp;"STATUS: In QA""), ""In QA"", IF(REGEXMATCH(N504, ""STATUS: Needs Customer Feedback""), ""Needs Customer Feedback"", IF(REGEXMATCH(N504, ""STATUS: QA Passed - Awaiting Release""), ""QA Passed - Awaiting Release"", IF(REGEXMATCH(N504, ""STATUS: Release to P"&amp;"rod""), ""Release to Prod"", """")))))))"),"")</f>
        <v/>
      </c>
    </row>
    <row r="505" hidden="1">
      <c r="A505" s="61" t="s">
        <v>45</v>
      </c>
      <c r="B505" s="12" t="s">
        <v>46</v>
      </c>
      <c r="C505" s="61">
        <v>19.0</v>
      </c>
      <c r="D505" s="62" t="s">
        <v>2511</v>
      </c>
      <c r="E505" s="56" t="s">
        <v>173</v>
      </c>
      <c r="F505" s="61" t="s">
        <v>2512</v>
      </c>
      <c r="G505" s="57" t="str">
        <f t="shared" si="1"/>
        <v>20-Jan-2025</v>
      </c>
      <c r="H505" s="61" t="s">
        <v>136</v>
      </c>
      <c r="I505" s="61" t="s">
        <v>2513</v>
      </c>
      <c r="J505" s="27" t="str">
        <f t="shared" si="4"/>
        <v>11-Jul-2025</v>
      </c>
      <c r="K505" s="61" t="s">
        <v>2514</v>
      </c>
      <c r="L505" s="27" t="str">
        <f t="shared" si="5"/>
        <v>06-Feb-2025</v>
      </c>
      <c r="M505" s="63" t="s">
        <v>249</v>
      </c>
      <c r="N505" s="61" t="s">
        <v>177</v>
      </c>
      <c r="O505" s="27"/>
      <c r="P505" s="61">
        <v>0.0</v>
      </c>
      <c r="Q505" s="66" t="s">
        <v>2515</v>
      </c>
      <c r="R505" s="27" t="str">
        <f>IFERROR(__xludf.DUMMYFUNCTION("IF(REGEXMATCH(N505, ""PRIORITY: Low""), ""Low"", IF(REGEXMATCH(N505, ""PRIORITY: Medium""), ""Medium"", IF(REGEXMATCH(N505, ""PRIORITY: High""), ""High"", """")))
"),"")</f>
        <v/>
      </c>
      <c r="S505" s="27" t="str">
        <f>IFERROR(__xludf.DUMMYFUNCTION("IF(REGEXMATCH(N505, ""SKILL: Low""), ""Low"", IF(REGEXMATCH(N505, ""SKILL: Medium""), ""Medium"", IF(REGEXMATCH(N505, ""SKILL: High""), ""High"", """")))"),"")</f>
        <v/>
      </c>
      <c r="T505" s="27" t="str">
        <f>IFERROR(__xludf.DUMMYFUNCTION("IF(REGEXMATCH(N505, ""STATUS: Dev Complete - Awaiting QA""), ""Dev Complete - Awaiting QA"", IF(REGEXMATCH(N505, ""STATUS: Follow-Up Required""), ""Follow-Up Required"", IF(REGEXMATCH(N505, ""STATUS: In Progress""), ""In Progress"", IF(REGEXMATCH(N505, """&amp;"STATUS: In QA""), ""In QA"", IF(REGEXMATCH(N505, ""STATUS: Needs Customer Feedback""), ""Needs Customer Feedback"", IF(REGEXMATCH(N505, ""STATUS: QA Passed - Awaiting Release""), ""QA Passed - Awaiting Release"", IF(REGEXMATCH(N505, ""STATUS: Release to P"&amp;"rod""), ""Release to Prod"", """")))))))"),"")</f>
        <v/>
      </c>
    </row>
    <row r="506" hidden="1">
      <c r="A506" s="61" t="s">
        <v>45</v>
      </c>
      <c r="B506" s="12" t="s">
        <v>46</v>
      </c>
      <c r="C506" s="61">
        <v>18.0</v>
      </c>
      <c r="D506" s="62" t="s">
        <v>2516</v>
      </c>
      <c r="E506" s="56" t="s">
        <v>173</v>
      </c>
      <c r="F506" s="61" t="s">
        <v>2517</v>
      </c>
      <c r="G506" s="57" t="str">
        <f t="shared" si="1"/>
        <v>20-Jan-2025</v>
      </c>
      <c r="H506" s="61" t="s">
        <v>136</v>
      </c>
      <c r="I506" s="61" t="s">
        <v>2518</v>
      </c>
      <c r="J506" s="27" t="str">
        <f t="shared" si="4"/>
        <v>11-Jul-2025</v>
      </c>
      <c r="K506" s="61" t="s">
        <v>2519</v>
      </c>
      <c r="L506" s="27" t="str">
        <f t="shared" si="5"/>
        <v>02-May-2025</v>
      </c>
      <c r="M506" s="63" t="s">
        <v>249</v>
      </c>
      <c r="N506" s="61" t="s">
        <v>177</v>
      </c>
      <c r="O506" s="61" t="s">
        <v>136</v>
      </c>
      <c r="P506" s="61">
        <v>3.0</v>
      </c>
      <c r="Q506" s="66" t="s">
        <v>2520</v>
      </c>
      <c r="R506" s="27" t="str">
        <f>IFERROR(__xludf.DUMMYFUNCTION("IF(REGEXMATCH(N506, ""PRIORITY: Low""), ""Low"", IF(REGEXMATCH(N506, ""PRIORITY: Medium""), ""Medium"", IF(REGEXMATCH(N506, ""PRIORITY: High""), ""High"", """")))
"),"")</f>
        <v/>
      </c>
      <c r="S506" s="27" t="str">
        <f>IFERROR(__xludf.DUMMYFUNCTION("IF(REGEXMATCH(N506, ""SKILL: Low""), ""Low"", IF(REGEXMATCH(N506, ""SKILL: Medium""), ""Medium"", IF(REGEXMATCH(N506, ""SKILL: High""), ""High"", """")))"),"")</f>
        <v/>
      </c>
      <c r="T506" s="27" t="str">
        <f>IFERROR(__xludf.DUMMYFUNCTION("IF(REGEXMATCH(N506, ""STATUS: Dev Complete - Awaiting QA""), ""Dev Complete - Awaiting QA"", IF(REGEXMATCH(N506, ""STATUS: Follow-Up Required""), ""Follow-Up Required"", IF(REGEXMATCH(N506, ""STATUS: In Progress""), ""In Progress"", IF(REGEXMATCH(N506, """&amp;"STATUS: In QA""), ""In QA"", IF(REGEXMATCH(N506, ""STATUS: Needs Customer Feedback""), ""Needs Customer Feedback"", IF(REGEXMATCH(N506, ""STATUS: QA Passed - Awaiting Release""), ""QA Passed - Awaiting Release"", IF(REGEXMATCH(N506, ""STATUS: Release to P"&amp;"rod""), ""Release to Prod"", """")))))))"),"")</f>
        <v/>
      </c>
    </row>
    <row r="507" hidden="1">
      <c r="A507" s="61" t="s">
        <v>45</v>
      </c>
      <c r="B507" s="12" t="s">
        <v>46</v>
      </c>
      <c r="C507" s="61">
        <v>17.0</v>
      </c>
      <c r="D507" s="62" t="s">
        <v>2521</v>
      </c>
      <c r="E507" s="56" t="s">
        <v>173</v>
      </c>
      <c r="F507" s="61" t="s">
        <v>2522</v>
      </c>
      <c r="G507" s="57" t="str">
        <f t="shared" si="1"/>
        <v>20-Jan-2025</v>
      </c>
      <c r="H507" s="61" t="s">
        <v>136</v>
      </c>
      <c r="I507" s="61" t="s">
        <v>2523</v>
      </c>
      <c r="J507" s="27" t="str">
        <f t="shared" si="4"/>
        <v>11-Jul-2025</v>
      </c>
      <c r="K507" s="61" t="s">
        <v>2524</v>
      </c>
      <c r="L507" s="27" t="str">
        <f t="shared" si="5"/>
        <v>07-Feb-2025</v>
      </c>
      <c r="M507" s="63" t="s">
        <v>249</v>
      </c>
      <c r="N507" s="61" t="s">
        <v>177</v>
      </c>
      <c r="O507" s="27"/>
      <c r="P507" s="61">
        <v>1.0</v>
      </c>
      <c r="Q507" s="66" t="s">
        <v>2525</v>
      </c>
      <c r="R507" s="27" t="str">
        <f>IFERROR(__xludf.DUMMYFUNCTION("IF(REGEXMATCH(N507, ""PRIORITY: Low""), ""Low"", IF(REGEXMATCH(N507, ""PRIORITY: Medium""), ""Medium"", IF(REGEXMATCH(N507, ""PRIORITY: High""), ""High"", """")))
"),"")</f>
        <v/>
      </c>
      <c r="S507" s="27" t="str">
        <f>IFERROR(__xludf.DUMMYFUNCTION("IF(REGEXMATCH(N507, ""SKILL: Low""), ""Low"", IF(REGEXMATCH(N507, ""SKILL: Medium""), ""Medium"", IF(REGEXMATCH(N507, ""SKILL: High""), ""High"", """")))"),"")</f>
        <v/>
      </c>
      <c r="T507" s="27" t="str">
        <f>IFERROR(__xludf.DUMMYFUNCTION("IF(REGEXMATCH(N507, ""STATUS: Dev Complete - Awaiting QA""), ""Dev Complete - Awaiting QA"", IF(REGEXMATCH(N507, ""STATUS: Follow-Up Required""), ""Follow-Up Required"", IF(REGEXMATCH(N507, ""STATUS: In Progress""), ""In Progress"", IF(REGEXMATCH(N507, """&amp;"STATUS: In QA""), ""In QA"", IF(REGEXMATCH(N507, ""STATUS: Needs Customer Feedback""), ""Needs Customer Feedback"", IF(REGEXMATCH(N507, ""STATUS: QA Passed - Awaiting Release""), ""QA Passed - Awaiting Release"", IF(REGEXMATCH(N507, ""STATUS: Release to P"&amp;"rod""), ""Release to Prod"", """")))))))"),"")</f>
        <v/>
      </c>
    </row>
    <row r="508" hidden="1">
      <c r="A508" s="61" t="s">
        <v>45</v>
      </c>
      <c r="B508" s="12" t="s">
        <v>46</v>
      </c>
      <c r="C508" s="61">
        <v>16.0</v>
      </c>
      <c r="D508" s="62" t="s">
        <v>2526</v>
      </c>
      <c r="E508" s="56" t="s">
        <v>173</v>
      </c>
      <c r="F508" s="61" t="s">
        <v>2527</v>
      </c>
      <c r="G508" s="57" t="str">
        <f t="shared" si="1"/>
        <v>20-Jan-2025</v>
      </c>
      <c r="H508" s="61" t="s">
        <v>136</v>
      </c>
      <c r="I508" s="61" t="s">
        <v>2528</v>
      </c>
      <c r="J508" s="27" t="str">
        <f t="shared" si="4"/>
        <v>11-Jul-2025</v>
      </c>
      <c r="K508" s="61" t="s">
        <v>2529</v>
      </c>
      <c r="L508" s="27" t="str">
        <f t="shared" si="5"/>
        <v>28-Jan-2025</v>
      </c>
      <c r="M508" s="63" t="s">
        <v>249</v>
      </c>
      <c r="N508" s="61" t="s">
        <v>177</v>
      </c>
      <c r="O508" s="27"/>
      <c r="P508" s="61">
        <v>1.0</v>
      </c>
      <c r="Q508" s="66" t="s">
        <v>2530</v>
      </c>
      <c r="R508" s="27" t="str">
        <f>IFERROR(__xludf.DUMMYFUNCTION("IF(REGEXMATCH(N508, ""PRIORITY: Low""), ""Low"", IF(REGEXMATCH(N508, ""PRIORITY: Medium""), ""Medium"", IF(REGEXMATCH(N508, ""PRIORITY: High""), ""High"", """")))
"),"")</f>
        <v/>
      </c>
      <c r="S508" s="27" t="str">
        <f>IFERROR(__xludf.DUMMYFUNCTION("IF(REGEXMATCH(N508, ""SKILL: Low""), ""Low"", IF(REGEXMATCH(N508, ""SKILL: Medium""), ""Medium"", IF(REGEXMATCH(N508, ""SKILL: High""), ""High"", """")))"),"")</f>
        <v/>
      </c>
      <c r="T508" s="27" t="str">
        <f>IFERROR(__xludf.DUMMYFUNCTION("IF(REGEXMATCH(N508, ""STATUS: Dev Complete - Awaiting QA""), ""Dev Complete - Awaiting QA"", IF(REGEXMATCH(N508, ""STATUS: Follow-Up Required""), ""Follow-Up Required"", IF(REGEXMATCH(N508, ""STATUS: In Progress""), ""In Progress"", IF(REGEXMATCH(N508, """&amp;"STATUS: In QA""), ""In QA"", IF(REGEXMATCH(N508, ""STATUS: Needs Customer Feedback""), ""Needs Customer Feedback"", IF(REGEXMATCH(N508, ""STATUS: QA Passed - Awaiting Release""), ""QA Passed - Awaiting Release"", IF(REGEXMATCH(N508, ""STATUS: Release to P"&amp;"rod""), ""Release to Prod"", """")))))))"),"")</f>
        <v/>
      </c>
    </row>
    <row r="509" hidden="1">
      <c r="A509" s="61" t="s">
        <v>45</v>
      </c>
      <c r="B509" s="12" t="s">
        <v>46</v>
      </c>
      <c r="C509" s="61">
        <v>15.0</v>
      </c>
      <c r="D509" s="62" t="s">
        <v>2531</v>
      </c>
      <c r="E509" s="56" t="s">
        <v>173</v>
      </c>
      <c r="F509" s="61" t="s">
        <v>2532</v>
      </c>
      <c r="G509" s="57" t="str">
        <f t="shared" si="1"/>
        <v>20-Jan-2025</v>
      </c>
      <c r="H509" s="61" t="s">
        <v>136</v>
      </c>
      <c r="I509" s="61" t="s">
        <v>2528</v>
      </c>
      <c r="J509" s="27" t="str">
        <f t="shared" si="4"/>
        <v>11-Jul-2025</v>
      </c>
      <c r="K509" s="61" t="s">
        <v>2533</v>
      </c>
      <c r="L509" s="27" t="str">
        <f t="shared" si="5"/>
        <v>30-Jan-2025</v>
      </c>
      <c r="M509" s="63" t="s">
        <v>291</v>
      </c>
      <c r="N509" s="61" t="s">
        <v>177</v>
      </c>
      <c r="O509" s="27"/>
      <c r="P509" s="61">
        <v>1.0</v>
      </c>
      <c r="Q509" s="66" t="s">
        <v>2534</v>
      </c>
      <c r="R509" s="27" t="str">
        <f>IFERROR(__xludf.DUMMYFUNCTION("IF(REGEXMATCH(N509, ""PRIORITY: Low""), ""Low"", IF(REGEXMATCH(N509, ""PRIORITY: Medium""), ""Medium"", IF(REGEXMATCH(N509, ""PRIORITY: High""), ""High"", """")))
"),"")</f>
        <v/>
      </c>
      <c r="S509" s="27" t="str">
        <f>IFERROR(__xludf.DUMMYFUNCTION("IF(REGEXMATCH(N509, ""SKILL: Low""), ""Low"", IF(REGEXMATCH(N509, ""SKILL: Medium""), ""Medium"", IF(REGEXMATCH(N509, ""SKILL: High""), ""High"", """")))"),"")</f>
        <v/>
      </c>
      <c r="T509" s="27" t="str">
        <f>IFERROR(__xludf.DUMMYFUNCTION("IF(REGEXMATCH(N509, ""STATUS: Dev Complete - Awaiting QA""), ""Dev Complete - Awaiting QA"", IF(REGEXMATCH(N509, ""STATUS: Follow-Up Required""), ""Follow-Up Required"", IF(REGEXMATCH(N509, ""STATUS: In Progress""), ""In Progress"", IF(REGEXMATCH(N509, """&amp;"STATUS: In QA""), ""In QA"", IF(REGEXMATCH(N509, ""STATUS: Needs Customer Feedback""), ""Needs Customer Feedback"", IF(REGEXMATCH(N509, ""STATUS: QA Passed - Awaiting Release""), ""QA Passed - Awaiting Release"", IF(REGEXMATCH(N509, ""STATUS: Release to P"&amp;"rod""), ""Release to Prod"", """")))))))"),"")</f>
        <v/>
      </c>
    </row>
    <row r="510" hidden="1">
      <c r="A510" s="61" t="s">
        <v>45</v>
      </c>
      <c r="B510" s="12" t="s">
        <v>46</v>
      </c>
      <c r="C510" s="61">
        <v>14.0</v>
      </c>
      <c r="D510" s="62" t="s">
        <v>2535</v>
      </c>
      <c r="E510" s="56" t="s">
        <v>173</v>
      </c>
      <c r="F510" s="61" t="s">
        <v>2536</v>
      </c>
      <c r="G510" s="57" t="str">
        <f t="shared" si="1"/>
        <v>20-Jan-2025</v>
      </c>
      <c r="H510" s="61" t="s">
        <v>136</v>
      </c>
      <c r="I510" s="61" t="s">
        <v>2537</v>
      </c>
      <c r="J510" s="27" t="str">
        <f t="shared" si="4"/>
        <v>11-Jul-2025</v>
      </c>
      <c r="K510" s="61" t="s">
        <v>2538</v>
      </c>
      <c r="L510" s="27" t="str">
        <f t="shared" si="5"/>
        <v>22-Jan-2025</v>
      </c>
      <c r="M510" s="63" t="s">
        <v>285</v>
      </c>
      <c r="N510" s="61" t="s">
        <v>177</v>
      </c>
      <c r="O510" s="27"/>
      <c r="P510" s="61">
        <v>1.0</v>
      </c>
      <c r="Q510" s="66" t="s">
        <v>2539</v>
      </c>
      <c r="R510" s="27" t="str">
        <f>IFERROR(__xludf.DUMMYFUNCTION("IF(REGEXMATCH(N510, ""PRIORITY: Low""), ""Low"", IF(REGEXMATCH(N510, ""PRIORITY: Medium""), ""Medium"", IF(REGEXMATCH(N510, ""PRIORITY: High""), ""High"", """")))
"),"")</f>
        <v/>
      </c>
      <c r="S510" s="27" t="str">
        <f>IFERROR(__xludf.DUMMYFUNCTION("IF(REGEXMATCH(N510, ""SKILL: Low""), ""Low"", IF(REGEXMATCH(N510, ""SKILL: Medium""), ""Medium"", IF(REGEXMATCH(N510, ""SKILL: High""), ""High"", """")))"),"")</f>
        <v/>
      </c>
      <c r="T510" s="27" t="str">
        <f>IFERROR(__xludf.DUMMYFUNCTION("IF(REGEXMATCH(N510, ""STATUS: Dev Complete - Awaiting QA""), ""Dev Complete - Awaiting QA"", IF(REGEXMATCH(N510, ""STATUS: Follow-Up Required""), ""Follow-Up Required"", IF(REGEXMATCH(N510, ""STATUS: In Progress""), ""In Progress"", IF(REGEXMATCH(N510, """&amp;"STATUS: In QA""), ""In QA"", IF(REGEXMATCH(N510, ""STATUS: Needs Customer Feedback""), ""Needs Customer Feedback"", IF(REGEXMATCH(N510, ""STATUS: QA Passed - Awaiting Release""), ""QA Passed - Awaiting Release"", IF(REGEXMATCH(N510, ""STATUS: Release to P"&amp;"rod""), ""Release to Prod"", """")))))))"),"")</f>
        <v/>
      </c>
    </row>
    <row r="511" hidden="1">
      <c r="A511" s="61" t="s">
        <v>124</v>
      </c>
      <c r="B511" s="12" t="s">
        <v>2540</v>
      </c>
      <c r="C511" s="61">
        <v>3.0</v>
      </c>
      <c r="D511" s="62" t="s">
        <v>2541</v>
      </c>
      <c r="E511" s="56" t="s">
        <v>173</v>
      </c>
      <c r="F511" s="61" t="s">
        <v>2542</v>
      </c>
      <c r="G511" s="57" t="str">
        <f t="shared" si="1"/>
        <v>18-Feb-2025</v>
      </c>
      <c r="H511" s="61" t="s">
        <v>149</v>
      </c>
      <c r="I511" s="61" t="s">
        <v>2543</v>
      </c>
      <c r="J511" s="27" t="str">
        <f t="shared" si="4"/>
        <v>26-Feb-2025</v>
      </c>
      <c r="K511" s="61" t="s">
        <v>2544</v>
      </c>
      <c r="L511" s="27" t="str">
        <f t="shared" si="5"/>
        <v>26-Feb-2025</v>
      </c>
      <c r="M511" s="63" t="s">
        <v>15</v>
      </c>
      <c r="N511" s="61" t="s">
        <v>177</v>
      </c>
      <c r="O511" s="27"/>
      <c r="P511" s="61">
        <v>1.0</v>
      </c>
      <c r="Q511" s="66" t="s">
        <v>2545</v>
      </c>
      <c r="R511" s="27" t="str">
        <f>IFERROR(__xludf.DUMMYFUNCTION("IF(REGEXMATCH(N511, ""PRIORITY: Low""), ""Low"", IF(REGEXMATCH(N511, ""PRIORITY: Medium""), ""Medium"", IF(REGEXMATCH(N511, ""PRIORITY: High""), ""High"", """")))
"),"")</f>
        <v/>
      </c>
      <c r="S511" s="27" t="str">
        <f>IFERROR(__xludf.DUMMYFUNCTION("IF(REGEXMATCH(N511, ""SKILL: Low""), ""Low"", IF(REGEXMATCH(N511, ""SKILL: Medium""), ""Medium"", IF(REGEXMATCH(N511, ""SKILL: High""), ""High"", """")))"),"")</f>
        <v/>
      </c>
      <c r="T511" s="27" t="str">
        <f>IFERROR(__xludf.DUMMYFUNCTION("IF(REGEXMATCH(N511, ""STATUS: Dev Complete - Awaiting QA""), ""Dev Complete - Awaiting QA"", IF(REGEXMATCH(N511, ""STATUS: Follow-Up Required""), ""Follow-Up Required"", IF(REGEXMATCH(N511, ""STATUS: In Progress""), ""In Progress"", IF(REGEXMATCH(N511, """&amp;"STATUS: In QA""), ""In QA"", IF(REGEXMATCH(N511, ""STATUS: Needs Customer Feedback""), ""Needs Customer Feedback"", IF(REGEXMATCH(N511, ""STATUS: QA Passed - Awaiting Release""), ""QA Passed - Awaiting Release"", IF(REGEXMATCH(N511, ""STATUS: Release to P"&amp;"rod""), ""Release to Prod"", """")))))))"),"")</f>
        <v/>
      </c>
    </row>
    <row r="512">
      <c r="A512" s="61" t="s">
        <v>2546</v>
      </c>
      <c r="B512" s="12" t="s">
        <v>32</v>
      </c>
      <c r="C512" s="61">
        <v>266.0</v>
      </c>
      <c r="D512" s="62" t="s">
        <v>2547</v>
      </c>
      <c r="E512" s="56" t="s">
        <v>246</v>
      </c>
      <c r="F512" s="61" t="s">
        <v>2548</v>
      </c>
      <c r="G512" s="57" t="str">
        <f t="shared" si="1"/>
        <v>21-Oct-2025</v>
      </c>
      <c r="H512" s="61" t="s">
        <v>57</v>
      </c>
      <c r="I512" s="61" t="s">
        <v>2549</v>
      </c>
      <c r="J512" s="27" t="str">
        <f t="shared" si="4"/>
        <v>18-Nov-2025</v>
      </c>
      <c r="K512" s="27"/>
      <c r="L512" s="27" t="str">
        <f t="shared" si="5"/>
        <v/>
      </c>
      <c r="M512" s="63" t="s">
        <v>285</v>
      </c>
      <c r="N512" s="61" t="s">
        <v>265</v>
      </c>
      <c r="O512" s="67" t="s">
        <v>41</v>
      </c>
      <c r="P512" s="61">
        <v>1.0</v>
      </c>
      <c r="Q512" s="66" t="s">
        <v>2550</v>
      </c>
      <c r="R512" s="27" t="str">
        <f>IFERROR(__xludf.DUMMYFUNCTION("IF(REGEXMATCH(N512, ""PRIORITY: Low""), ""Low"", IF(REGEXMATCH(N512, ""PRIORITY: Medium""), ""Medium"", IF(REGEXMATCH(N512, ""PRIORITY: High""), ""High"", """")))
"),"Medium")</f>
        <v>Medium</v>
      </c>
      <c r="S512" s="27" t="str">
        <f>IFERROR(__xludf.DUMMYFUNCTION("IF(REGEXMATCH(N512, ""SKILL: Low""), ""Low"", IF(REGEXMATCH(N512, ""SKILL: Medium""), ""Medium"", IF(REGEXMATCH(N512, ""SKILL: High""), ""High"", """")))"),"Medium")</f>
        <v>Medium</v>
      </c>
      <c r="T512" s="27" t="str">
        <f>IFERROR(__xludf.DUMMYFUNCTION("IF(REGEXMATCH(N512, ""STATUS: Dev Complete - Awaiting QA""), ""Dev Complete - Awaiting QA"", IF(REGEXMATCH(N512, ""STATUS: Follow-Up Required""), ""Follow-Up Required"", IF(REGEXMATCH(N512, ""STATUS: In Progress""), ""In Progress"", IF(REGEXMATCH(N512, """&amp;"STATUS: In QA""), ""In QA"", IF(REGEXMATCH(N512, ""STATUS: Needs Customer Feedback""), ""Needs Customer Feedback"", IF(REGEXMATCH(N512, ""STATUS: QA Passed - Awaiting Release""), ""QA Passed - Awaiting Release"", IF(REGEXMATCH(N512, ""STATUS: Release to P"&amp;"rod""), ""Release to Prod"", """")))))))"),"In Progress")</f>
        <v>In Progress</v>
      </c>
    </row>
    <row r="513" hidden="1">
      <c r="A513" s="61" t="s">
        <v>2546</v>
      </c>
      <c r="B513" s="12" t="s">
        <v>32</v>
      </c>
      <c r="C513" s="61">
        <v>224.0</v>
      </c>
      <c r="D513" s="62" t="s">
        <v>2551</v>
      </c>
      <c r="E513" s="56" t="s">
        <v>173</v>
      </c>
      <c r="F513" s="61" t="s">
        <v>2552</v>
      </c>
      <c r="G513" s="57" t="str">
        <f t="shared" si="1"/>
        <v>25-Sep-2025</v>
      </c>
      <c r="H513" s="61" t="s">
        <v>57</v>
      </c>
      <c r="I513" s="61" t="s">
        <v>2553</v>
      </c>
      <c r="J513" s="27" t="str">
        <f t="shared" si="4"/>
        <v>22-Nov-2025</v>
      </c>
      <c r="K513" s="61" t="s">
        <v>2553</v>
      </c>
      <c r="L513" s="27" t="str">
        <f t="shared" si="5"/>
        <v>22-Nov-2025</v>
      </c>
      <c r="M513" s="63" t="s">
        <v>291</v>
      </c>
      <c r="N513" s="61" t="s">
        <v>2554</v>
      </c>
      <c r="O513" s="61" t="s">
        <v>2555</v>
      </c>
      <c r="P513" s="61">
        <v>2.0</v>
      </c>
      <c r="Q513" s="66" t="s">
        <v>2556</v>
      </c>
      <c r="R513" s="27" t="str">
        <f>IFERROR(__xludf.DUMMYFUNCTION("IF(REGEXMATCH(N513, ""PRIORITY: Low""), ""Low"", IF(REGEXMATCH(N513, ""PRIORITY: Medium""), ""Medium"", IF(REGEXMATCH(N513, ""PRIORITY: High""), ""High"", """")))
"),"")</f>
        <v/>
      </c>
      <c r="S513" s="27" t="str">
        <f>IFERROR(__xludf.DUMMYFUNCTION("IF(REGEXMATCH(N513, ""SKILL: Low""), ""Low"", IF(REGEXMATCH(N513, ""SKILL: Medium""), ""Medium"", IF(REGEXMATCH(N513, ""SKILL: High""), ""High"", """")))"),"")</f>
        <v/>
      </c>
      <c r="T513" s="27" t="str">
        <f>IFERROR(__xludf.DUMMYFUNCTION("IF(REGEXMATCH(N513, ""STATUS: Dev Complete - Awaiting QA""), ""Dev Complete - Awaiting QA"", IF(REGEXMATCH(N513, ""STATUS: Follow-Up Required""), ""Follow-Up Required"", IF(REGEXMATCH(N513, ""STATUS: In Progress""), ""In Progress"", IF(REGEXMATCH(N513, """&amp;"STATUS: In QA""), ""In QA"", IF(REGEXMATCH(N513, ""STATUS: Needs Customer Feedback""), ""Needs Customer Feedback"", IF(REGEXMATCH(N513, ""STATUS: QA Passed - Awaiting Release""), ""QA Passed - Awaiting Release"", IF(REGEXMATCH(N513, ""STATUS: Release to P"&amp;"rod""), ""Release to Prod"", """")))))))"),"")</f>
        <v/>
      </c>
    </row>
    <row r="514" hidden="1">
      <c r="A514" s="61" t="s">
        <v>2546</v>
      </c>
      <c r="B514" s="12" t="s">
        <v>32</v>
      </c>
      <c r="C514" s="61">
        <v>223.0</v>
      </c>
      <c r="D514" s="62" t="s">
        <v>2557</v>
      </c>
      <c r="E514" s="56" t="s">
        <v>173</v>
      </c>
      <c r="F514" s="61" t="s">
        <v>2558</v>
      </c>
      <c r="G514" s="57" t="str">
        <f t="shared" si="1"/>
        <v>25-Sep-2025</v>
      </c>
      <c r="H514" s="61" t="s">
        <v>57</v>
      </c>
      <c r="I514" s="61" t="s">
        <v>2559</v>
      </c>
      <c r="J514" s="27" t="str">
        <f t="shared" si="4"/>
        <v>22-Nov-2025</v>
      </c>
      <c r="K514" s="61" t="s">
        <v>2559</v>
      </c>
      <c r="L514" s="27" t="str">
        <f t="shared" si="5"/>
        <v>22-Nov-2025</v>
      </c>
      <c r="M514" s="63" t="s">
        <v>291</v>
      </c>
      <c r="N514" s="61" t="s">
        <v>2554</v>
      </c>
      <c r="O514" s="61" t="s">
        <v>2555</v>
      </c>
      <c r="P514" s="61">
        <v>3.0</v>
      </c>
      <c r="Q514" s="66" t="s">
        <v>2560</v>
      </c>
      <c r="R514" s="27" t="str">
        <f>IFERROR(__xludf.DUMMYFUNCTION("IF(REGEXMATCH(N514, ""PRIORITY: Low""), ""Low"", IF(REGEXMATCH(N514, ""PRIORITY: Medium""), ""Medium"", IF(REGEXMATCH(N514, ""PRIORITY: High""), ""High"", """")))
"),"")</f>
        <v/>
      </c>
      <c r="S514" s="27" t="str">
        <f>IFERROR(__xludf.DUMMYFUNCTION("IF(REGEXMATCH(N514, ""SKILL: Low""), ""Low"", IF(REGEXMATCH(N514, ""SKILL: Medium""), ""Medium"", IF(REGEXMATCH(N514, ""SKILL: High""), ""High"", """")))"),"")</f>
        <v/>
      </c>
      <c r="T514" s="27" t="str">
        <f>IFERROR(__xludf.DUMMYFUNCTION("IF(REGEXMATCH(N514, ""STATUS: Dev Complete - Awaiting QA""), ""Dev Complete - Awaiting QA"", IF(REGEXMATCH(N514, ""STATUS: Follow-Up Required""), ""Follow-Up Required"", IF(REGEXMATCH(N514, ""STATUS: In Progress""), ""In Progress"", IF(REGEXMATCH(N514, """&amp;"STATUS: In QA""), ""In QA"", IF(REGEXMATCH(N514, ""STATUS: Needs Customer Feedback""), ""Needs Customer Feedback"", IF(REGEXMATCH(N514, ""STATUS: QA Passed - Awaiting Release""), ""QA Passed - Awaiting Release"", IF(REGEXMATCH(N514, ""STATUS: Release to P"&amp;"rod""), ""Release to Prod"", """")))))))"),"")</f>
        <v/>
      </c>
    </row>
    <row r="515" hidden="1">
      <c r="A515" s="61" t="s">
        <v>2546</v>
      </c>
      <c r="B515" s="12" t="s">
        <v>32</v>
      </c>
      <c r="C515" s="61">
        <v>222.0</v>
      </c>
      <c r="D515" s="62" t="s">
        <v>2561</v>
      </c>
      <c r="E515" s="56" t="s">
        <v>173</v>
      </c>
      <c r="F515" s="61" t="s">
        <v>2562</v>
      </c>
      <c r="G515" s="57" t="str">
        <f t="shared" si="1"/>
        <v>25-Sep-2025</v>
      </c>
      <c r="H515" s="61" t="s">
        <v>57</v>
      </c>
      <c r="I515" s="61" t="s">
        <v>2563</v>
      </c>
      <c r="J515" s="27" t="str">
        <f t="shared" si="4"/>
        <v>22-Nov-2025</v>
      </c>
      <c r="K515" s="61" t="s">
        <v>2563</v>
      </c>
      <c r="L515" s="27" t="str">
        <f t="shared" si="5"/>
        <v>22-Nov-2025</v>
      </c>
      <c r="M515" s="63" t="s">
        <v>291</v>
      </c>
      <c r="N515" s="61" t="s">
        <v>2564</v>
      </c>
      <c r="O515" s="61" t="s">
        <v>2555</v>
      </c>
      <c r="P515" s="61">
        <v>2.0</v>
      </c>
      <c r="Q515" s="66" t="s">
        <v>2565</v>
      </c>
      <c r="R515" s="27" t="str">
        <f>IFERROR(__xludf.DUMMYFUNCTION("IF(REGEXMATCH(N515, ""PRIORITY: Low""), ""Low"", IF(REGEXMATCH(N515, ""PRIORITY: Medium""), ""Medium"", IF(REGEXMATCH(N515, ""PRIORITY: High""), ""High"", """")))
"),"Medium")</f>
        <v>Medium</v>
      </c>
      <c r="S515" s="27" t="str">
        <f>IFERROR(__xludf.DUMMYFUNCTION("IF(REGEXMATCH(N515, ""SKILL: Low""), ""Low"", IF(REGEXMATCH(N515, ""SKILL: Medium""), ""Medium"", IF(REGEXMATCH(N515, ""SKILL: High""), ""High"", """")))"),"Medium")</f>
        <v>Medium</v>
      </c>
      <c r="T515" s="27" t="str">
        <f>IFERROR(__xludf.DUMMYFUNCTION("IF(REGEXMATCH(N515, ""STATUS: Dev Complete - Awaiting QA""), ""Dev Complete - Awaiting QA"", IF(REGEXMATCH(N515, ""STATUS: Follow-Up Required""), ""Follow-Up Required"", IF(REGEXMATCH(N515, ""STATUS: In Progress""), ""In Progress"", IF(REGEXMATCH(N515, """&amp;"STATUS: In QA""), ""In QA"", IF(REGEXMATCH(N515, ""STATUS: Needs Customer Feedback""), ""Needs Customer Feedback"", IF(REGEXMATCH(N515, ""STATUS: QA Passed - Awaiting Release""), ""QA Passed - Awaiting Release"", IF(REGEXMATCH(N515, ""STATUS: Release to P"&amp;"rod""), ""Release to Prod"", """")))))))"),"Follow-Up Required")</f>
        <v>Follow-Up Required</v>
      </c>
    </row>
    <row r="516" hidden="1">
      <c r="A516" s="61" t="s">
        <v>2546</v>
      </c>
      <c r="B516" s="12" t="s">
        <v>32</v>
      </c>
      <c r="C516" s="61">
        <v>221.0</v>
      </c>
      <c r="D516" s="62" t="s">
        <v>2566</v>
      </c>
      <c r="E516" s="56" t="s">
        <v>173</v>
      </c>
      <c r="F516" s="61" t="s">
        <v>2567</v>
      </c>
      <c r="G516" s="57" t="str">
        <f t="shared" si="1"/>
        <v>25-Sep-2025</v>
      </c>
      <c r="H516" s="61" t="s">
        <v>57</v>
      </c>
      <c r="I516" s="61" t="s">
        <v>2568</v>
      </c>
      <c r="J516" s="27" t="str">
        <f t="shared" si="4"/>
        <v>22-Nov-2025</v>
      </c>
      <c r="K516" s="61" t="s">
        <v>2568</v>
      </c>
      <c r="L516" s="27" t="str">
        <f t="shared" si="5"/>
        <v>22-Nov-2025</v>
      </c>
      <c r="M516" s="63" t="s">
        <v>291</v>
      </c>
      <c r="N516" s="61" t="s">
        <v>2554</v>
      </c>
      <c r="O516" s="61" t="s">
        <v>2555</v>
      </c>
      <c r="P516" s="61">
        <v>2.0</v>
      </c>
      <c r="Q516" s="66" t="s">
        <v>2569</v>
      </c>
      <c r="R516" s="27" t="str">
        <f>IFERROR(__xludf.DUMMYFUNCTION("IF(REGEXMATCH(N516, ""PRIORITY: Low""), ""Low"", IF(REGEXMATCH(N516, ""PRIORITY: Medium""), ""Medium"", IF(REGEXMATCH(N516, ""PRIORITY: High""), ""High"", """")))
"),"")</f>
        <v/>
      </c>
      <c r="S516" s="27" t="str">
        <f>IFERROR(__xludf.DUMMYFUNCTION("IF(REGEXMATCH(N516, ""SKILL: Low""), ""Low"", IF(REGEXMATCH(N516, ""SKILL: Medium""), ""Medium"", IF(REGEXMATCH(N516, ""SKILL: High""), ""High"", """")))"),"")</f>
        <v/>
      </c>
      <c r="T516" s="27" t="str">
        <f>IFERROR(__xludf.DUMMYFUNCTION("IF(REGEXMATCH(N516, ""STATUS: Dev Complete - Awaiting QA""), ""Dev Complete - Awaiting QA"", IF(REGEXMATCH(N516, ""STATUS: Follow-Up Required""), ""Follow-Up Required"", IF(REGEXMATCH(N516, ""STATUS: In Progress""), ""In Progress"", IF(REGEXMATCH(N516, """&amp;"STATUS: In QA""), ""In QA"", IF(REGEXMATCH(N516, ""STATUS: Needs Customer Feedback""), ""Needs Customer Feedback"", IF(REGEXMATCH(N516, ""STATUS: QA Passed - Awaiting Release""), ""QA Passed - Awaiting Release"", IF(REGEXMATCH(N516, ""STATUS: Release to P"&amp;"rod""), ""Release to Prod"", """")))))))"),"")</f>
        <v/>
      </c>
    </row>
    <row r="517" hidden="1">
      <c r="A517" s="61" t="s">
        <v>2546</v>
      </c>
      <c r="B517" s="12" t="s">
        <v>32</v>
      </c>
      <c r="C517" s="61">
        <v>220.0</v>
      </c>
      <c r="D517" s="62" t="s">
        <v>2570</v>
      </c>
      <c r="E517" s="56" t="s">
        <v>173</v>
      </c>
      <c r="F517" s="61" t="s">
        <v>2571</v>
      </c>
      <c r="G517" s="57" t="str">
        <f t="shared" si="1"/>
        <v>25-Sep-2025</v>
      </c>
      <c r="H517" s="61" t="s">
        <v>57</v>
      </c>
      <c r="I517" s="61" t="s">
        <v>2572</v>
      </c>
      <c r="J517" s="27" t="str">
        <f t="shared" si="4"/>
        <v>18-Nov-2025</v>
      </c>
      <c r="K517" s="61" t="s">
        <v>2572</v>
      </c>
      <c r="L517" s="27" t="str">
        <f t="shared" si="5"/>
        <v>18-Nov-2025</v>
      </c>
      <c r="M517" s="63" t="s">
        <v>291</v>
      </c>
      <c r="N517" s="61" t="s">
        <v>2554</v>
      </c>
      <c r="O517" s="61" t="s">
        <v>2555</v>
      </c>
      <c r="P517" s="61">
        <v>4.0</v>
      </c>
      <c r="Q517" s="66" t="s">
        <v>2573</v>
      </c>
      <c r="R517" s="27" t="str">
        <f>IFERROR(__xludf.DUMMYFUNCTION("IF(REGEXMATCH(N517, ""PRIORITY: Low""), ""Low"", IF(REGEXMATCH(N517, ""PRIORITY: Medium""), ""Medium"", IF(REGEXMATCH(N517, ""PRIORITY: High""), ""High"", """")))
"),"")</f>
        <v/>
      </c>
      <c r="S517" s="27" t="str">
        <f>IFERROR(__xludf.DUMMYFUNCTION("IF(REGEXMATCH(N517, ""SKILL: Low""), ""Low"", IF(REGEXMATCH(N517, ""SKILL: Medium""), ""Medium"", IF(REGEXMATCH(N517, ""SKILL: High""), ""High"", """")))"),"")</f>
        <v/>
      </c>
      <c r="T517" s="27" t="str">
        <f>IFERROR(__xludf.DUMMYFUNCTION("IF(REGEXMATCH(N517, ""STATUS: Dev Complete - Awaiting QA""), ""Dev Complete - Awaiting QA"", IF(REGEXMATCH(N517, ""STATUS: Follow-Up Required""), ""Follow-Up Required"", IF(REGEXMATCH(N517, ""STATUS: In Progress""), ""In Progress"", IF(REGEXMATCH(N517, """&amp;"STATUS: In QA""), ""In QA"", IF(REGEXMATCH(N517, ""STATUS: Needs Customer Feedback""), ""Needs Customer Feedback"", IF(REGEXMATCH(N517, ""STATUS: QA Passed - Awaiting Release""), ""QA Passed - Awaiting Release"", IF(REGEXMATCH(N517, ""STATUS: Release to P"&amp;"rod""), ""Release to Prod"", """")))))))"),"")</f>
        <v/>
      </c>
    </row>
    <row r="518" hidden="1">
      <c r="A518" s="61" t="s">
        <v>2546</v>
      </c>
      <c r="B518" s="12" t="s">
        <v>32</v>
      </c>
      <c r="C518" s="61">
        <v>219.0</v>
      </c>
      <c r="D518" s="62" t="s">
        <v>2574</v>
      </c>
      <c r="E518" s="56" t="s">
        <v>173</v>
      </c>
      <c r="F518" s="61" t="s">
        <v>2575</v>
      </c>
      <c r="G518" s="57" t="str">
        <f t="shared" si="1"/>
        <v>25-Sep-2025</v>
      </c>
      <c r="H518" s="61" t="s">
        <v>57</v>
      </c>
      <c r="I518" s="61" t="s">
        <v>2576</v>
      </c>
      <c r="J518" s="27" t="str">
        <f t="shared" si="4"/>
        <v>20-Oct-2025</v>
      </c>
      <c r="K518" s="61" t="s">
        <v>2576</v>
      </c>
      <c r="L518" s="27" t="str">
        <f t="shared" si="5"/>
        <v>20-Oct-2025</v>
      </c>
      <c r="M518" s="63" t="s">
        <v>291</v>
      </c>
      <c r="N518" s="61" t="s">
        <v>2554</v>
      </c>
      <c r="O518" s="61" t="s">
        <v>2555</v>
      </c>
      <c r="P518" s="61">
        <v>1.0</v>
      </c>
      <c r="Q518" s="66" t="s">
        <v>2577</v>
      </c>
      <c r="R518" s="27" t="str">
        <f>IFERROR(__xludf.DUMMYFUNCTION("IF(REGEXMATCH(N518, ""PRIORITY: Low""), ""Low"", IF(REGEXMATCH(N518, ""PRIORITY: Medium""), ""Medium"", IF(REGEXMATCH(N518, ""PRIORITY: High""), ""High"", """")))
"),"")</f>
        <v/>
      </c>
      <c r="S518" s="27" t="str">
        <f>IFERROR(__xludf.DUMMYFUNCTION("IF(REGEXMATCH(N518, ""SKILL: Low""), ""Low"", IF(REGEXMATCH(N518, ""SKILL: Medium""), ""Medium"", IF(REGEXMATCH(N518, ""SKILL: High""), ""High"", """")))"),"")</f>
        <v/>
      </c>
      <c r="T518" s="27" t="str">
        <f>IFERROR(__xludf.DUMMYFUNCTION("IF(REGEXMATCH(N518, ""STATUS: Dev Complete - Awaiting QA""), ""Dev Complete - Awaiting QA"", IF(REGEXMATCH(N518, ""STATUS: Follow-Up Required""), ""Follow-Up Required"", IF(REGEXMATCH(N518, ""STATUS: In Progress""), ""In Progress"", IF(REGEXMATCH(N518, """&amp;"STATUS: In QA""), ""In QA"", IF(REGEXMATCH(N518, ""STATUS: Needs Customer Feedback""), ""Needs Customer Feedback"", IF(REGEXMATCH(N518, ""STATUS: QA Passed - Awaiting Release""), ""QA Passed - Awaiting Release"", IF(REGEXMATCH(N518, ""STATUS: Release to P"&amp;"rod""), ""Release to Prod"", """")))))))"),"")</f>
        <v/>
      </c>
    </row>
    <row r="519" hidden="1">
      <c r="A519" s="61" t="s">
        <v>2546</v>
      </c>
      <c r="B519" s="12" t="s">
        <v>32</v>
      </c>
      <c r="C519" s="61">
        <v>216.0</v>
      </c>
      <c r="D519" s="62" t="s">
        <v>2578</v>
      </c>
      <c r="E519" s="56" t="s">
        <v>173</v>
      </c>
      <c r="F519" s="61" t="s">
        <v>2579</v>
      </c>
      <c r="G519" s="57" t="str">
        <f t="shared" si="1"/>
        <v>22-Sep-2025</v>
      </c>
      <c r="H519" s="61" t="s">
        <v>51</v>
      </c>
      <c r="I519" s="61" t="s">
        <v>2580</v>
      </c>
      <c r="J519" s="27" t="str">
        <f t="shared" si="4"/>
        <v>20-Oct-2025</v>
      </c>
      <c r="K519" s="61" t="s">
        <v>2580</v>
      </c>
      <c r="L519" s="27" t="str">
        <f t="shared" si="5"/>
        <v>20-Oct-2025</v>
      </c>
      <c r="M519" s="63" t="s">
        <v>15</v>
      </c>
      <c r="N519" s="61" t="s">
        <v>177</v>
      </c>
      <c r="O519" s="61" t="s">
        <v>2581</v>
      </c>
      <c r="P519" s="61">
        <v>0.0</v>
      </c>
      <c r="Q519" s="66" t="s">
        <v>2582</v>
      </c>
      <c r="R519" s="27" t="str">
        <f>IFERROR(__xludf.DUMMYFUNCTION("IF(REGEXMATCH(N519, ""PRIORITY: Low""), ""Low"", IF(REGEXMATCH(N519, ""PRIORITY: Medium""), ""Medium"", IF(REGEXMATCH(N519, ""PRIORITY: High""), ""High"", """")))
"),"")</f>
        <v/>
      </c>
      <c r="S519" s="27" t="str">
        <f>IFERROR(__xludf.DUMMYFUNCTION("IF(REGEXMATCH(N519, ""SKILL: Low""), ""Low"", IF(REGEXMATCH(N519, ""SKILL: Medium""), ""Medium"", IF(REGEXMATCH(N519, ""SKILL: High""), ""High"", """")))"),"")</f>
        <v/>
      </c>
      <c r="T519" s="27" t="str">
        <f>IFERROR(__xludf.DUMMYFUNCTION("IF(REGEXMATCH(N519, ""STATUS: Dev Complete - Awaiting QA""), ""Dev Complete - Awaiting QA"", IF(REGEXMATCH(N519, ""STATUS: Follow-Up Required""), ""Follow-Up Required"", IF(REGEXMATCH(N519, ""STATUS: In Progress""), ""In Progress"", IF(REGEXMATCH(N519, """&amp;"STATUS: In QA""), ""In QA"", IF(REGEXMATCH(N519, ""STATUS: Needs Customer Feedback""), ""Needs Customer Feedback"", IF(REGEXMATCH(N519, ""STATUS: QA Passed - Awaiting Release""), ""QA Passed - Awaiting Release"", IF(REGEXMATCH(N519, ""STATUS: Release to P"&amp;"rod""), ""Release to Prod"", """")))))))"),"")</f>
        <v/>
      </c>
    </row>
    <row r="520" hidden="1">
      <c r="A520" s="61" t="s">
        <v>2546</v>
      </c>
      <c r="B520" s="12" t="s">
        <v>32</v>
      </c>
      <c r="C520" s="61">
        <v>201.0</v>
      </c>
      <c r="D520" s="62" t="s">
        <v>2583</v>
      </c>
      <c r="E520" s="56" t="s">
        <v>173</v>
      </c>
      <c r="F520" s="61" t="s">
        <v>2584</v>
      </c>
      <c r="G520" s="57" t="str">
        <f t="shared" si="1"/>
        <v>12-Sep-2025</v>
      </c>
      <c r="H520" s="61" t="s">
        <v>57</v>
      </c>
      <c r="I520" s="61" t="s">
        <v>2585</v>
      </c>
      <c r="J520" s="27" t="str">
        <f t="shared" si="4"/>
        <v>24-Sep-2025</v>
      </c>
      <c r="K520" s="61" t="s">
        <v>2585</v>
      </c>
      <c r="L520" s="27" t="str">
        <f t="shared" si="5"/>
        <v>24-Sep-2025</v>
      </c>
      <c r="M520" s="63" t="s">
        <v>291</v>
      </c>
      <c r="N520" s="61" t="s">
        <v>2586</v>
      </c>
      <c r="O520" s="61" t="s">
        <v>44</v>
      </c>
      <c r="P520" s="61">
        <v>2.0</v>
      </c>
      <c r="Q520" s="66" t="s">
        <v>2587</v>
      </c>
      <c r="R520" s="27" t="str">
        <f>IFERROR(__xludf.DUMMYFUNCTION("IF(REGEXMATCH(N520, ""PRIORITY: Low""), ""Low"", IF(REGEXMATCH(N520, ""PRIORITY: Medium""), ""Medium"", IF(REGEXMATCH(N520, ""PRIORITY: High""), ""High"", """")))
"),"")</f>
        <v/>
      </c>
      <c r="S520" s="27" t="str">
        <f>IFERROR(__xludf.DUMMYFUNCTION("IF(REGEXMATCH(N520, ""SKILL: Low""), ""Low"", IF(REGEXMATCH(N520, ""SKILL: Medium""), ""Medium"", IF(REGEXMATCH(N520, ""SKILL: High""), ""High"", """")))"),"")</f>
        <v/>
      </c>
      <c r="T520" s="27" t="str">
        <f>IFERROR(__xludf.DUMMYFUNCTION("IF(REGEXMATCH(N520, ""STATUS: Dev Complete - Awaiting QA""), ""Dev Complete - Awaiting QA"", IF(REGEXMATCH(N520, ""STATUS: Follow-Up Required""), ""Follow-Up Required"", IF(REGEXMATCH(N520, ""STATUS: In Progress""), ""In Progress"", IF(REGEXMATCH(N520, """&amp;"STATUS: In QA""), ""In QA"", IF(REGEXMATCH(N520, ""STATUS: Needs Customer Feedback""), ""Needs Customer Feedback"", IF(REGEXMATCH(N520, ""STATUS: QA Passed - Awaiting Release""), ""QA Passed - Awaiting Release"", IF(REGEXMATCH(N520, ""STATUS: Release to P"&amp;"rod""), ""Release to Prod"", """")))))))"),"In Progress")</f>
        <v>In Progress</v>
      </c>
    </row>
    <row r="521" hidden="1">
      <c r="A521" s="61" t="s">
        <v>2546</v>
      </c>
      <c r="B521" s="12" t="s">
        <v>32</v>
      </c>
      <c r="C521" s="61">
        <v>200.0</v>
      </c>
      <c r="D521" s="62" t="s">
        <v>2588</v>
      </c>
      <c r="E521" s="56" t="s">
        <v>173</v>
      </c>
      <c r="F521" s="61" t="s">
        <v>2589</v>
      </c>
      <c r="G521" s="57" t="str">
        <f t="shared" si="1"/>
        <v>12-Sep-2025</v>
      </c>
      <c r="H521" s="61" t="s">
        <v>57</v>
      </c>
      <c r="I521" s="61" t="s">
        <v>2590</v>
      </c>
      <c r="J521" s="27" t="str">
        <f t="shared" si="4"/>
        <v>24-Sep-2025</v>
      </c>
      <c r="K521" s="61" t="s">
        <v>2590</v>
      </c>
      <c r="L521" s="27" t="str">
        <f t="shared" si="5"/>
        <v>24-Sep-2025</v>
      </c>
      <c r="M521" s="63" t="s">
        <v>291</v>
      </c>
      <c r="N521" s="61" t="s">
        <v>2586</v>
      </c>
      <c r="O521" s="61" t="s">
        <v>44</v>
      </c>
      <c r="P521" s="61">
        <v>2.0</v>
      </c>
      <c r="Q521" s="66" t="s">
        <v>2591</v>
      </c>
      <c r="R521" s="27" t="str">
        <f>IFERROR(__xludf.DUMMYFUNCTION("IF(REGEXMATCH(N521, ""PRIORITY: Low""), ""Low"", IF(REGEXMATCH(N521, ""PRIORITY: Medium""), ""Medium"", IF(REGEXMATCH(N521, ""PRIORITY: High""), ""High"", """")))
"),"")</f>
        <v/>
      </c>
      <c r="S521" s="27" t="str">
        <f>IFERROR(__xludf.DUMMYFUNCTION("IF(REGEXMATCH(N521, ""SKILL: Low""), ""Low"", IF(REGEXMATCH(N521, ""SKILL: Medium""), ""Medium"", IF(REGEXMATCH(N521, ""SKILL: High""), ""High"", """")))"),"")</f>
        <v/>
      </c>
      <c r="T521" s="27" t="str">
        <f>IFERROR(__xludf.DUMMYFUNCTION("IF(REGEXMATCH(N521, ""STATUS: Dev Complete - Awaiting QA""), ""Dev Complete - Awaiting QA"", IF(REGEXMATCH(N521, ""STATUS: Follow-Up Required""), ""Follow-Up Required"", IF(REGEXMATCH(N521, ""STATUS: In Progress""), ""In Progress"", IF(REGEXMATCH(N521, """&amp;"STATUS: In QA""), ""In QA"", IF(REGEXMATCH(N521, ""STATUS: Needs Customer Feedback""), ""Needs Customer Feedback"", IF(REGEXMATCH(N521, ""STATUS: QA Passed - Awaiting Release""), ""QA Passed - Awaiting Release"", IF(REGEXMATCH(N521, ""STATUS: Release to P"&amp;"rod""), ""Release to Prod"", """")))))))"),"In Progress")</f>
        <v>In Progress</v>
      </c>
    </row>
    <row r="522">
      <c r="A522" s="61" t="s">
        <v>2546</v>
      </c>
      <c r="B522" s="12" t="s">
        <v>32</v>
      </c>
      <c r="C522" s="61">
        <v>199.0</v>
      </c>
      <c r="D522" s="62" t="s">
        <v>2592</v>
      </c>
      <c r="E522" s="56" t="s">
        <v>246</v>
      </c>
      <c r="F522" s="61" t="s">
        <v>2593</v>
      </c>
      <c r="G522" s="57" t="str">
        <f t="shared" si="1"/>
        <v>12-Sep-2025</v>
      </c>
      <c r="H522" s="61" t="s">
        <v>57</v>
      </c>
      <c r="I522" s="61" t="s">
        <v>2594</v>
      </c>
      <c r="J522" s="27" t="str">
        <f t="shared" si="4"/>
        <v>02-Dec-2025</v>
      </c>
      <c r="K522" s="27"/>
      <c r="L522" s="27" t="str">
        <f t="shared" si="5"/>
        <v/>
      </c>
      <c r="M522" s="63" t="s">
        <v>291</v>
      </c>
      <c r="N522" s="61" t="s">
        <v>2595</v>
      </c>
      <c r="O522" s="67" t="s">
        <v>44</v>
      </c>
      <c r="P522" s="61">
        <v>2.0</v>
      </c>
      <c r="Q522" s="66" t="s">
        <v>2596</v>
      </c>
      <c r="R522" s="27" t="str">
        <f>IFERROR(__xludf.DUMMYFUNCTION("IF(REGEXMATCH(N522, ""PRIORITY: Low""), ""Low"", IF(REGEXMATCH(N522, ""PRIORITY: Medium""), ""Medium"", IF(REGEXMATCH(N522, ""PRIORITY: High""), ""High"", """")))
"),"Medium")</f>
        <v>Medium</v>
      </c>
      <c r="S522" s="27" t="str">
        <f>IFERROR(__xludf.DUMMYFUNCTION("IF(REGEXMATCH(N522, ""SKILL: Low""), ""Low"", IF(REGEXMATCH(N522, ""SKILL: Medium""), ""Medium"", IF(REGEXMATCH(N522, ""SKILL: High""), ""High"", """")))"),"Medium")</f>
        <v>Medium</v>
      </c>
      <c r="T522" s="27" t="str">
        <f>IFERROR(__xludf.DUMMYFUNCTION("IF(REGEXMATCH(N522, ""STATUS: Dev Complete - Awaiting QA""), ""Dev Complete - Awaiting QA"", IF(REGEXMATCH(N522, ""STATUS: Follow-Up Required""), ""Follow-Up Required"", IF(REGEXMATCH(N522, ""STATUS: In Progress""), ""In Progress"", IF(REGEXMATCH(N522, """&amp;"STATUS: In QA""), ""In QA"", IF(REGEXMATCH(N522, ""STATUS: Needs Customer Feedback""), ""Needs Customer Feedback"", IF(REGEXMATCH(N522, ""STATUS: QA Passed - Awaiting Release""), ""QA Passed - Awaiting Release"", IF(REGEXMATCH(N522, ""STATUS: Release to P"&amp;"rod""), ""Release to Prod"", """")))))))"),"Follow-Up Required")</f>
        <v>Follow-Up Required</v>
      </c>
    </row>
    <row r="523" hidden="1">
      <c r="A523" s="61" t="s">
        <v>2546</v>
      </c>
      <c r="B523" s="12" t="s">
        <v>32</v>
      </c>
      <c r="C523" s="61">
        <v>198.0</v>
      </c>
      <c r="D523" s="62" t="s">
        <v>2597</v>
      </c>
      <c r="E523" s="56" t="s">
        <v>173</v>
      </c>
      <c r="F523" s="61" t="s">
        <v>2598</v>
      </c>
      <c r="G523" s="57" t="str">
        <f t="shared" si="1"/>
        <v>12-Sep-2025</v>
      </c>
      <c r="H523" s="61" t="s">
        <v>57</v>
      </c>
      <c r="I523" s="61" t="s">
        <v>2599</v>
      </c>
      <c r="J523" s="27" t="str">
        <f t="shared" si="4"/>
        <v>24-Sep-2025</v>
      </c>
      <c r="K523" s="61" t="s">
        <v>2599</v>
      </c>
      <c r="L523" s="27" t="str">
        <f t="shared" si="5"/>
        <v>24-Sep-2025</v>
      </c>
      <c r="M523" s="63" t="s">
        <v>291</v>
      </c>
      <c r="N523" s="61" t="s">
        <v>2586</v>
      </c>
      <c r="O523" s="61" t="s">
        <v>44</v>
      </c>
      <c r="P523" s="61">
        <v>2.0</v>
      </c>
      <c r="Q523" s="66" t="s">
        <v>2600</v>
      </c>
      <c r="R523" s="27" t="str">
        <f>IFERROR(__xludf.DUMMYFUNCTION("IF(REGEXMATCH(N523, ""PRIORITY: Low""), ""Low"", IF(REGEXMATCH(N523, ""PRIORITY: Medium""), ""Medium"", IF(REGEXMATCH(N523, ""PRIORITY: High""), ""High"", """")))
"),"")</f>
        <v/>
      </c>
      <c r="S523" s="27" t="str">
        <f>IFERROR(__xludf.DUMMYFUNCTION("IF(REGEXMATCH(N523, ""SKILL: Low""), ""Low"", IF(REGEXMATCH(N523, ""SKILL: Medium""), ""Medium"", IF(REGEXMATCH(N523, ""SKILL: High""), ""High"", """")))"),"")</f>
        <v/>
      </c>
      <c r="T523" s="27" t="str">
        <f>IFERROR(__xludf.DUMMYFUNCTION("IF(REGEXMATCH(N523, ""STATUS: Dev Complete - Awaiting QA""), ""Dev Complete - Awaiting QA"", IF(REGEXMATCH(N523, ""STATUS: Follow-Up Required""), ""Follow-Up Required"", IF(REGEXMATCH(N523, ""STATUS: In Progress""), ""In Progress"", IF(REGEXMATCH(N523, """&amp;"STATUS: In QA""), ""In QA"", IF(REGEXMATCH(N523, ""STATUS: Needs Customer Feedback""), ""Needs Customer Feedback"", IF(REGEXMATCH(N523, ""STATUS: QA Passed - Awaiting Release""), ""QA Passed - Awaiting Release"", IF(REGEXMATCH(N523, ""STATUS: Release to P"&amp;"rod""), ""Release to Prod"", """")))))))"),"In Progress")</f>
        <v>In Progress</v>
      </c>
    </row>
    <row r="524" hidden="1">
      <c r="A524" s="61" t="s">
        <v>2546</v>
      </c>
      <c r="B524" s="12" t="s">
        <v>32</v>
      </c>
      <c r="C524" s="61">
        <v>197.0</v>
      </c>
      <c r="D524" s="62" t="s">
        <v>2601</v>
      </c>
      <c r="E524" s="56" t="s">
        <v>173</v>
      </c>
      <c r="F524" s="61" t="s">
        <v>2602</v>
      </c>
      <c r="G524" s="57" t="str">
        <f t="shared" si="1"/>
        <v>12-Sep-2025</v>
      </c>
      <c r="H524" s="61" t="s">
        <v>57</v>
      </c>
      <c r="I524" s="61" t="s">
        <v>2603</v>
      </c>
      <c r="J524" s="27" t="str">
        <f t="shared" si="4"/>
        <v>29-Sep-2025</v>
      </c>
      <c r="K524" s="61" t="s">
        <v>2603</v>
      </c>
      <c r="L524" s="27" t="str">
        <f t="shared" si="5"/>
        <v>29-Sep-2025</v>
      </c>
      <c r="M524" s="63" t="s">
        <v>291</v>
      </c>
      <c r="N524" s="61" t="s">
        <v>2604</v>
      </c>
      <c r="O524" s="61" t="s">
        <v>590</v>
      </c>
      <c r="P524" s="61">
        <v>5.0</v>
      </c>
      <c r="Q524" s="66" t="s">
        <v>2605</v>
      </c>
      <c r="R524" s="27" t="str">
        <f>IFERROR(__xludf.DUMMYFUNCTION("IF(REGEXMATCH(N524, ""PRIORITY: Low""), ""Low"", IF(REGEXMATCH(N524, ""PRIORITY: Medium""), ""Medium"", IF(REGEXMATCH(N524, ""PRIORITY: High""), ""High"", """")))
"),"")</f>
        <v/>
      </c>
      <c r="S524" s="27" t="str">
        <f>IFERROR(__xludf.DUMMYFUNCTION("IF(REGEXMATCH(N524, ""SKILL: Low""), ""Low"", IF(REGEXMATCH(N524, ""SKILL: Medium""), ""Medium"", IF(REGEXMATCH(N524, ""SKILL: High""), ""High"", """")))"),"")</f>
        <v/>
      </c>
      <c r="T524" s="27" t="str">
        <f>IFERROR(__xludf.DUMMYFUNCTION("IF(REGEXMATCH(N524, ""STATUS: Dev Complete - Awaiting QA""), ""Dev Complete - Awaiting QA"", IF(REGEXMATCH(N524, ""STATUS: Follow-Up Required""), ""Follow-Up Required"", IF(REGEXMATCH(N524, ""STATUS: In Progress""), ""In Progress"", IF(REGEXMATCH(N524, """&amp;"STATUS: In QA""), ""In QA"", IF(REGEXMATCH(N524, ""STATUS: Needs Customer Feedback""), ""Needs Customer Feedback"", IF(REGEXMATCH(N524, ""STATUS: QA Passed - Awaiting Release""), ""QA Passed - Awaiting Release"", IF(REGEXMATCH(N524, ""STATUS: Release to P"&amp;"rod""), ""Release to Prod"", """")))))))"),"")</f>
        <v/>
      </c>
    </row>
    <row r="525" hidden="1">
      <c r="A525" s="61" t="s">
        <v>2546</v>
      </c>
      <c r="B525" s="12" t="s">
        <v>32</v>
      </c>
      <c r="C525" s="61">
        <v>196.0</v>
      </c>
      <c r="D525" s="62" t="s">
        <v>2606</v>
      </c>
      <c r="E525" s="56" t="s">
        <v>173</v>
      </c>
      <c r="F525" s="61" t="s">
        <v>2607</v>
      </c>
      <c r="G525" s="57" t="str">
        <f t="shared" si="1"/>
        <v>12-Sep-2025</v>
      </c>
      <c r="H525" s="61" t="s">
        <v>57</v>
      </c>
      <c r="I525" s="61" t="s">
        <v>2608</v>
      </c>
      <c r="J525" s="27" t="str">
        <f t="shared" si="4"/>
        <v>18-Nov-2025</v>
      </c>
      <c r="K525" s="61" t="s">
        <v>2608</v>
      </c>
      <c r="L525" s="27" t="str">
        <f t="shared" si="5"/>
        <v>18-Nov-2025</v>
      </c>
      <c r="M525" s="63" t="s">
        <v>291</v>
      </c>
      <c r="N525" s="61" t="s">
        <v>2609</v>
      </c>
      <c r="O525" s="61" t="s">
        <v>590</v>
      </c>
      <c r="P525" s="61">
        <v>2.0</v>
      </c>
      <c r="Q525" s="66" t="s">
        <v>2610</v>
      </c>
      <c r="R525" s="27" t="str">
        <f>IFERROR(__xludf.DUMMYFUNCTION("IF(REGEXMATCH(N525, ""PRIORITY: Low""), ""Low"", IF(REGEXMATCH(N525, ""PRIORITY: Medium""), ""Medium"", IF(REGEXMATCH(N525, ""PRIORITY: High""), ""High"", """")))
"),"")</f>
        <v/>
      </c>
      <c r="S525" s="27" t="str">
        <f>IFERROR(__xludf.DUMMYFUNCTION("IF(REGEXMATCH(N525, ""SKILL: Low""), ""Low"", IF(REGEXMATCH(N525, ""SKILL: Medium""), ""Medium"", IF(REGEXMATCH(N525, ""SKILL: High""), ""High"", """")))"),"")</f>
        <v/>
      </c>
      <c r="T525" s="27" t="str">
        <f>IFERROR(__xludf.DUMMYFUNCTION("IF(REGEXMATCH(N525, ""STATUS: Dev Complete - Awaiting QA""), ""Dev Complete - Awaiting QA"", IF(REGEXMATCH(N525, ""STATUS: Follow-Up Required""), ""Follow-Up Required"", IF(REGEXMATCH(N525, ""STATUS: In Progress""), ""In Progress"", IF(REGEXMATCH(N525, """&amp;"STATUS: In QA""), ""In QA"", IF(REGEXMATCH(N525, ""STATUS: Needs Customer Feedback""), ""Needs Customer Feedback"", IF(REGEXMATCH(N525, ""STATUS: QA Passed - Awaiting Release""), ""QA Passed - Awaiting Release"", IF(REGEXMATCH(N525, ""STATUS: Release to P"&amp;"rod""), ""Release to Prod"", """")))))))"),"Follow-Up Required")</f>
        <v>Follow-Up Required</v>
      </c>
    </row>
    <row r="526" hidden="1">
      <c r="A526" s="61" t="s">
        <v>2546</v>
      </c>
      <c r="B526" s="12" t="s">
        <v>32</v>
      </c>
      <c r="C526" s="61">
        <v>195.0</v>
      </c>
      <c r="D526" s="62" t="s">
        <v>2611</v>
      </c>
      <c r="E526" s="56" t="s">
        <v>173</v>
      </c>
      <c r="F526" s="61" t="s">
        <v>2612</v>
      </c>
      <c r="G526" s="57" t="str">
        <f t="shared" si="1"/>
        <v>12-Sep-2025</v>
      </c>
      <c r="H526" s="61" t="s">
        <v>57</v>
      </c>
      <c r="I526" s="61" t="s">
        <v>2613</v>
      </c>
      <c r="J526" s="27" t="str">
        <f t="shared" si="4"/>
        <v>29-Sep-2025</v>
      </c>
      <c r="K526" s="61" t="s">
        <v>2613</v>
      </c>
      <c r="L526" s="27" t="str">
        <f t="shared" si="5"/>
        <v>29-Sep-2025</v>
      </c>
      <c r="M526" s="63" t="s">
        <v>291</v>
      </c>
      <c r="N526" s="61" t="s">
        <v>2604</v>
      </c>
      <c r="O526" s="61" t="s">
        <v>590</v>
      </c>
      <c r="P526" s="61">
        <v>4.0</v>
      </c>
      <c r="Q526" s="66" t="s">
        <v>2614</v>
      </c>
      <c r="R526" s="27" t="str">
        <f>IFERROR(__xludf.DUMMYFUNCTION("IF(REGEXMATCH(N526, ""PRIORITY: Low""), ""Low"", IF(REGEXMATCH(N526, ""PRIORITY: Medium""), ""Medium"", IF(REGEXMATCH(N526, ""PRIORITY: High""), ""High"", """")))
"),"")</f>
        <v/>
      </c>
      <c r="S526" s="27" t="str">
        <f>IFERROR(__xludf.DUMMYFUNCTION("IF(REGEXMATCH(N526, ""SKILL: Low""), ""Low"", IF(REGEXMATCH(N526, ""SKILL: Medium""), ""Medium"", IF(REGEXMATCH(N526, ""SKILL: High""), ""High"", """")))"),"")</f>
        <v/>
      </c>
      <c r="T526" s="27" t="str">
        <f>IFERROR(__xludf.DUMMYFUNCTION("IF(REGEXMATCH(N526, ""STATUS: Dev Complete - Awaiting QA""), ""Dev Complete - Awaiting QA"", IF(REGEXMATCH(N526, ""STATUS: Follow-Up Required""), ""Follow-Up Required"", IF(REGEXMATCH(N526, ""STATUS: In Progress""), ""In Progress"", IF(REGEXMATCH(N526, """&amp;"STATUS: In QA""), ""In QA"", IF(REGEXMATCH(N526, ""STATUS: Needs Customer Feedback""), ""Needs Customer Feedback"", IF(REGEXMATCH(N526, ""STATUS: QA Passed - Awaiting Release""), ""QA Passed - Awaiting Release"", IF(REGEXMATCH(N526, ""STATUS: Release to P"&amp;"rod""), ""Release to Prod"", """")))))))"),"")</f>
        <v/>
      </c>
    </row>
    <row r="527" hidden="1">
      <c r="A527" s="61" t="s">
        <v>2546</v>
      </c>
      <c r="B527" s="12" t="s">
        <v>32</v>
      </c>
      <c r="C527" s="61">
        <v>194.0</v>
      </c>
      <c r="D527" s="62" t="s">
        <v>2615</v>
      </c>
      <c r="E527" s="56" t="s">
        <v>173</v>
      </c>
      <c r="F527" s="61" t="s">
        <v>2616</v>
      </c>
      <c r="G527" s="57" t="str">
        <f t="shared" si="1"/>
        <v>12-Sep-2025</v>
      </c>
      <c r="H527" s="61" t="s">
        <v>57</v>
      </c>
      <c r="I527" s="61" t="s">
        <v>2617</v>
      </c>
      <c r="J527" s="27" t="str">
        <f t="shared" si="4"/>
        <v>29-Sep-2025</v>
      </c>
      <c r="K527" s="61" t="s">
        <v>2618</v>
      </c>
      <c r="L527" s="27" t="str">
        <f t="shared" si="5"/>
        <v>29-Sep-2025</v>
      </c>
      <c r="M527" s="63" t="s">
        <v>291</v>
      </c>
      <c r="N527" s="61" t="s">
        <v>2604</v>
      </c>
      <c r="O527" s="61" t="s">
        <v>590</v>
      </c>
      <c r="P527" s="61">
        <v>4.0</v>
      </c>
      <c r="Q527" s="66" t="s">
        <v>2619</v>
      </c>
      <c r="R527" s="27" t="str">
        <f>IFERROR(__xludf.DUMMYFUNCTION("IF(REGEXMATCH(N527, ""PRIORITY: Low""), ""Low"", IF(REGEXMATCH(N527, ""PRIORITY: Medium""), ""Medium"", IF(REGEXMATCH(N527, ""PRIORITY: High""), ""High"", """")))
"),"")</f>
        <v/>
      </c>
      <c r="S527" s="27" t="str">
        <f>IFERROR(__xludf.DUMMYFUNCTION("IF(REGEXMATCH(N527, ""SKILL: Low""), ""Low"", IF(REGEXMATCH(N527, ""SKILL: Medium""), ""Medium"", IF(REGEXMATCH(N527, ""SKILL: High""), ""High"", """")))"),"")</f>
        <v/>
      </c>
      <c r="T527" s="27" t="str">
        <f>IFERROR(__xludf.DUMMYFUNCTION("IF(REGEXMATCH(N527, ""STATUS: Dev Complete - Awaiting QA""), ""Dev Complete - Awaiting QA"", IF(REGEXMATCH(N527, ""STATUS: Follow-Up Required""), ""Follow-Up Required"", IF(REGEXMATCH(N527, ""STATUS: In Progress""), ""In Progress"", IF(REGEXMATCH(N527, """&amp;"STATUS: In QA""), ""In QA"", IF(REGEXMATCH(N527, ""STATUS: Needs Customer Feedback""), ""Needs Customer Feedback"", IF(REGEXMATCH(N527, ""STATUS: QA Passed - Awaiting Release""), ""QA Passed - Awaiting Release"", IF(REGEXMATCH(N527, ""STATUS: Release to P"&amp;"rod""), ""Release to Prod"", """")))))))"),"")</f>
        <v/>
      </c>
    </row>
    <row r="528" hidden="1">
      <c r="A528" s="61" t="s">
        <v>2546</v>
      </c>
      <c r="B528" s="12" t="s">
        <v>32</v>
      </c>
      <c r="C528" s="61">
        <v>193.0</v>
      </c>
      <c r="D528" s="62" t="s">
        <v>2620</v>
      </c>
      <c r="E528" s="56" t="s">
        <v>173</v>
      </c>
      <c r="F528" s="61" t="s">
        <v>2621</v>
      </c>
      <c r="G528" s="57" t="str">
        <f t="shared" si="1"/>
        <v>12-Sep-2025</v>
      </c>
      <c r="H528" s="61" t="s">
        <v>57</v>
      </c>
      <c r="I528" s="61" t="s">
        <v>2622</v>
      </c>
      <c r="J528" s="27" t="str">
        <f t="shared" si="4"/>
        <v>29-Sep-2025</v>
      </c>
      <c r="K528" s="61" t="s">
        <v>2622</v>
      </c>
      <c r="L528" s="27" t="str">
        <f t="shared" si="5"/>
        <v>29-Sep-2025</v>
      </c>
      <c r="M528" s="63" t="s">
        <v>291</v>
      </c>
      <c r="N528" s="61" t="s">
        <v>2604</v>
      </c>
      <c r="O528" s="61" t="s">
        <v>590</v>
      </c>
      <c r="P528" s="61">
        <v>4.0</v>
      </c>
      <c r="Q528" s="66" t="s">
        <v>2623</v>
      </c>
      <c r="R528" s="27" t="str">
        <f>IFERROR(__xludf.DUMMYFUNCTION("IF(REGEXMATCH(N528, ""PRIORITY: Low""), ""Low"", IF(REGEXMATCH(N528, ""PRIORITY: Medium""), ""Medium"", IF(REGEXMATCH(N528, ""PRIORITY: High""), ""High"", """")))
"),"")</f>
        <v/>
      </c>
      <c r="S528" s="27" t="str">
        <f>IFERROR(__xludf.DUMMYFUNCTION("IF(REGEXMATCH(N528, ""SKILL: Low""), ""Low"", IF(REGEXMATCH(N528, ""SKILL: Medium""), ""Medium"", IF(REGEXMATCH(N528, ""SKILL: High""), ""High"", """")))"),"")</f>
        <v/>
      </c>
      <c r="T528" s="27" t="str">
        <f>IFERROR(__xludf.DUMMYFUNCTION("IF(REGEXMATCH(N528, ""STATUS: Dev Complete - Awaiting QA""), ""Dev Complete - Awaiting QA"", IF(REGEXMATCH(N528, ""STATUS: Follow-Up Required""), ""Follow-Up Required"", IF(REGEXMATCH(N528, ""STATUS: In Progress""), ""In Progress"", IF(REGEXMATCH(N528, """&amp;"STATUS: In QA""), ""In QA"", IF(REGEXMATCH(N528, ""STATUS: Needs Customer Feedback""), ""Needs Customer Feedback"", IF(REGEXMATCH(N528, ""STATUS: QA Passed - Awaiting Release""), ""QA Passed - Awaiting Release"", IF(REGEXMATCH(N528, ""STATUS: Release to P"&amp;"rod""), ""Release to Prod"", """")))))))"),"")</f>
        <v/>
      </c>
    </row>
    <row r="529" hidden="1">
      <c r="A529" s="61" t="s">
        <v>2546</v>
      </c>
      <c r="B529" s="12" t="s">
        <v>32</v>
      </c>
      <c r="C529" s="61">
        <v>192.0</v>
      </c>
      <c r="D529" s="62" t="s">
        <v>2624</v>
      </c>
      <c r="E529" s="56" t="s">
        <v>173</v>
      </c>
      <c r="F529" s="61" t="s">
        <v>2625</v>
      </c>
      <c r="G529" s="57" t="str">
        <f t="shared" si="1"/>
        <v>12-Sep-2025</v>
      </c>
      <c r="H529" s="61" t="s">
        <v>57</v>
      </c>
      <c r="I529" s="61" t="s">
        <v>2626</v>
      </c>
      <c r="J529" s="27" t="str">
        <f t="shared" si="4"/>
        <v>29-Sep-2025</v>
      </c>
      <c r="K529" s="61" t="s">
        <v>2627</v>
      </c>
      <c r="L529" s="27" t="str">
        <f t="shared" si="5"/>
        <v>29-Sep-2025</v>
      </c>
      <c r="M529" s="63" t="s">
        <v>291</v>
      </c>
      <c r="N529" s="61" t="s">
        <v>2604</v>
      </c>
      <c r="O529" s="61" t="s">
        <v>590</v>
      </c>
      <c r="P529" s="61">
        <v>1.0</v>
      </c>
      <c r="Q529" s="66" t="s">
        <v>2628</v>
      </c>
      <c r="R529" s="27" t="str">
        <f>IFERROR(__xludf.DUMMYFUNCTION("IF(REGEXMATCH(N529, ""PRIORITY: Low""), ""Low"", IF(REGEXMATCH(N529, ""PRIORITY: Medium""), ""Medium"", IF(REGEXMATCH(N529, ""PRIORITY: High""), ""High"", """")))
"),"")</f>
        <v/>
      </c>
      <c r="S529" s="27" t="str">
        <f>IFERROR(__xludf.DUMMYFUNCTION("IF(REGEXMATCH(N529, ""SKILL: Low""), ""Low"", IF(REGEXMATCH(N529, ""SKILL: Medium""), ""Medium"", IF(REGEXMATCH(N529, ""SKILL: High""), ""High"", """")))"),"")</f>
        <v/>
      </c>
      <c r="T529" s="27" t="str">
        <f>IFERROR(__xludf.DUMMYFUNCTION("IF(REGEXMATCH(N529, ""STATUS: Dev Complete - Awaiting QA""), ""Dev Complete - Awaiting QA"", IF(REGEXMATCH(N529, ""STATUS: Follow-Up Required""), ""Follow-Up Required"", IF(REGEXMATCH(N529, ""STATUS: In Progress""), ""In Progress"", IF(REGEXMATCH(N529, """&amp;"STATUS: In QA""), ""In QA"", IF(REGEXMATCH(N529, ""STATUS: Needs Customer Feedback""), ""Needs Customer Feedback"", IF(REGEXMATCH(N529, ""STATUS: QA Passed - Awaiting Release""), ""QA Passed - Awaiting Release"", IF(REGEXMATCH(N529, ""STATUS: Release to P"&amp;"rod""), ""Release to Prod"", """")))))))"),"")</f>
        <v/>
      </c>
    </row>
    <row r="530" hidden="1">
      <c r="A530" s="61" t="s">
        <v>2546</v>
      </c>
      <c r="B530" s="12" t="s">
        <v>32</v>
      </c>
      <c r="C530" s="61">
        <v>191.0</v>
      </c>
      <c r="D530" s="62" t="s">
        <v>2629</v>
      </c>
      <c r="E530" s="56" t="s">
        <v>173</v>
      </c>
      <c r="F530" s="61" t="s">
        <v>2630</v>
      </c>
      <c r="G530" s="57" t="str">
        <f t="shared" si="1"/>
        <v>12-Sep-2025</v>
      </c>
      <c r="H530" s="61" t="s">
        <v>57</v>
      </c>
      <c r="I530" s="61" t="s">
        <v>2631</v>
      </c>
      <c r="J530" s="27" t="str">
        <f t="shared" si="4"/>
        <v>18-Nov-2025</v>
      </c>
      <c r="K530" s="61" t="s">
        <v>2631</v>
      </c>
      <c r="L530" s="27" t="str">
        <f t="shared" si="5"/>
        <v>18-Nov-2025</v>
      </c>
      <c r="M530" s="63" t="s">
        <v>291</v>
      </c>
      <c r="N530" s="61" t="s">
        <v>2609</v>
      </c>
      <c r="O530" s="61" t="s">
        <v>590</v>
      </c>
      <c r="P530" s="61">
        <v>4.0</v>
      </c>
      <c r="Q530" s="66" t="s">
        <v>2632</v>
      </c>
      <c r="R530" s="27" t="str">
        <f>IFERROR(__xludf.DUMMYFUNCTION("IF(REGEXMATCH(N530, ""PRIORITY: Low""), ""Low"", IF(REGEXMATCH(N530, ""PRIORITY: Medium""), ""Medium"", IF(REGEXMATCH(N530, ""PRIORITY: High""), ""High"", """")))
"),"")</f>
        <v/>
      </c>
      <c r="S530" s="27" t="str">
        <f>IFERROR(__xludf.DUMMYFUNCTION("IF(REGEXMATCH(N530, ""SKILL: Low""), ""Low"", IF(REGEXMATCH(N530, ""SKILL: Medium""), ""Medium"", IF(REGEXMATCH(N530, ""SKILL: High""), ""High"", """")))"),"")</f>
        <v/>
      </c>
      <c r="T530" s="27" t="str">
        <f>IFERROR(__xludf.DUMMYFUNCTION("IF(REGEXMATCH(N530, ""STATUS: Dev Complete - Awaiting QA""), ""Dev Complete - Awaiting QA"", IF(REGEXMATCH(N530, ""STATUS: Follow-Up Required""), ""Follow-Up Required"", IF(REGEXMATCH(N530, ""STATUS: In Progress""), ""In Progress"", IF(REGEXMATCH(N530, """&amp;"STATUS: In QA""), ""In QA"", IF(REGEXMATCH(N530, ""STATUS: Needs Customer Feedback""), ""Needs Customer Feedback"", IF(REGEXMATCH(N530, ""STATUS: QA Passed - Awaiting Release""), ""QA Passed - Awaiting Release"", IF(REGEXMATCH(N530, ""STATUS: Release to P"&amp;"rod""), ""Release to Prod"", """")))))))"),"Follow-Up Required")</f>
        <v>Follow-Up Required</v>
      </c>
    </row>
    <row r="531" hidden="1">
      <c r="A531" s="61" t="s">
        <v>2546</v>
      </c>
      <c r="B531" s="12" t="s">
        <v>32</v>
      </c>
      <c r="C531" s="61">
        <v>190.0</v>
      </c>
      <c r="D531" s="62" t="s">
        <v>2633</v>
      </c>
      <c r="E531" s="56" t="s">
        <v>173</v>
      </c>
      <c r="F531" s="61" t="s">
        <v>2634</v>
      </c>
      <c r="G531" s="57" t="str">
        <f t="shared" si="1"/>
        <v>12-Sep-2025</v>
      </c>
      <c r="H531" s="61" t="s">
        <v>57</v>
      </c>
      <c r="I531" s="61" t="s">
        <v>2635</v>
      </c>
      <c r="J531" s="27" t="str">
        <f t="shared" si="4"/>
        <v>03-Oct-2025</v>
      </c>
      <c r="K531" s="61" t="s">
        <v>2636</v>
      </c>
      <c r="L531" s="27" t="str">
        <f t="shared" si="5"/>
        <v>03-Oct-2025</v>
      </c>
      <c r="M531" s="63" t="s">
        <v>291</v>
      </c>
      <c r="N531" s="61" t="s">
        <v>2609</v>
      </c>
      <c r="O531" s="61" t="s">
        <v>590</v>
      </c>
      <c r="P531" s="61">
        <v>5.0</v>
      </c>
      <c r="Q531" s="66" t="s">
        <v>2637</v>
      </c>
      <c r="R531" s="27" t="str">
        <f>IFERROR(__xludf.DUMMYFUNCTION("IF(REGEXMATCH(N531, ""PRIORITY: Low""), ""Low"", IF(REGEXMATCH(N531, ""PRIORITY: Medium""), ""Medium"", IF(REGEXMATCH(N531, ""PRIORITY: High""), ""High"", """")))
"),"")</f>
        <v/>
      </c>
      <c r="S531" s="27" t="str">
        <f>IFERROR(__xludf.DUMMYFUNCTION("IF(REGEXMATCH(N531, ""SKILL: Low""), ""Low"", IF(REGEXMATCH(N531, ""SKILL: Medium""), ""Medium"", IF(REGEXMATCH(N531, ""SKILL: High""), ""High"", """")))"),"")</f>
        <v/>
      </c>
      <c r="T531" s="27" t="str">
        <f>IFERROR(__xludf.DUMMYFUNCTION("IF(REGEXMATCH(N531, ""STATUS: Dev Complete - Awaiting QA""), ""Dev Complete - Awaiting QA"", IF(REGEXMATCH(N531, ""STATUS: Follow-Up Required""), ""Follow-Up Required"", IF(REGEXMATCH(N531, ""STATUS: In Progress""), ""In Progress"", IF(REGEXMATCH(N531, """&amp;"STATUS: In QA""), ""In QA"", IF(REGEXMATCH(N531, ""STATUS: Needs Customer Feedback""), ""Needs Customer Feedback"", IF(REGEXMATCH(N531, ""STATUS: QA Passed - Awaiting Release""), ""QA Passed - Awaiting Release"", IF(REGEXMATCH(N531, ""STATUS: Release to P"&amp;"rod""), ""Release to Prod"", """")))))))"),"Follow-Up Required")</f>
        <v>Follow-Up Required</v>
      </c>
    </row>
    <row r="532" hidden="1">
      <c r="A532" s="61" t="s">
        <v>2546</v>
      </c>
      <c r="B532" s="12" t="s">
        <v>32</v>
      </c>
      <c r="C532" s="61">
        <v>189.0</v>
      </c>
      <c r="D532" s="62" t="s">
        <v>2638</v>
      </c>
      <c r="E532" s="56" t="s">
        <v>173</v>
      </c>
      <c r="F532" s="61" t="s">
        <v>2639</v>
      </c>
      <c r="G532" s="57" t="str">
        <f t="shared" si="1"/>
        <v>12-Sep-2025</v>
      </c>
      <c r="H532" s="61" t="s">
        <v>57</v>
      </c>
      <c r="I532" s="61" t="s">
        <v>2640</v>
      </c>
      <c r="J532" s="27" t="str">
        <f t="shared" si="4"/>
        <v>03-Oct-2025</v>
      </c>
      <c r="K532" s="61" t="s">
        <v>2640</v>
      </c>
      <c r="L532" s="27" t="str">
        <f t="shared" si="5"/>
        <v>03-Oct-2025</v>
      </c>
      <c r="M532" s="63" t="s">
        <v>291</v>
      </c>
      <c r="N532" s="61" t="s">
        <v>2609</v>
      </c>
      <c r="O532" s="61" t="s">
        <v>590</v>
      </c>
      <c r="P532" s="61">
        <v>4.0</v>
      </c>
      <c r="Q532" s="66" t="s">
        <v>2641</v>
      </c>
      <c r="R532" s="27" t="str">
        <f>IFERROR(__xludf.DUMMYFUNCTION("IF(REGEXMATCH(N532, ""PRIORITY: Low""), ""Low"", IF(REGEXMATCH(N532, ""PRIORITY: Medium""), ""Medium"", IF(REGEXMATCH(N532, ""PRIORITY: High""), ""High"", """")))
"),"")</f>
        <v/>
      </c>
      <c r="S532" s="27" t="str">
        <f>IFERROR(__xludf.DUMMYFUNCTION("IF(REGEXMATCH(N532, ""SKILL: Low""), ""Low"", IF(REGEXMATCH(N532, ""SKILL: Medium""), ""Medium"", IF(REGEXMATCH(N532, ""SKILL: High""), ""High"", """")))"),"")</f>
        <v/>
      </c>
      <c r="T532" s="27" t="str">
        <f>IFERROR(__xludf.DUMMYFUNCTION("IF(REGEXMATCH(N532, ""STATUS: Dev Complete - Awaiting QA""), ""Dev Complete - Awaiting QA"", IF(REGEXMATCH(N532, ""STATUS: Follow-Up Required""), ""Follow-Up Required"", IF(REGEXMATCH(N532, ""STATUS: In Progress""), ""In Progress"", IF(REGEXMATCH(N532, """&amp;"STATUS: In QA""), ""In QA"", IF(REGEXMATCH(N532, ""STATUS: Needs Customer Feedback""), ""Needs Customer Feedback"", IF(REGEXMATCH(N532, ""STATUS: QA Passed - Awaiting Release""), ""QA Passed - Awaiting Release"", IF(REGEXMATCH(N532, ""STATUS: Release to P"&amp;"rod""), ""Release to Prod"", """")))))))"),"Follow-Up Required")</f>
        <v>Follow-Up Required</v>
      </c>
    </row>
    <row r="533" hidden="1">
      <c r="A533" s="61" t="s">
        <v>2546</v>
      </c>
      <c r="B533" s="12" t="s">
        <v>32</v>
      </c>
      <c r="C533" s="61">
        <v>188.0</v>
      </c>
      <c r="D533" s="62" t="s">
        <v>2642</v>
      </c>
      <c r="E533" s="56" t="s">
        <v>173</v>
      </c>
      <c r="F533" s="61" t="s">
        <v>2643</v>
      </c>
      <c r="G533" s="57" t="str">
        <f t="shared" si="1"/>
        <v>12-Sep-2025</v>
      </c>
      <c r="H533" s="61" t="s">
        <v>57</v>
      </c>
      <c r="I533" s="61" t="s">
        <v>2644</v>
      </c>
      <c r="J533" s="27" t="str">
        <f t="shared" si="4"/>
        <v>29-Sep-2025</v>
      </c>
      <c r="K533" s="61" t="s">
        <v>2644</v>
      </c>
      <c r="L533" s="27" t="str">
        <f t="shared" si="5"/>
        <v>29-Sep-2025</v>
      </c>
      <c r="M533" s="63" t="s">
        <v>291</v>
      </c>
      <c r="N533" s="61" t="s">
        <v>2604</v>
      </c>
      <c r="O533" s="61" t="s">
        <v>590</v>
      </c>
      <c r="P533" s="61">
        <v>2.0</v>
      </c>
      <c r="Q533" s="66" t="s">
        <v>2645</v>
      </c>
      <c r="R533" s="27" t="str">
        <f>IFERROR(__xludf.DUMMYFUNCTION("IF(REGEXMATCH(N533, ""PRIORITY: Low""), ""Low"", IF(REGEXMATCH(N533, ""PRIORITY: Medium""), ""Medium"", IF(REGEXMATCH(N533, ""PRIORITY: High""), ""High"", """")))
"),"")</f>
        <v/>
      </c>
      <c r="S533" s="27" t="str">
        <f>IFERROR(__xludf.DUMMYFUNCTION("IF(REGEXMATCH(N533, ""SKILL: Low""), ""Low"", IF(REGEXMATCH(N533, ""SKILL: Medium""), ""Medium"", IF(REGEXMATCH(N533, ""SKILL: High""), ""High"", """")))"),"")</f>
        <v/>
      </c>
      <c r="T533" s="27" t="str">
        <f>IFERROR(__xludf.DUMMYFUNCTION("IF(REGEXMATCH(N533, ""STATUS: Dev Complete - Awaiting QA""), ""Dev Complete - Awaiting QA"", IF(REGEXMATCH(N533, ""STATUS: Follow-Up Required""), ""Follow-Up Required"", IF(REGEXMATCH(N533, ""STATUS: In Progress""), ""In Progress"", IF(REGEXMATCH(N533, """&amp;"STATUS: In QA""), ""In QA"", IF(REGEXMATCH(N533, ""STATUS: Needs Customer Feedback""), ""Needs Customer Feedback"", IF(REGEXMATCH(N533, ""STATUS: QA Passed - Awaiting Release""), ""QA Passed - Awaiting Release"", IF(REGEXMATCH(N533, ""STATUS: Release to P"&amp;"rod""), ""Release to Prod"", """")))))))"),"")</f>
        <v/>
      </c>
    </row>
    <row r="534" hidden="1">
      <c r="A534" s="61" t="s">
        <v>2546</v>
      </c>
      <c r="B534" s="12" t="s">
        <v>32</v>
      </c>
      <c r="C534" s="61">
        <v>187.0</v>
      </c>
      <c r="D534" s="62" t="s">
        <v>2646</v>
      </c>
      <c r="E534" s="56" t="s">
        <v>173</v>
      </c>
      <c r="F534" s="61" t="s">
        <v>2647</v>
      </c>
      <c r="G534" s="57" t="str">
        <f t="shared" si="1"/>
        <v>12-Sep-2025</v>
      </c>
      <c r="H534" s="61" t="s">
        <v>57</v>
      </c>
      <c r="I534" s="61" t="s">
        <v>2648</v>
      </c>
      <c r="J534" s="27" t="str">
        <f t="shared" si="4"/>
        <v>24-Sep-2025</v>
      </c>
      <c r="K534" s="61" t="s">
        <v>2648</v>
      </c>
      <c r="L534" s="27" t="str">
        <f t="shared" si="5"/>
        <v>24-Sep-2025</v>
      </c>
      <c r="M534" s="63" t="s">
        <v>291</v>
      </c>
      <c r="N534" s="61" t="s">
        <v>177</v>
      </c>
      <c r="O534" s="61" t="s">
        <v>44</v>
      </c>
      <c r="P534" s="61">
        <v>2.0</v>
      </c>
      <c r="Q534" s="66" t="s">
        <v>2649</v>
      </c>
      <c r="R534" s="27" t="str">
        <f>IFERROR(__xludf.DUMMYFUNCTION("IF(REGEXMATCH(N534, ""PRIORITY: Low""), ""Low"", IF(REGEXMATCH(N534, ""PRIORITY: Medium""), ""Medium"", IF(REGEXMATCH(N534, ""PRIORITY: High""), ""High"", """")))
"),"")</f>
        <v/>
      </c>
      <c r="S534" s="27" t="str">
        <f>IFERROR(__xludf.DUMMYFUNCTION("IF(REGEXMATCH(N534, ""SKILL: Low""), ""Low"", IF(REGEXMATCH(N534, ""SKILL: Medium""), ""Medium"", IF(REGEXMATCH(N534, ""SKILL: High""), ""High"", """")))"),"")</f>
        <v/>
      </c>
      <c r="T534" s="27" t="str">
        <f>IFERROR(__xludf.DUMMYFUNCTION("IF(REGEXMATCH(N534, ""STATUS: Dev Complete - Awaiting QA""), ""Dev Complete - Awaiting QA"", IF(REGEXMATCH(N534, ""STATUS: Follow-Up Required""), ""Follow-Up Required"", IF(REGEXMATCH(N534, ""STATUS: In Progress""), ""In Progress"", IF(REGEXMATCH(N534, """&amp;"STATUS: In QA""), ""In QA"", IF(REGEXMATCH(N534, ""STATUS: Needs Customer Feedback""), ""Needs Customer Feedback"", IF(REGEXMATCH(N534, ""STATUS: QA Passed - Awaiting Release""), ""QA Passed - Awaiting Release"", IF(REGEXMATCH(N534, ""STATUS: Release to P"&amp;"rod""), ""Release to Prod"", """")))))))"),"")</f>
        <v/>
      </c>
    </row>
    <row r="535" hidden="1">
      <c r="A535" s="61" t="s">
        <v>2546</v>
      </c>
      <c r="B535" s="12" t="s">
        <v>32</v>
      </c>
      <c r="C535" s="61">
        <v>186.0</v>
      </c>
      <c r="D535" s="62" t="s">
        <v>2650</v>
      </c>
      <c r="E535" s="56" t="s">
        <v>173</v>
      </c>
      <c r="F535" s="61" t="s">
        <v>2651</v>
      </c>
      <c r="G535" s="57" t="str">
        <f t="shared" si="1"/>
        <v>12-Sep-2025</v>
      </c>
      <c r="H535" s="61" t="s">
        <v>57</v>
      </c>
      <c r="I535" s="61" t="s">
        <v>2652</v>
      </c>
      <c r="J535" s="27" t="str">
        <f t="shared" si="4"/>
        <v>18-Nov-2025</v>
      </c>
      <c r="K535" s="61" t="s">
        <v>2652</v>
      </c>
      <c r="L535" s="27" t="str">
        <f t="shared" si="5"/>
        <v>18-Nov-2025</v>
      </c>
      <c r="M535" s="63" t="s">
        <v>291</v>
      </c>
      <c r="N535" s="61" t="s">
        <v>2609</v>
      </c>
      <c r="O535" s="61" t="s">
        <v>590</v>
      </c>
      <c r="P535" s="61">
        <v>6.0</v>
      </c>
      <c r="Q535" s="66" t="s">
        <v>2653</v>
      </c>
      <c r="R535" s="27" t="str">
        <f>IFERROR(__xludf.DUMMYFUNCTION("IF(REGEXMATCH(N535, ""PRIORITY: Low""), ""Low"", IF(REGEXMATCH(N535, ""PRIORITY: Medium""), ""Medium"", IF(REGEXMATCH(N535, ""PRIORITY: High""), ""High"", """")))
"),"")</f>
        <v/>
      </c>
      <c r="S535" s="27" t="str">
        <f>IFERROR(__xludf.DUMMYFUNCTION("IF(REGEXMATCH(N535, ""SKILL: Low""), ""Low"", IF(REGEXMATCH(N535, ""SKILL: Medium""), ""Medium"", IF(REGEXMATCH(N535, ""SKILL: High""), ""High"", """")))"),"")</f>
        <v/>
      </c>
      <c r="T535" s="27" t="str">
        <f>IFERROR(__xludf.DUMMYFUNCTION("IF(REGEXMATCH(N535, ""STATUS: Dev Complete - Awaiting QA""), ""Dev Complete - Awaiting QA"", IF(REGEXMATCH(N535, ""STATUS: Follow-Up Required""), ""Follow-Up Required"", IF(REGEXMATCH(N535, ""STATUS: In Progress""), ""In Progress"", IF(REGEXMATCH(N535, """&amp;"STATUS: In QA""), ""In QA"", IF(REGEXMATCH(N535, ""STATUS: Needs Customer Feedback""), ""Needs Customer Feedback"", IF(REGEXMATCH(N535, ""STATUS: QA Passed - Awaiting Release""), ""QA Passed - Awaiting Release"", IF(REGEXMATCH(N535, ""STATUS: Release to P"&amp;"rod""), ""Release to Prod"", """")))))))"),"Follow-Up Required")</f>
        <v>Follow-Up Required</v>
      </c>
    </row>
    <row r="536" hidden="1">
      <c r="A536" s="61" t="s">
        <v>2546</v>
      </c>
      <c r="B536" s="12" t="s">
        <v>32</v>
      </c>
      <c r="C536" s="61">
        <v>185.0</v>
      </c>
      <c r="D536" s="62" t="s">
        <v>2654</v>
      </c>
      <c r="E536" s="56" t="s">
        <v>173</v>
      </c>
      <c r="F536" s="61" t="s">
        <v>2655</v>
      </c>
      <c r="G536" s="57" t="str">
        <f t="shared" si="1"/>
        <v>11-Sep-2025</v>
      </c>
      <c r="H536" s="61" t="s">
        <v>57</v>
      </c>
      <c r="I536" s="61" t="s">
        <v>2656</v>
      </c>
      <c r="J536" s="27" t="str">
        <f t="shared" si="4"/>
        <v>29-Sep-2025</v>
      </c>
      <c r="K536" s="61" t="s">
        <v>2656</v>
      </c>
      <c r="L536" s="27" t="str">
        <f t="shared" si="5"/>
        <v>29-Sep-2025</v>
      </c>
      <c r="M536" s="63" t="s">
        <v>291</v>
      </c>
      <c r="N536" s="61" t="s">
        <v>2604</v>
      </c>
      <c r="O536" s="61" t="s">
        <v>590</v>
      </c>
      <c r="P536" s="61">
        <v>2.0</v>
      </c>
      <c r="Q536" s="66" t="s">
        <v>2657</v>
      </c>
      <c r="R536" s="27" t="str">
        <f>IFERROR(__xludf.DUMMYFUNCTION("IF(REGEXMATCH(N536, ""PRIORITY: Low""), ""Low"", IF(REGEXMATCH(N536, ""PRIORITY: Medium""), ""Medium"", IF(REGEXMATCH(N536, ""PRIORITY: High""), ""High"", """")))
"),"")</f>
        <v/>
      </c>
      <c r="S536" s="27" t="str">
        <f>IFERROR(__xludf.DUMMYFUNCTION("IF(REGEXMATCH(N536, ""SKILL: Low""), ""Low"", IF(REGEXMATCH(N536, ""SKILL: Medium""), ""Medium"", IF(REGEXMATCH(N536, ""SKILL: High""), ""High"", """")))"),"")</f>
        <v/>
      </c>
      <c r="T536" s="27" t="str">
        <f>IFERROR(__xludf.DUMMYFUNCTION("IF(REGEXMATCH(N536, ""STATUS: Dev Complete - Awaiting QA""), ""Dev Complete - Awaiting QA"", IF(REGEXMATCH(N536, ""STATUS: Follow-Up Required""), ""Follow-Up Required"", IF(REGEXMATCH(N536, ""STATUS: In Progress""), ""In Progress"", IF(REGEXMATCH(N536, """&amp;"STATUS: In QA""), ""In QA"", IF(REGEXMATCH(N536, ""STATUS: Needs Customer Feedback""), ""Needs Customer Feedback"", IF(REGEXMATCH(N536, ""STATUS: QA Passed - Awaiting Release""), ""QA Passed - Awaiting Release"", IF(REGEXMATCH(N536, ""STATUS: Release to P"&amp;"rod""), ""Release to Prod"", """")))))))"),"")</f>
        <v/>
      </c>
    </row>
    <row r="537" hidden="1">
      <c r="A537" s="61" t="s">
        <v>2546</v>
      </c>
      <c r="B537" s="12" t="s">
        <v>32</v>
      </c>
      <c r="C537" s="61">
        <v>184.0</v>
      </c>
      <c r="D537" s="62" t="s">
        <v>2658</v>
      </c>
      <c r="E537" s="56" t="s">
        <v>173</v>
      </c>
      <c r="F537" s="61" t="s">
        <v>2659</v>
      </c>
      <c r="G537" s="57" t="str">
        <f t="shared" si="1"/>
        <v>11-Sep-2025</v>
      </c>
      <c r="H537" s="61" t="s">
        <v>57</v>
      </c>
      <c r="I537" s="61" t="s">
        <v>2660</v>
      </c>
      <c r="J537" s="27" t="str">
        <f t="shared" si="4"/>
        <v>29-Sep-2025</v>
      </c>
      <c r="K537" s="61" t="s">
        <v>2660</v>
      </c>
      <c r="L537" s="27" t="str">
        <f t="shared" si="5"/>
        <v>29-Sep-2025</v>
      </c>
      <c r="M537" s="63" t="s">
        <v>291</v>
      </c>
      <c r="N537" s="61" t="s">
        <v>2604</v>
      </c>
      <c r="O537" s="61" t="s">
        <v>590</v>
      </c>
      <c r="P537" s="61">
        <v>3.0</v>
      </c>
      <c r="Q537" s="66" t="s">
        <v>2661</v>
      </c>
      <c r="R537" s="27" t="str">
        <f>IFERROR(__xludf.DUMMYFUNCTION("IF(REGEXMATCH(N537, ""PRIORITY: Low""), ""Low"", IF(REGEXMATCH(N537, ""PRIORITY: Medium""), ""Medium"", IF(REGEXMATCH(N537, ""PRIORITY: High""), ""High"", """")))
"),"")</f>
        <v/>
      </c>
      <c r="S537" s="27" t="str">
        <f>IFERROR(__xludf.DUMMYFUNCTION("IF(REGEXMATCH(N537, ""SKILL: Low""), ""Low"", IF(REGEXMATCH(N537, ""SKILL: Medium""), ""Medium"", IF(REGEXMATCH(N537, ""SKILL: High""), ""High"", """")))"),"")</f>
        <v/>
      </c>
      <c r="T537" s="27" t="str">
        <f>IFERROR(__xludf.DUMMYFUNCTION("IF(REGEXMATCH(N537, ""STATUS: Dev Complete - Awaiting QA""), ""Dev Complete - Awaiting QA"", IF(REGEXMATCH(N537, ""STATUS: Follow-Up Required""), ""Follow-Up Required"", IF(REGEXMATCH(N537, ""STATUS: In Progress""), ""In Progress"", IF(REGEXMATCH(N537, """&amp;"STATUS: In QA""), ""In QA"", IF(REGEXMATCH(N537, ""STATUS: Needs Customer Feedback""), ""Needs Customer Feedback"", IF(REGEXMATCH(N537, ""STATUS: QA Passed - Awaiting Release""), ""QA Passed - Awaiting Release"", IF(REGEXMATCH(N537, ""STATUS: Release to P"&amp;"rod""), ""Release to Prod"", """")))))))"),"")</f>
        <v/>
      </c>
    </row>
    <row r="538" hidden="1">
      <c r="A538" s="61" t="s">
        <v>2546</v>
      </c>
      <c r="B538" s="12" t="s">
        <v>32</v>
      </c>
      <c r="C538" s="61">
        <v>183.0</v>
      </c>
      <c r="D538" s="62" t="s">
        <v>2662</v>
      </c>
      <c r="E538" s="56" t="s">
        <v>173</v>
      </c>
      <c r="F538" s="61" t="s">
        <v>2663</v>
      </c>
      <c r="G538" s="57" t="str">
        <f t="shared" si="1"/>
        <v>11-Sep-2025</v>
      </c>
      <c r="H538" s="61" t="s">
        <v>57</v>
      </c>
      <c r="I538" s="61" t="s">
        <v>2664</v>
      </c>
      <c r="J538" s="27" t="str">
        <f t="shared" si="4"/>
        <v>29-Sep-2025</v>
      </c>
      <c r="K538" s="61" t="s">
        <v>2664</v>
      </c>
      <c r="L538" s="27" t="str">
        <f t="shared" si="5"/>
        <v>29-Sep-2025</v>
      </c>
      <c r="M538" s="63" t="s">
        <v>291</v>
      </c>
      <c r="N538" s="61" t="s">
        <v>2604</v>
      </c>
      <c r="O538" s="61" t="s">
        <v>590</v>
      </c>
      <c r="P538" s="61">
        <v>3.0</v>
      </c>
      <c r="Q538" s="66" t="s">
        <v>2665</v>
      </c>
      <c r="R538" s="27" t="str">
        <f>IFERROR(__xludf.DUMMYFUNCTION("IF(REGEXMATCH(N538, ""PRIORITY: Low""), ""Low"", IF(REGEXMATCH(N538, ""PRIORITY: Medium""), ""Medium"", IF(REGEXMATCH(N538, ""PRIORITY: High""), ""High"", """")))
"),"")</f>
        <v/>
      </c>
      <c r="S538" s="27" t="str">
        <f>IFERROR(__xludf.DUMMYFUNCTION("IF(REGEXMATCH(N538, ""SKILL: Low""), ""Low"", IF(REGEXMATCH(N538, ""SKILL: Medium""), ""Medium"", IF(REGEXMATCH(N538, ""SKILL: High""), ""High"", """")))"),"")</f>
        <v/>
      </c>
      <c r="T538" s="27" t="str">
        <f>IFERROR(__xludf.DUMMYFUNCTION("IF(REGEXMATCH(N538, ""STATUS: Dev Complete - Awaiting QA""), ""Dev Complete - Awaiting QA"", IF(REGEXMATCH(N538, ""STATUS: Follow-Up Required""), ""Follow-Up Required"", IF(REGEXMATCH(N538, ""STATUS: In Progress""), ""In Progress"", IF(REGEXMATCH(N538, """&amp;"STATUS: In QA""), ""In QA"", IF(REGEXMATCH(N538, ""STATUS: Needs Customer Feedback""), ""Needs Customer Feedback"", IF(REGEXMATCH(N538, ""STATUS: QA Passed - Awaiting Release""), ""QA Passed - Awaiting Release"", IF(REGEXMATCH(N538, ""STATUS: Release to P"&amp;"rod""), ""Release to Prod"", """")))))))"),"")</f>
        <v/>
      </c>
    </row>
    <row r="539" hidden="1">
      <c r="A539" s="61" t="s">
        <v>2546</v>
      </c>
      <c r="B539" s="12" t="s">
        <v>32</v>
      </c>
      <c r="C539" s="61">
        <v>182.0</v>
      </c>
      <c r="D539" s="62" t="s">
        <v>2666</v>
      </c>
      <c r="E539" s="56" t="s">
        <v>173</v>
      </c>
      <c r="F539" s="61" t="s">
        <v>2667</v>
      </c>
      <c r="G539" s="57" t="str">
        <f t="shared" si="1"/>
        <v>11-Sep-2025</v>
      </c>
      <c r="H539" s="61" t="s">
        <v>57</v>
      </c>
      <c r="I539" s="61" t="s">
        <v>2668</v>
      </c>
      <c r="J539" s="27" t="str">
        <f t="shared" si="4"/>
        <v>29-Sep-2025</v>
      </c>
      <c r="K539" s="61" t="s">
        <v>2668</v>
      </c>
      <c r="L539" s="27" t="str">
        <f t="shared" si="5"/>
        <v>29-Sep-2025</v>
      </c>
      <c r="M539" s="63" t="s">
        <v>291</v>
      </c>
      <c r="N539" s="61" t="s">
        <v>2604</v>
      </c>
      <c r="O539" s="61" t="s">
        <v>590</v>
      </c>
      <c r="P539" s="61">
        <v>2.0</v>
      </c>
      <c r="Q539" s="66" t="s">
        <v>2669</v>
      </c>
      <c r="R539" s="27" t="str">
        <f>IFERROR(__xludf.DUMMYFUNCTION("IF(REGEXMATCH(N539, ""PRIORITY: Low""), ""Low"", IF(REGEXMATCH(N539, ""PRIORITY: Medium""), ""Medium"", IF(REGEXMATCH(N539, ""PRIORITY: High""), ""High"", """")))
"),"")</f>
        <v/>
      </c>
      <c r="S539" s="27" t="str">
        <f>IFERROR(__xludf.DUMMYFUNCTION("IF(REGEXMATCH(N539, ""SKILL: Low""), ""Low"", IF(REGEXMATCH(N539, ""SKILL: Medium""), ""Medium"", IF(REGEXMATCH(N539, ""SKILL: High""), ""High"", """")))"),"")</f>
        <v/>
      </c>
      <c r="T539" s="27" t="str">
        <f>IFERROR(__xludf.DUMMYFUNCTION("IF(REGEXMATCH(N539, ""STATUS: Dev Complete - Awaiting QA""), ""Dev Complete - Awaiting QA"", IF(REGEXMATCH(N539, ""STATUS: Follow-Up Required""), ""Follow-Up Required"", IF(REGEXMATCH(N539, ""STATUS: In Progress""), ""In Progress"", IF(REGEXMATCH(N539, """&amp;"STATUS: In QA""), ""In QA"", IF(REGEXMATCH(N539, ""STATUS: Needs Customer Feedback""), ""Needs Customer Feedback"", IF(REGEXMATCH(N539, ""STATUS: QA Passed - Awaiting Release""), ""QA Passed - Awaiting Release"", IF(REGEXMATCH(N539, ""STATUS: Release to P"&amp;"rod""), ""Release to Prod"", """")))))))"),"")</f>
        <v/>
      </c>
    </row>
    <row r="540">
      <c r="A540" s="61" t="s">
        <v>2546</v>
      </c>
      <c r="B540" s="12" t="s">
        <v>32</v>
      </c>
      <c r="C540" s="61">
        <v>181.0</v>
      </c>
      <c r="D540" s="62" t="s">
        <v>2670</v>
      </c>
      <c r="E540" s="56" t="s">
        <v>246</v>
      </c>
      <c r="F540" s="61" t="s">
        <v>2671</v>
      </c>
      <c r="G540" s="57" t="str">
        <f t="shared" si="1"/>
        <v>11-Sep-2025</v>
      </c>
      <c r="H540" s="61" t="s">
        <v>57</v>
      </c>
      <c r="I540" s="61" t="s">
        <v>2672</v>
      </c>
      <c r="J540" s="27" t="str">
        <f t="shared" si="4"/>
        <v>21-Nov-2025</v>
      </c>
      <c r="K540" s="27"/>
      <c r="L540" s="27" t="str">
        <f t="shared" si="5"/>
        <v/>
      </c>
      <c r="M540" s="63" t="s">
        <v>291</v>
      </c>
      <c r="N540" s="61" t="s">
        <v>2595</v>
      </c>
      <c r="O540" s="67" t="s">
        <v>44</v>
      </c>
      <c r="P540" s="61">
        <v>4.0</v>
      </c>
      <c r="Q540" s="66" t="s">
        <v>2673</v>
      </c>
      <c r="R540" s="27" t="str">
        <f>IFERROR(__xludf.DUMMYFUNCTION("IF(REGEXMATCH(N540, ""PRIORITY: Low""), ""Low"", IF(REGEXMATCH(N540, ""PRIORITY: Medium""), ""Medium"", IF(REGEXMATCH(N540, ""PRIORITY: High""), ""High"", """")))
"),"Medium")</f>
        <v>Medium</v>
      </c>
      <c r="S540" s="27" t="str">
        <f>IFERROR(__xludf.DUMMYFUNCTION("IF(REGEXMATCH(N540, ""SKILL: Low""), ""Low"", IF(REGEXMATCH(N540, ""SKILL: Medium""), ""Medium"", IF(REGEXMATCH(N540, ""SKILL: High""), ""High"", """")))"),"Medium")</f>
        <v>Medium</v>
      </c>
      <c r="T540" s="27" t="str">
        <f>IFERROR(__xludf.DUMMYFUNCTION("IF(REGEXMATCH(N540, ""STATUS: Dev Complete - Awaiting QA""), ""Dev Complete - Awaiting QA"", IF(REGEXMATCH(N540, ""STATUS: Follow-Up Required""), ""Follow-Up Required"", IF(REGEXMATCH(N540, ""STATUS: In Progress""), ""In Progress"", IF(REGEXMATCH(N540, """&amp;"STATUS: In QA""), ""In QA"", IF(REGEXMATCH(N540, ""STATUS: Needs Customer Feedback""), ""Needs Customer Feedback"", IF(REGEXMATCH(N540, ""STATUS: QA Passed - Awaiting Release""), ""QA Passed - Awaiting Release"", IF(REGEXMATCH(N540, ""STATUS: Release to P"&amp;"rod""), ""Release to Prod"", """")))))))"),"Follow-Up Required")</f>
        <v>Follow-Up Required</v>
      </c>
    </row>
    <row r="541" hidden="1">
      <c r="A541" s="61" t="s">
        <v>2546</v>
      </c>
      <c r="B541" s="12" t="s">
        <v>32</v>
      </c>
      <c r="C541" s="61">
        <v>180.0</v>
      </c>
      <c r="D541" s="62" t="s">
        <v>2674</v>
      </c>
      <c r="E541" s="56" t="s">
        <v>173</v>
      </c>
      <c r="F541" s="61" t="s">
        <v>2675</v>
      </c>
      <c r="G541" s="57" t="str">
        <f t="shared" si="1"/>
        <v>11-Sep-2025</v>
      </c>
      <c r="H541" s="61" t="s">
        <v>57</v>
      </c>
      <c r="I541" s="61" t="s">
        <v>2676</v>
      </c>
      <c r="J541" s="27" t="str">
        <f t="shared" si="4"/>
        <v>29-Sep-2025</v>
      </c>
      <c r="K541" s="61" t="s">
        <v>2677</v>
      </c>
      <c r="L541" s="27" t="str">
        <f t="shared" si="5"/>
        <v>29-Sep-2025</v>
      </c>
      <c r="M541" s="63" t="s">
        <v>291</v>
      </c>
      <c r="N541" s="61" t="s">
        <v>2604</v>
      </c>
      <c r="O541" s="61" t="s">
        <v>590</v>
      </c>
      <c r="P541" s="61">
        <v>2.0</v>
      </c>
      <c r="Q541" s="66" t="s">
        <v>2678</v>
      </c>
      <c r="R541" s="27" t="str">
        <f>IFERROR(__xludf.DUMMYFUNCTION("IF(REGEXMATCH(N541, ""PRIORITY: Low""), ""Low"", IF(REGEXMATCH(N541, ""PRIORITY: Medium""), ""Medium"", IF(REGEXMATCH(N541, ""PRIORITY: High""), ""High"", """")))
"),"")</f>
        <v/>
      </c>
      <c r="S541" s="27" t="str">
        <f>IFERROR(__xludf.DUMMYFUNCTION("IF(REGEXMATCH(N541, ""SKILL: Low""), ""Low"", IF(REGEXMATCH(N541, ""SKILL: Medium""), ""Medium"", IF(REGEXMATCH(N541, ""SKILL: High""), ""High"", """")))"),"")</f>
        <v/>
      </c>
      <c r="T541" s="27" t="str">
        <f>IFERROR(__xludf.DUMMYFUNCTION("IF(REGEXMATCH(N541, ""STATUS: Dev Complete - Awaiting QA""), ""Dev Complete - Awaiting QA"", IF(REGEXMATCH(N541, ""STATUS: Follow-Up Required""), ""Follow-Up Required"", IF(REGEXMATCH(N541, ""STATUS: In Progress""), ""In Progress"", IF(REGEXMATCH(N541, """&amp;"STATUS: In QA""), ""In QA"", IF(REGEXMATCH(N541, ""STATUS: Needs Customer Feedback""), ""Needs Customer Feedback"", IF(REGEXMATCH(N541, ""STATUS: QA Passed - Awaiting Release""), ""QA Passed - Awaiting Release"", IF(REGEXMATCH(N541, ""STATUS: Release to P"&amp;"rod""), ""Release to Prod"", """")))))))"),"")</f>
        <v/>
      </c>
    </row>
    <row r="542" hidden="1">
      <c r="A542" s="61" t="s">
        <v>2546</v>
      </c>
      <c r="B542" s="12" t="s">
        <v>32</v>
      </c>
      <c r="C542" s="61">
        <v>179.0</v>
      </c>
      <c r="D542" s="62" t="s">
        <v>2679</v>
      </c>
      <c r="E542" s="56" t="s">
        <v>173</v>
      </c>
      <c r="F542" s="61" t="s">
        <v>2680</v>
      </c>
      <c r="G542" s="57" t="str">
        <f t="shared" si="1"/>
        <v>11-Sep-2025</v>
      </c>
      <c r="H542" s="61" t="s">
        <v>57</v>
      </c>
      <c r="I542" s="61" t="s">
        <v>2681</v>
      </c>
      <c r="J542" s="27" t="str">
        <f t="shared" si="4"/>
        <v>29-Sep-2025</v>
      </c>
      <c r="K542" s="61" t="s">
        <v>2682</v>
      </c>
      <c r="L542" s="27" t="str">
        <f t="shared" si="5"/>
        <v>29-Sep-2025</v>
      </c>
      <c r="M542" s="63" t="s">
        <v>291</v>
      </c>
      <c r="N542" s="61" t="s">
        <v>2604</v>
      </c>
      <c r="O542" s="61" t="s">
        <v>590</v>
      </c>
      <c r="P542" s="61">
        <v>2.0</v>
      </c>
      <c r="Q542" s="66" t="s">
        <v>2683</v>
      </c>
      <c r="R542" s="27" t="str">
        <f>IFERROR(__xludf.DUMMYFUNCTION("IF(REGEXMATCH(N542, ""PRIORITY: Low""), ""Low"", IF(REGEXMATCH(N542, ""PRIORITY: Medium""), ""Medium"", IF(REGEXMATCH(N542, ""PRIORITY: High""), ""High"", """")))
"),"")</f>
        <v/>
      </c>
      <c r="S542" s="27" t="str">
        <f>IFERROR(__xludf.DUMMYFUNCTION("IF(REGEXMATCH(N542, ""SKILL: Low""), ""Low"", IF(REGEXMATCH(N542, ""SKILL: Medium""), ""Medium"", IF(REGEXMATCH(N542, ""SKILL: High""), ""High"", """")))"),"")</f>
        <v/>
      </c>
      <c r="T542" s="27" t="str">
        <f>IFERROR(__xludf.DUMMYFUNCTION("IF(REGEXMATCH(N542, ""STATUS: Dev Complete - Awaiting QA""), ""Dev Complete - Awaiting QA"", IF(REGEXMATCH(N542, ""STATUS: Follow-Up Required""), ""Follow-Up Required"", IF(REGEXMATCH(N542, ""STATUS: In Progress""), ""In Progress"", IF(REGEXMATCH(N542, """&amp;"STATUS: In QA""), ""In QA"", IF(REGEXMATCH(N542, ""STATUS: Needs Customer Feedback""), ""Needs Customer Feedback"", IF(REGEXMATCH(N542, ""STATUS: QA Passed - Awaiting Release""), ""QA Passed - Awaiting Release"", IF(REGEXMATCH(N542, ""STATUS: Release to P"&amp;"rod""), ""Release to Prod"", """")))))))"),"")</f>
        <v/>
      </c>
    </row>
    <row r="543" hidden="1">
      <c r="A543" s="61" t="s">
        <v>2546</v>
      </c>
      <c r="B543" s="12" t="s">
        <v>32</v>
      </c>
      <c r="C543" s="61">
        <v>178.0</v>
      </c>
      <c r="D543" s="62" t="s">
        <v>2684</v>
      </c>
      <c r="E543" s="56" t="s">
        <v>173</v>
      </c>
      <c r="F543" s="61" t="s">
        <v>2685</v>
      </c>
      <c r="G543" s="57" t="str">
        <f t="shared" si="1"/>
        <v>11-Sep-2025</v>
      </c>
      <c r="H543" s="61" t="s">
        <v>57</v>
      </c>
      <c r="I543" s="61" t="s">
        <v>2686</v>
      </c>
      <c r="J543" s="27" t="str">
        <f t="shared" si="4"/>
        <v>29-Sep-2025</v>
      </c>
      <c r="K543" s="61" t="s">
        <v>2686</v>
      </c>
      <c r="L543" s="27" t="str">
        <f t="shared" si="5"/>
        <v>29-Sep-2025</v>
      </c>
      <c r="M543" s="63" t="s">
        <v>291</v>
      </c>
      <c r="N543" s="61" t="s">
        <v>2604</v>
      </c>
      <c r="O543" s="61" t="s">
        <v>590</v>
      </c>
      <c r="P543" s="61">
        <v>2.0</v>
      </c>
      <c r="Q543" s="66" t="s">
        <v>2687</v>
      </c>
      <c r="R543" s="27" t="str">
        <f>IFERROR(__xludf.DUMMYFUNCTION("IF(REGEXMATCH(N543, ""PRIORITY: Low""), ""Low"", IF(REGEXMATCH(N543, ""PRIORITY: Medium""), ""Medium"", IF(REGEXMATCH(N543, ""PRIORITY: High""), ""High"", """")))
"),"")</f>
        <v/>
      </c>
      <c r="S543" s="27" t="str">
        <f>IFERROR(__xludf.DUMMYFUNCTION("IF(REGEXMATCH(N543, ""SKILL: Low""), ""Low"", IF(REGEXMATCH(N543, ""SKILL: Medium""), ""Medium"", IF(REGEXMATCH(N543, ""SKILL: High""), ""High"", """")))"),"")</f>
        <v/>
      </c>
      <c r="T543" s="27" t="str">
        <f>IFERROR(__xludf.DUMMYFUNCTION("IF(REGEXMATCH(N543, ""STATUS: Dev Complete - Awaiting QA""), ""Dev Complete - Awaiting QA"", IF(REGEXMATCH(N543, ""STATUS: Follow-Up Required""), ""Follow-Up Required"", IF(REGEXMATCH(N543, ""STATUS: In Progress""), ""In Progress"", IF(REGEXMATCH(N543, """&amp;"STATUS: In QA""), ""In QA"", IF(REGEXMATCH(N543, ""STATUS: Needs Customer Feedback""), ""Needs Customer Feedback"", IF(REGEXMATCH(N543, ""STATUS: QA Passed - Awaiting Release""), ""QA Passed - Awaiting Release"", IF(REGEXMATCH(N543, ""STATUS: Release to P"&amp;"rod""), ""Release to Prod"", """")))))))"),"")</f>
        <v/>
      </c>
    </row>
    <row r="544" hidden="1">
      <c r="A544" s="61" t="s">
        <v>2546</v>
      </c>
      <c r="B544" s="12" t="s">
        <v>32</v>
      </c>
      <c r="C544" s="61">
        <v>177.0</v>
      </c>
      <c r="D544" s="62" t="s">
        <v>2688</v>
      </c>
      <c r="E544" s="56" t="s">
        <v>173</v>
      </c>
      <c r="F544" s="61" t="s">
        <v>2689</v>
      </c>
      <c r="G544" s="57" t="str">
        <f t="shared" si="1"/>
        <v>11-Sep-2025</v>
      </c>
      <c r="H544" s="61" t="s">
        <v>57</v>
      </c>
      <c r="I544" s="61" t="s">
        <v>2690</v>
      </c>
      <c r="J544" s="27" t="str">
        <f t="shared" si="4"/>
        <v>18-Nov-2025</v>
      </c>
      <c r="K544" s="61" t="s">
        <v>2690</v>
      </c>
      <c r="L544" s="27" t="str">
        <f t="shared" si="5"/>
        <v>18-Nov-2025</v>
      </c>
      <c r="M544" s="63" t="s">
        <v>291</v>
      </c>
      <c r="N544" s="61" t="s">
        <v>2609</v>
      </c>
      <c r="O544" s="61" t="s">
        <v>44</v>
      </c>
      <c r="P544" s="61">
        <v>1.0</v>
      </c>
      <c r="Q544" s="66" t="s">
        <v>2691</v>
      </c>
      <c r="R544" s="27" t="str">
        <f>IFERROR(__xludf.DUMMYFUNCTION("IF(REGEXMATCH(N544, ""PRIORITY: Low""), ""Low"", IF(REGEXMATCH(N544, ""PRIORITY: Medium""), ""Medium"", IF(REGEXMATCH(N544, ""PRIORITY: High""), ""High"", """")))
"),"")</f>
        <v/>
      </c>
      <c r="S544" s="27" t="str">
        <f>IFERROR(__xludf.DUMMYFUNCTION("IF(REGEXMATCH(N544, ""SKILL: Low""), ""Low"", IF(REGEXMATCH(N544, ""SKILL: Medium""), ""Medium"", IF(REGEXMATCH(N544, ""SKILL: High""), ""High"", """")))"),"")</f>
        <v/>
      </c>
      <c r="T544" s="27" t="str">
        <f>IFERROR(__xludf.DUMMYFUNCTION("IF(REGEXMATCH(N544, ""STATUS: Dev Complete - Awaiting QA""), ""Dev Complete - Awaiting QA"", IF(REGEXMATCH(N544, ""STATUS: Follow-Up Required""), ""Follow-Up Required"", IF(REGEXMATCH(N544, ""STATUS: In Progress""), ""In Progress"", IF(REGEXMATCH(N544, """&amp;"STATUS: In QA""), ""In QA"", IF(REGEXMATCH(N544, ""STATUS: Needs Customer Feedback""), ""Needs Customer Feedback"", IF(REGEXMATCH(N544, ""STATUS: QA Passed - Awaiting Release""), ""QA Passed - Awaiting Release"", IF(REGEXMATCH(N544, ""STATUS: Release to P"&amp;"rod""), ""Release to Prod"", """")))))))"),"Follow-Up Required")</f>
        <v>Follow-Up Required</v>
      </c>
    </row>
    <row r="545" hidden="1">
      <c r="A545" s="61" t="s">
        <v>2546</v>
      </c>
      <c r="B545" s="12" t="s">
        <v>32</v>
      </c>
      <c r="C545" s="61">
        <v>176.0</v>
      </c>
      <c r="D545" s="62" t="s">
        <v>2692</v>
      </c>
      <c r="E545" s="56" t="s">
        <v>173</v>
      </c>
      <c r="F545" s="61" t="s">
        <v>2693</v>
      </c>
      <c r="G545" s="57" t="str">
        <f t="shared" si="1"/>
        <v>11-Sep-2025</v>
      </c>
      <c r="H545" s="61" t="s">
        <v>57</v>
      </c>
      <c r="I545" s="61" t="s">
        <v>2694</v>
      </c>
      <c r="J545" s="27" t="str">
        <f t="shared" si="4"/>
        <v>25-Sep-2025</v>
      </c>
      <c r="K545" s="61" t="s">
        <v>2694</v>
      </c>
      <c r="L545" s="27" t="str">
        <f t="shared" si="5"/>
        <v>25-Sep-2025</v>
      </c>
      <c r="M545" s="63" t="s">
        <v>291</v>
      </c>
      <c r="N545" s="61" t="s">
        <v>2609</v>
      </c>
      <c r="O545" s="61" t="s">
        <v>41</v>
      </c>
      <c r="P545" s="61">
        <v>2.0</v>
      </c>
      <c r="Q545" s="66" t="s">
        <v>2695</v>
      </c>
      <c r="R545" s="27" t="str">
        <f>IFERROR(__xludf.DUMMYFUNCTION("IF(REGEXMATCH(N545, ""PRIORITY: Low""), ""Low"", IF(REGEXMATCH(N545, ""PRIORITY: Medium""), ""Medium"", IF(REGEXMATCH(N545, ""PRIORITY: High""), ""High"", """")))
"),"")</f>
        <v/>
      </c>
      <c r="S545" s="27" t="str">
        <f>IFERROR(__xludf.DUMMYFUNCTION("IF(REGEXMATCH(N545, ""SKILL: Low""), ""Low"", IF(REGEXMATCH(N545, ""SKILL: Medium""), ""Medium"", IF(REGEXMATCH(N545, ""SKILL: High""), ""High"", """")))"),"")</f>
        <v/>
      </c>
      <c r="T545" s="27" t="str">
        <f>IFERROR(__xludf.DUMMYFUNCTION("IF(REGEXMATCH(N545, ""STATUS: Dev Complete - Awaiting QA""), ""Dev Complete - Awaiting QA"", IF(REGEXMATCH(N545, ""STATUS: Follow-Up Required""), ""Follow-Up Required"", IF(REGEXMATCH(N545, ""STATUS: In Progress""), ""In Progress"", IF(REGEXMATCH(N545, """&amp;"STATUS: In QA""), ""In QA"", IF(REGEXMATCH(N545, ""STATUS: Needs Customer Feedback""), ""Needs Customer Feedback"", IF(REGEXMATCH(N545, ""STATUS: QA Passed - Awaiting Release""), ""QA Passed - Awaiting Release"", IF(REGEXMATCH(N545, ""STATUS: Release to P"&amp;"rod""), ""Release to Prod"", """")))))))"),"Follow-Up Required")</f>
        <v>Follow-Up Required</v>
      </c>
    </row>
    <row r="546">
      <c r="A546" s="61" t="s">
        <v>2546</v>
      </c>
      <c r="B546" s="12" t="s">
        <v>32</v>
      </c>
      <c r="C546" s="61">
        <v>175.0</v>
      </c>
      <c r="D546" s="62" t="s">
        <v>2696</v>
      </c>
      <c r="E546" s="56" t="s">
        <v>246</v>
      </c>
      <c r="F546" s="61" t="s">
        <v>2697</v>
      </c>
      <c r="G546" s="57" t="str">
        <f t="shared" si="1"/>
        <v>11-Sep-2025</v>
      </c>
      <c r="H546" s="61" t="s">
        <v>57</v>
      </c>
      <c r="I546" s="61" t="s">
        <v>2698</v>
      </c>
      <c r="J546" s="27" t="str">
        <f t="shared" si="4"/>
        <v>25-Sep-2025</v>
      </c>
      <c r="K546" s="27"/>
      <c r="L546" s="27" t="str">
        <f t="shared" si="5"/>
        <v/>
      </c>
      <c r="M546" s="63" t="s">
        <v>291</v>
      </c>
      <c r="N546" s="61" t="s">
        <v>2586</v>
      </c>
      <c r="O546" s="67" t="s">
        <v>41</v>
      </c>
      <c r="P546" s="61">
        <v>2.0</v>
      </c>
      <c r="Q546" s="66" t="s">
        <v>2699</v>
      </c>
      <c r="R546" s="27" t="str">
        <f>IFERROR(__xludf.DUMMYFUNCTION("IF(REGEXMATCH(N546, ""PRIORITY: Low""), ""Low"", IF(REGEXMATCH(N546, ""PRIORITY: Medium""), ""Medium"", IF(REGEXMATCH(N546, ""PRIORITY: High""), ""High"", """")))
"),"")</f>
        <v/>
      </c>
      <c r="S546" s="27" t="str">
        <f>IFERROR(__xludf.DUMMYFUNCTION("IF(REGEXMATCH(N546, ""SKILL: Low""), ""Low"", IF(REGEXMATCH(N546, ""SKILL: Medium""), ""Medium"", IF(REGEXMATCH(N546, ""SKILL: High""), ""High"", """")))"),"")</f>
        <v/>
      </c>
      <c r="T546" s="27" t="str">
        <f>IFERROR(__xludf.DUMMYFUNCTION("IF(REGEXMATCH(N546, ""STATUS: Dev Complete - Awaiting QA""), ""Dev Complete - Awaiting QA"", IF(REGEXMATCH(N546, ""STATUS: Follow-Up Required""), ""Follow-Up Required"", IF(REGEXMATCH(N546, ""STATUS: In Progress""), ""In Progress"", IF(REGEXMATCH(N546, """&amp;"STATUS: In QA""), ""In QA"", IF(REGEXMATCH(N546, ""STATUS: Needs Customer Feedback""), ""Needs Customer Feedback"", IF(REGEXMATCH(N546, ""STATUS: QA Passed - Awaiting Release""), ""QA Passed - Awaiting Release"", IF(REGEXMATCH(N546, ""STATUS: Release to P"&amp;"rod""), ""Release to Prod"", """")))))))"),"In Progress")</f>
        <v>In Progress</v>
      </c>
    </row>
    <row r="547">
      <c r="A547" s="61" t="s">
        <v>2546</v>
      </c>
      <c r="B547" s="12" t="s">
        <v>32</v>
      </c>
      <c r="C547" s="61">
        <v>174.0</v>
      </c>
      <c r="D547" s="62" t="s">
        <v>2700</v>
      </c>
      <c r="E547" s="56" t="s">
        <v>246</v>
      </c>
      <c r="F547" s="61" t="s">
        <v>2701</v>
      </c>
      <c r="G547" s="57" t="str">
        <f t="shared" si="1"/>
        <v>11-Sep-2025</v>
      </c>
      <c r="H547" s="61" t="s">
        <v>57</v>
      </c>
      <c r="I547" s="61" t="s">
        <v>2702</v>
      </c>
      <c r="J547" s="27" t="str">
        <f t="shared" si="4"/>
        <v>20-Oct-2025</v>
      </c>
      <c r="K547" s="27"/>
      <c r="L547" s="27" t="str">
        <f t="shared" si="5"/>
        <v/>
      </c>
      <c r="M547" s="63" t="s">
        <v>291</v>
      </c>
      <c r="N547" s="61" t="s">
        <v>2703</v>
      </c>
      <c r="O547" s="67" t="s">
        <v>2555</v>
      </c>
      <c r="P547" s="61">
        <v>4.0</v>
      </c>
      <c r="Q547" s="66" t="s">
        <v>2704</v>
      </c>
      <c r="R547" s="27" t="str">
        <f>IFERROR(__xludf.DUMMYFUNCTION("IF(REGEXMATCH(N547, ""PRIORITY: Low""), ""Low"", IF(REGEXMATCH(N547, ""PRIORITY: Medium""), ""Medium"", IF(REGEXMATCH(N547, ""PRIORITY: High""), ""High"", """")))
"),"Medium")</f>
        <v>Medium</v>
      </c>
      <c r="S547" s="27" t="str">
        <f>IFERROR(__xludf.DUMMYFUNCTION("IF(REGEXMATCH(N547, ""SKILL: Low""), ""Low"", IF(REGEXMATCH(N547, ""SKILL: Medium""), ""Medium"", IF(REGEXMATCH(N547, ""SKILL: High""), ""High"", """")))"),"")</f>
        <v/>
      </c>
      <c r="T547" s="27" t="str">
        <f>IFERROR(__xludf.DUMMYFUNCTION("IF(REGEXMATCH(N547, ""STATUS: Dev Complete - Awaiting QA""), ""Dev Complete - Awaiting QA"", IF(REGEXMATCH(N547, ""STATUS: Follow-Up Required""), ""Follow-Up Required"", IF(REGEXMATCH(N547, ""STATUS: In Progress""), ""In Progress"", IF(REGEXMATCH(N547, """&amp;"STATUS: In QA""), ""In QA"", IF(REGEXMATCH(N547, ""STATUS: Needs Customer Feedback""), ""Needs Customer Feedback"", IF(REGEXMATCH(N547, ""STATUS: QA Passed - Awaiting Release""), ""QA Passed - Awaiting Release"", IF(REGEXMATCH(N547, ""STATUS: Release to P"&amp;"rod""), ""Release to Prod"", """")))))))"),"In Progress")</f>
        <v>In Progress</v>
      </c>
    </row>
    <row r="548">
      <c r="A548" s="61" t="s">
        <v>2546</v>
      </c>
      <c r="B548" s="12" t="s">
        <v>32</v>
      </c>
      <c r="C548" s="61">
        <v>173.0</v>
      </c>
      <c r="D548" s="62" t="s">
        <v>2705</v>
      </c>
      <c r="E548" s="56" t="s">
        <v>246</v>
      </c>
      <c r="F548" s="61" t="s">
        <v>2706</v>
      </c>
      <c r="G548" s="57" t="str">
        <f t="shared" si="1"/>
        <v>11-Sep-2025</v>
      </c>
      <c r="H548" s="61" t="s">
        <v>57</v>
      </c>
      <c r="I548" s="61" t="s">
        <v>2707</v>
      </c>
      <c r="J548" s="27" t="str">
        <f t="shared" si="4"/>
        <v>22-Nov-2025</v>
      </c>
      <c r="K548" s="27"/>
      <c r="L548" s="27" t="str">
        <f t="shared" si="5"/>
        <v/>
      </c>
      <c r="M548" s="63" t="s">
        <v>291</v>
      </c>
      <c r="N548" s="61" t="s">
        <v>1628</v>
      </c>
      <c r="O548" s="67" t="s">
        <v>51</v>
      </c>
      <c r="P548" s="61">
        <v>3.0</v>
      </c>
      <c r="Q548" s="66" t="s">
        <v>2708</v>
      </c>
      <c r="R548" s="27" t="str">
        <f>IFERROR(__xludf.DUMMYFUNCTION("IF(REGEXMATCH(N548, ""PRIORITY: Low""), ""Low"", IF(REGEXMATCH(N548, ""PRIORITY: Medium""), ""Medium"", IF(REGEXMATCH(N548, ""PRIORITY: High""), ""High"", """")))
"),"Low")</f>
        <v>Low</v>
      </c>
      <c r="S548" s="27" t="str">
        <f>IFERROR(__xludf.DUMMYFUNCTION("IF(REGEXMATCH(N548, ""SKILL: Low""), ""Low"", IF(REGEXMATCH(N548, ""SKILL: Medium""), ""Medium"", IF(REGEXMATCH(N548, ""SKILL: High""), ""High"", """")))"),"Medium")</f>
        <v>Medium</v>
      </c>
      <c r="T548" s="27" t="str">
        <f>IFERROR(__xludf.DUMMYFUNCTION("IF(REGEXMATCH(N548, ""STATUS: Dev Complete - Awaiting QA""), ""Dev Complete - Awaiting QA"", IF(REGEXMATCH(N548, ""STATUS: Follow-Up Required""), ""Follow-Up Required"", IF(REGEXMATCH(N548, ""STATUS: In Progress""), ""In Progress"", IF(REGEXMATCH(N548, """&amp;"STATUS: In QA""), ""In QA"", IF(REGEXMATCH(N548, ""STATUS: Needs Customer Feedback""), ""Needs Customer Feedback"", IF(REGEXMATCH(N548, ""STATUS: QA Passed - Awaiting Release""), ""QA Passed - Awaiting Release"", IF(REGEXMATCH(N548, ""STATUS: Release to P"&amp;"rod""), ""Release to Prod"", """")))))))"),"In Progress")</f>
        <v>In Progress</v>
      </c>
    </row>
    <row r="549">
      <c r="A549" s="61" t="s">
        <v>2546</v>
      </c>
      <c r="B549" s="12" t="s">
        <v>32</v>
      </c>
      <c r="C549" s="61">
        <v>172.0</v>
      </c>
      <c r="D549" s="62" t="s">
        <v>2709</v>
      </c>
      <c r="E549" s="56" t="s">
        <v>246</v>
      </c>
      <c r="F549" s="61" t="s">
        <v>2710</v>
      </c>
      <c r="G549" s="57" t="str">
        <f t="shared" si="1"/>
        <v>11-Sep-2025</v>
      </c>
      <c r="H549" s="61" t="s">
        <v>57</v>
      </c>
      <c r="I549" s="61" t="s">
        <v>2711</v>
      </c>
      <c r="J549" s="27" t="str">
        <f t="shared" si="4"/>
        <v>18-Nov-2025</v>
      </c>
      <c r="K549" s="27"/>
      <c r="L549" s="27" t="str">
        <f t="shared" si="5"/>
        <v/>
      </c>
      <c r="M549" s="63" t="s">
        <v>291</v>
      </c>
      <c r="N549" s="61" t="s">
        <v>2198</v>
      </c>
      <c r="O549" s="67" t="s">
        <v>51</v>
      </c>
      <c r="P549" s="61">
        <v>2.0</v>
      </c>
      <c r="Q549" s="66" t="s">
        <v>2712</v>
      </c>
      <c r="R549" s="27" t="str">
        <f>IFERROR(__xludf.DUMMYFUNCTION("IF(REGEXMATCH(N549, ""PRIORITY: Low""), ""Low"", IF(REGEXMATCH(N549, ""PRIORITY: Medium""), ""Medium"", IF(REGEXMATCH(N549, ""PRIORITY: High""), ""High"", """")))
"),"Low")</f>
        <v>Low</v>
      </c>
      <c r="S549" s="27" t="str">
        <f>IFERROR(__xludf.DUMMYFUNCTION("IF(REGEXMATCH(N549, ""SKILL: Low""), ""Low"", IF(REGEXMATCH(N549, ""SKILL: Medium""), ""Medium"", IF(REGEXMATCH(N549, ""SKILL: High""), ""High"", """")))"),"Medium")</f>
        <v>Medium</v>
      </c>
      <c r="T549" s="27" t="str">
        <f>IFERROR(__xludf.DUMMYFUNCTION("IF(REGEXMATCH(N549, ""STATUS: Dev Complete - Awaiting QA""), ""Dev Complete - Awaiting QA"", IF(REGEXMATCH(N549, ""STATUS: Follow-Up Required""), ""Follow-Up Required"", IF(REGEXMATCH(N549, ""STATUS: In Progress""), ""In Progress"", IF(REGEXMATCH(N549, """&amp;"STATUS: In QA""), ""In QA"", IF(REGEXMATCH(N549, ""STATUS: Needs Customer Feedback""), ""Needs Customer Feedback"", IF(REGEXMATCH(N549, ""STATUS: QA Passed - Awaiting Release""), ""QA Passed - Awaiting Release"", IF(REGEXMATCH(N549, ""STATUS: Release to P"&amp;"rod""), ""Release to Prod"", """")))))))"),"Needs Customer Feedback")</f>
        <v>Needs Customer Feedback</v>
      </c>
    </row>
    <row r="550">
      <c r="A550" s="61" t="s">
        <v>2546</v>
      </c>
      <c r="B550" s="12" t="s">
        <v>32</v>
      </c>
      <c r="C550" s="61">
        <v>171.0</v>
      </c>
      <c r="D550" s="62" t="s">
        <v>2713</v>
      </c>
      <c r="E550" s="56" t="s">
        <v>246</v>
      </c>
      <c r="F550" s="61" t="s">
        <v>2714</v>
      </c>
      <c r="G550" s="57" t="str">
        <f t="shared" si="1"/>
        <v>11-Sep-2025</v>
      </c>
      <c r="H550" s="61" t="s">
        <v>57</v>
      </c>
      <c r="I550" s="61" t="s">
        <v>2715</v>
      </c>
      <c r="J550" s="27" t="str">
        <f t="shared" si="4"/>
        <v>18-Nov-2025</v>
      </c>
      <c r="K550" s="27"/>
      <c r="L550" s="27" t="str">
        <f t="shared" si="5"/>
        <v/>
      </c>
      <c r="M550" s="63" t="s">
        <v>291</v>
      </c>
      <c r="N550" s="61" t="s">
        <v>2716</v>
      </c>
      <c r="O550" s="67" t="s">
        <v>51</v>
      </c>
      <c r="P550" s="61">
        <v>2.0</v>
      </c>
      <c r="Q550" s="66" t="s">
        <v>2717</v>
      </c>
      <c r="R550" s="27" t="str">
        <f>IFERROR(__xludf.DUMMYFUNCTION("IF(REGEXMATCH(N550, ""PRIORITY: Low""), ""Low"", IF(REGEXMATCH(N550, ""PRIORITY: Medium""), ""Medium"", IF(REGEXMATCH(N550, ""PRIORITY: High""), ""High"", """")))
"),"Low")</f>
        <v>Low</v>
      </c>
      <c r="S550" s="27" t="str">
        <f>IFERROR(__xludf.DUMMYFUNCTION("IF(REGEXMATCH(N550, ""SKILL: Low""), ""Low"", IF(REGEXMATCH(N550, ""SKILL: Medium""), ""Medium"", IF(REGEXMATCH(N550, ""SKILL: High""), ""High"", """")))"),"")</f>
        <v/>
      </c>
      <c r="T550" s="27" t="str">
        <f>IFERROR(__xludf.DUMMYFUNCTION("IF(REGEXMATCH(N550, ""STATUS: Dev Complete - Awaiting QA""), ""Dev Complete - Awaiting QA"", IF(REGEXMATCH(N550, ""STATUS: Follow-Up Required""), ""Follow-Up Required"", IF(REGEXMATCH(N550, ""STATUS: In Progress""), ""In Progress"", IF(REGEXMATCH(N550, """&amp;"STATUS: In QA""), ""In QA"", IF(REGEXMATCH(N550, ""STATUS: Needs Customer Feedback""), ""Needs Customer Feedback"", IF(REGEXMATCH(N550, ""STATUS: QA Passed - Awaiting Release""), ""QA Passed - Awaiting Release"", IF(REGEXMATCH(N550, ""STATUS: Release to P"&amp;"rod""), ""Release to Prod"", """")))))))"),"In Progress")</f>
        <v>In Progress</v>
      </c>
    </row>
    <row r="551">
      <c r="A551" s="61" t="s">
        <v>2546</v>
      </c>
      <c r="B551" s="12" t="s">
        <v>32</v>
      </c>
      <c r="C551" s="61">
        <v>170.0</v>
      </c>
      <c r="D551" s="62" t="s">
        <v>2718</v>
      </c>
      <c r="E551" s="56" t="s">
        <v>246</v>
      </c>
      <c r="F551" s="61" t="s">
        <v>2719</v>
      </c>
      <c r="G551" s="57" t="str">
        <f t="shared" si="1"/>
        <v>11-Sep-2025</v>
      </c>
      <c r="H551" s="61" t="s">
        <v>57</v>
      </c>
      <c r="I551" s="61" t="s">
        <v>2720</v>
      </c>
      <c r="J551" s="27" t="str">
        <f t="shared" si="4"/>
        <v>18-Nov-2025</v>
      </c>
      <c r="K551" s="27"/>
      <c r="L551" s="27" t="str">
        <f t="shared" si="5"/>
        <v/>
      </c>
      <c r="M551" s="63" t="s">
        <v>291</v>
      </c>
      <c r="N551" s="61" t="s">
        <v>2198</v>
      </c>
      <c r="O551" s="67" t="s">
        <v>51</v>
      </c>
      <c r="P551" s="61">
        <v>3.0</v>
      </c>
      <c r="Q551" s="66" t="s">
        <v>2721</v>
      </c>
      <c r="R551" s="27" t="str">
        <f>IFERROR(__xludf.DUMMYFUNCTION("IF(REGEXMATCH(N551, ""PRIORITY: Low""), ""Low"", IF(REGEXMATCH(N551, ""PRIORITY: Medium""), ""Medium"", IF(REGEXMATCH(N551, ""PRIORITY: High""), ""High"", """")))
"),"Low")</f>
        <v>Low</v>
      </c>
      <c r="S551" s="27" t="str">
        <f>IFERROR(__xludf.DUMMYFUNCTION("IF(REGEXMATCH(N551, ""SKILL: Low""), ""Low"", IF(REGEXMATCH(N551, ""SKILL: Medium""), ""Medium"", IF(REGEXMATCH(N551, ""SKILL: High""), ""High"", """")))"),"Medium")</f>
        <v>Medium</v>
      </c>
      <c r="T551" s="27" t="str">
        <f>IFERROR(__xludf.DUMMYFUNCTION("IF(REGEXMATCH(N551, ""STATUS: Dev Complete - Awaiting QA""), ""Dev Complete - Awaiting QA"", IF(REGEXMATCH(N551, ""STATUS: Follow-Up Required""), ""Follow-Up Required"", IF(REGEXMATCH(N551, ""STATUS: In Progress""), ""In Progress"", IF(REGEXMATCH(N551, """&amp;"STATUS: In QA""), ""In QA"", IF(REGEXMATCH(N551, ""STATUS: Needs Customer Feedback""), ""Needs Customer Feedback"", IF(REGEXMATCH(N551, ""STATUS: QA Passed - Awaiting Release""), ""QA Passed - Awaiting Release"", IF(REGEXMATCH(N551, ""STATUS: Release to P"&amp;"rod""), ""Release to Prod"", """")))))))"),"Needs Customer Feedback")</f>
        <v>Needs Customer Feedback</v>
      </c>
    </row>
    <row r="552" hidden="1">
      <c r="A552" s="61" t="s">
        <v>2546</v>
      </c>
      <c r="B552" s="12" t="s">
        <v>32</v>
      </c>
      <c r="C552" s="61">
        <v>169.0</v>
      </c>
      <c r="D552" s="62" t="s">
        <v>2722</v>
      </c>
      <c r="E552" s="56" t="s">
        <v>173</v>
      </c>
      <c r="F552" s="61" t="s">
        <v>2723</v>
      </c>
      <c r="G552" s="57" t="str">
        <f t="shared" si="1"/>
        <v>11-Sep-2025</v>
      </c>
      <c r="H552" s="61" t="s">
        <v>57</v>
      </c>
      <c r="I552" s="61" t="s">
        <v>2724</v>
      </c>
      <c r="J552" s="27" t="str">
        <f t="shared" si="4"/>
        <v>24-Nov-2025</v>
      </c>
      <c r="K552" s="61" t="s">
        <v>2724</v>
      </c>
      <c r="L552" s="27" t="str">
        <f t="shared" si="5"/>
        <v>24-Nov-2025</v>
      </c>
      <c r="M552" s="63" t="s">
        <v>291</v>
      </c>
      <c r="N552" s="61" t="s">
        <v>2725</v>
      </c>
      <c r="O552" s="61" t="s">
        <v>51</v>
      </c>
      <c r="P552" s="61">
        <v>4.0</v>
      </c>
      <c r="Q552" s="66" t="s">
        <v>2726</v>
      </c>
      <c r="R552" s="27" t="str">
        <f>IFERROR(__xludf.DUMMYFUNCTION("IF(REGEXMATCH(N552, ""PRIORITY: Low""), ""Low"", IF(REGEXMATCH(N552, ""PRIORITY: Medium""), ""Medium"", IF(REGEXMATCH(N552, ""PRIORITY: High""), ""High"", """")))
"),"Low")</f>
        <v>Low</v>
      </c>
      <c r="S552" s="27" t="str">
        <f>IFERROR(__xludf.DUMMYFUNCTION("IF(REGEXMATCH(N552, ""SKILL: Low""), ""Low"", IF(REGEXMATCH(N552, ""SKILL: Medium""), ""Medium"", IF(REGEXMATCH(N552, ""SKILL: High""), ""High"", """")))"),"Medium")</f>
        <v>Medium</v>
      </c>
      <c r="T552" s="27" t="str">
        <f>IFERROR(__xludf.DUMMYFUNCTION("IF(REGEXMATCH(N552, ""STATUS: Dev Complete - Awaiting QA""), ""Dev Complete - Awaiting QA"", IF(REGEXMATCH(N552, ""STATUS: Follow-Up Required""), ""Follow-Up Required"", IF(REGEXMATCH(N552, ""STATUS: In Progress""), ""In Progress"", IF(REGEXMATCH(N552, """&amp;"STATUS: In QA""), ""In QA"", IF(REGEXMATCH(N552, ""STATUS: Needs Customer Feedback""), ""Needs Customer Feedback"", IF(REGEXMATCH(N552, ""STATUS: QA Passed - Awaiting Release""), ""QA Passed - Awaiting Release"", IF(REGEXMATCH(N552, ""STATUS: Release to P"&amp;"rod""), ""Release to Prod"", """")))))))"),"Follow-Up Required")</f>
        <v>Follow-Up Required</v>
      </c>
    </row>
    <row r="553">
      <c r="A553" s="61" t="s">
        <v>2546</v>
      </c>
      <c r="B553" s="12" t="s">
        <v>32</v>
      </c>
      <c r="C553" s="61">
        <v>168.0</v>
      </c>
      <c r="D553" s="62" t="s">
        <v>2727</v>
      </c>
      <c r="E553" s="56" t="s">
        <v>246</v>
      </c>
      <c r="F553" s="61" t="s">
        <v>2728</v>
      </c>
      <c r="G553" s="57" t="str">
        <f t="shared" si="1"/>
        <v>11-Sep-2025</v>
      </c>
      <c r="H553" s="61" t="s">
        <v>57</v>
      </c>
      <c r="I553" s="61" t="s">
        <v>2729</v>
      </c>
      <c r="J553" s="27" t="str">
        <f t="shared" si="4"/>
        <v>22-Nov-2025</v>
      </c>
      <c r="K553" s="27"/>
      <c r="L553" s="27" t="str">
        <f t="shared" si="5"/>
        <v/>
      </c>
      <c r="M553" s="63" t="s">
        <v>291</v>
      </c>
      <c r="N553" s="61" t="s">
        <v>1628</v>
      </c>
      <c r="O553" s="67" t="s">
        <v>51</v>
      </c>
      <c r="P553" s="61">
        <v>4.0</v>
      </c>
      <c r="Q553" s="66" t="s">
        <v>2730</v>
      </c>
      <c r="R553" s="27" t="str">
        <f>IFERROR(__xludf.DUMMYFUNCTION("IF(REGEXMATCH(N553, ""PRIORITY: Low""), ""Low"", IF(REGEXMATCH(N553, ""PRIORITY: Medium""), ""Medium"", IF(REGEXMATCH(N553, ""PRIORITY: High""), ""High"", """")))
"),"Low")</f>
        <v>Low</v>
      </c>
      <c r="S553" s="27" t="str">
        <f>IFERROR(__xludf.DUMMYFUNCTION("IF(REGEXMATCH(N553, ""SKILL: Low""), ""Low"", IF(REGEXMATCH(N553, ""SKILL: Medium""), ""Medium"", IF(REGEXMATCH(N553, ""SKILL: High""), ""High"", """")))"),"Medium")</f>
        <v>Medium</v>
      </c>
      <c r="T553" s="27" t="str">
        <f>IFERROR(__xludf.DUMMYFUNCTION("IF(REGEXMATCH(N553, ""STATUS: Dev Complete - Awaiting QA""), ""Dev Complete - Awaiting QA"", IF(REGEXMATCH(N553, ""STATUS: Follow-Up Required""), ""Follow-Up Required"", IF(REGEXMATCH(N553, ""STATUS: In Progress""), ""In Progress"", IF(REGEXMATCH(N553, """&amp;"STATUS: In QA""), ""In QA"", IF(REGEXMATCH(N553, ""STATUS: Needs Customer Feedback""), ""Needs Customer Feedback"", IF(REGEXMATCH(N553, ""STATUS: QA Passed - Awaiting Release""), ""QA Passed - Awaiting Release"", IF(REGEXMATCH(N553, ""STATUS: Release to P"&amp;"rod""), ""Release to Prod"", """")))))))"),"In Progress")</f>
        <v>In Progress</v>
      </c>
    </row>
    <row r="554" hidden="1">
      <c r="A554" s="61" t="s">
        <v>2546</v>
      </c>
      <c r="B554" s="12" t="s">
        <v>32</v>
      </c>
      <c r="C554" s="61">
        <v>167.0</v>
      </c>
      <c r="D554" s="62" t="s">
        <v>2731</v>
      </c>
      <c r="E554" s="56" t="s">
        <v>173</v>
      </c>
      <c r="F554" s="61" t="s">
        <v>2732</v>
      </c>
      <c r="G554" s="57" t="str">
        <f t="shared" si="1"/>
        <v>11-Sep-2025</v>
      </c>
      <c r="H554" s="61" t="s">
        <v>57</v>
      </c>
      <c r="I554" s="61" t="s">
        <v>2733</v>
      </c>
      <c r="J554" s="27" t="str">
        <f t="shared" si="4"/>
        <v>29-Sep-2025</v>
      </c>
      <c r="K554" s="61" t="s">
        <v>2733</v>
      </c>
      <c r="L554" s="27" t="str">
        <f t="shared" si="5"/>
        <v>29-Sep-2025</v>
      </c>
      <c r="M554" s="63" t="s">
        <v>291</v>
      </c>
      <c r="N554" s="61" t="s">
        <v>2604</v>
      </c>
      <c r="O554" s="61" t="s">
        <v>2734</v>
      </c>
      <c r="P554" s="61">
        <v>2.0</v>
      </c>
      <c r="Q554" s="66" t="s">
        <v>2735</v>
      </c>
      <c r="R554" s="27" t="str">
        <f>IFERROR(__xludf.DUMMYFUNCTION("IF(REGEXMATCH(N554, ""PRIORITY: Low""), ""Low"", IF(REGEXMATCH(N554, ""PRIORITY: Medium""), ""Medium"", IF(REGEXMATCH(N554, ""PRIORITY: High""), ""High"", """")))
"),"")</f>
        <v/>
      </c>
      <c r="S554" s="27" t="str">
        <f>IFERROR(__xludf.DUMMYFUNCTION("IF(REGEXMATCH(N554, ""SKILL: Low""), ""Low"", IF(REGEXMATCH(N554, ""SKILL: Medium""), ""Medium"", IF(REGEXMATCH(N554, ""SKILL: High""), ""High"", """")))"),"")</f>
        <v/>
      </c>
      <c r="T554" s="27" t="str">
        <f>IFERROR(__xludf.DUMMYFUNCTION("IF(REGEXMATCH(N554, ""STATUS: Dev Complete - Awaiting QA""), ""Dev Complete - Awaiting QA"", IF(REGEXMATCH(N554, ""STATUS: Follow-Up Required""), ""Follow-Up Required"", IF(REGEXMATCH(N554, ""STATUS: In Progress""), ""In Progress"", IF(REGEXMATCH(N554, """&amp;"STATUS: In QA""), ""In QA"", IF(REGEXMATCH(N554, ""STATUS: Needs Customer Feedback""), ""Needs Customer Feedback"", IF(REGEXMATCH(N554, ""STATUS: QA Passed - Awaiting Release""), ""QA Passed - Awaiting Release"", IF(REGEXMATCH(N554, ""STATUS: Release to P"&amp;"rod""), ""Release to Prod"", """")))))))"),"")</f>
        <v/>
      </c>
    </row>
    <row r="555">
      <c r="A555" s="61" t="s">
        <v>2546</v>
      </c>
      <c r="B555" s="12" t="s">
        <v>32</v>
      </c>
      <c r="C555" s="61">
        <v>166.0</v>
      </c>
      <c r="D555" s="62" t="s">
        <v>2736</v>
      </c>
      <c r="E555" s="56" t="s">
        <v>246</v>
      </c>
      <c r="F555" s="61" t="s">
        <v>2737</v>
      </c>
      <c r="G555" s="57" t="str">
        <f t="shared" si="1"/>
        <v>11-Sep-2025</v>
      </c>
      <c r="H555" s="61" t="s">
        <v>57</v>
      </c>
      <c r="I555" s="61" t="s">
        <v>2738</v>
      </c>
      <c r="J555" s="27" t="str">
        <f t="shared" si="4"/>
        <v>22-Nov-2025</v>
      </c>
      <c r="K555" s="27"/>
      <c r="L555" s="27" t="str">
        <f t="shared" si="5"/>
        <v/>
      </c>
      <c r="M555" s="63" t="s">
        <v>291</v>
      </c>
      <c r="N555" s="61" t="s">
        <v>2198</v>
      </c>
      <c r="O555" s="67" t="s">
        <v>51</v>
      </c>
      <c r="P555" s="61">
        <v>5.0</v>
      </c>
      <c r="Q555" s="66" t="s">
        <v>2739</v>
      </c>
      <c r="R555" s="27" t="str">
        <f>IFERROR(__xludf.DUMMYFUNCTION("IF(REGEXMATCH(N555, ""PRIORITY: Low""), ""Low"", IF(REGEXMATCH(N555, ""PRIORITY: Medium""), ""Medium"", IF(REGEXMATCH(N555, ""PRIORITY: High""), ""High"", """")))
"),"Low")</f>
        <v>Low</v>
      </c>
      <c r="S555" s="27" t="str">
        <f>IFERROR(__xludf.DUMMYFUNCTION("IF(REGEXMATCH(N555, ""SKILL: Low""), ""Low"", IF(REGEXMATCH(N555, ""SKILL: Medium""), ""Medium"", IF(REGEXMATCH(N555, ""SKILL: High""), ""High"", """")))"),"Medium")</f>
        <v>Medium</v>
      </c>
      <c r="T555" s="27" t="str">
        <f>IFERROR(__xludf.DUMMYFUNCTION("IF(REGEXMATCH(N555, ""STATUS: Dev Complete - Awaiting QA""), ""Dev Complete - Awaiting QA"", IF(REGEXMATCH(N555, ""STATUS: Follow-Up Required""), ""Follow-Up Required"", IF(REGEXMATCH(N555, ""STATUS: In Progress""), ""In Progress"", IF(REGEXMATCH(N555, """&amp;"STATUS: In QA""), ""In QA"", IF(REGEXMATCH(N555, ""STATUS: Needs Customer Feedback""), ""Needs Customer Feedback"", IF(REGEXMATCH(N555, ""STATUS: QA Passed - Awaiting Release""), ""QA Passed - Awaiting Release"", IF(REGEXMATCH(N555, ""STATUS: Release to P"&amp;"rod""), ""Release to Prod"", """")))))))"),"Needs Customer Feedback")</f>
        <v>Needs Customer Feedback</v>
      </c>
    </row>
    <row r="556" hidden="1">
      <c r="A556" s="61" t="s">
        <v>2546</v>
      </c>
      <c r="B556" s="12" t="s">
        <v>32</v>
      </c>
      <c r="C556" s="61">
        <v>165.0</v>
      </c>
      <c r="D556" s="62" t="s">
        <v>2740</v>
      </c>
      <c r="E556" s="56" t="s">
        <v>173</v>
      </c>
      <c r="F556" s="61" t="s">
        <v>2741</v>
      </c>
      <c r="G556" s="57" t="str">
        <f t="shared" si="1"/>
        <v>11-Sep-2025</v>
      </c>
      <c r="H556" s="61" t="s">
        <v>57</v>
      </c>
      <c r="I556" s="61" t="s">
        <v>2742</v>
      </c>
      <c r="J556" s="27" t="str">
        <f t="shared" si="4"/>
        <v>18-Nov-2025</v>
      </c>
      <c r="K556" s="61" t="s">
        <v>2742</v>
      </c>
      <c r="L556" s="27" t="str">
        <f t="shared" si="5"/>
        <v>18-Nov-2025</v>
      </c>
      <c r="M556" s="63" t="s">
        <v>291</v>
      </c>
      <c r="N556" s="61" t="s">
        <v>2609</v>
      </c>
      <c r="O556" s="61" t="s">
        <v>51</v>
      </c>
      <c r="P556" s="61">
        <v>3.0</v>
      </c>
      <c r="Q556" s="66" t="s">
        <v>2743</v>
      </c>
      <c r="R556" s="27" t="str">
        <f>IFERROR(__xludf.DUMMYFUNCTION("IF(REGEXMATCH(N556, ""PRIORITY: Low""), ""Low"", IF(REGEXMATCH(N556, ""PRIORITY: Medium""), ""Medium"", IF(REGEXMATCH(N556, ""PRIORITY: High""), ""High"", """")))
"),"")</f>
        <v/>
      </c>
      <c r="S556" s="27" t="str">
        <f>IFERROR(__xludf.DUMMYFUNCTION("IF(REGEXMATCH(N556, ""SKILL: Low""), ""Low"", IF(REGEXMATCH(N556, ""SKILL: Medium""), ""Medium"", IF(REGEXMATCH(N556, ""SKILL: High""), ""High"", """")))"),"")</f>
        <v/>
      </c>
      <c r="T556" s="27" t="str">
        <f>IFERROR(__xludf.DUMMYFUNCTION("IF(REGEXMATCH(N556, ""STATUS: Dev Complete - Awaiting QA""), ""Dev Complete - Awaiting QA"", IF(REGEXMATCH(N556, ""STATUS: Follow-Up Required""), ""Follow-Up Required"", IF(REGEXMATCH(N556, ""STATUS: In Progress""), ""In Progress"", IF(REGEXMATCH(N556, """&amp;"STATUS: In QA""), ""In QA"", IF(REGEXMATCH(N556, ""STATUS: Needs Customer Feedback""), ""Needs Customer Feedback"", IF(REGEXMATCH(N556, ""STATUS: QA Passed - Awaiting Release""), ""QA Passed - Awaiting Release"", IF(REGEXMATCH(N556, ""STATUS: Release to P"&amp;"rod""), ""Release to Prod"", """")))))))"),"Follow-Up Required")</f>
        <v>Follow-Up Required</v>
      </c>
    </row>
    <row r="557" hidden="1">
      <c r="A557" s="61" t="s">
        <v>2546</v>
      </c>
      <c r="B557" s="12" t="s">
        <v>32</v>
      </c>
      <c r="C557" s="61">
        <v>164.0</v>
      </c>
      <c r="D557" s="62" t="s">
        <v>2744</v>
      </c>
      <c r="E557" s="56" t="s">
        <v>173</v>
      </c>
      <c r="F557" s="61" t="s">
        <v>2745</v>
      </c>
      <c r="G557" s="57" t="str">
        <f t="shared" si="1"/>
        <v>11-Sep-2025</v>
      </c>
      <c r="H557" s="61" t="s">
        <v>57</v>
      </c>
      <c r="I557" s="61" t="s">
        <v>2746</v>
      </c>
      <c r="J557" s="27" t="str">
        <f t="shared" si="4"/>
        <v>11-Sep-2025</v>
      </c>
      <c r="K557" s="61" t="s">
        <v>2747</v>
      </c>
      <c r="L557" s="27" t="str">
        <f t="shared" si="5"/>
        <v>11-Sep-2025</v>
      </c>
      <c r="M557" s="63" t="s">
        <v>291</v>
      </c>
      <c r="N557" s="61" t="s">
        <v>177</v>
      </c>
      <c r="O557" s="61" t="s">
        <v>51</v>
      </c>
      <c r="P557" s="61">
        <v>2.0</v>
      </c>
      <c r="Q557" s="66" t="s">
        <v>2748</v>
      </c>
      <c r="R557" s="27" t="str">
        <f>IFERROR(__xludf.DUMMYFUNCTION("IF(REGEXMATCH(N557, ""PRIORITY: Low""), ""Low"", IF(REGEXMATCH(N557, ""PRIORITY: Medium""), ""Medium"", IF(REGEXMATCH(N557, ""PRIORITY: High""), ""High"", """")))
"),"")</f>
        <v/>
      </c>
      <c r="S557" s="27" t="str">
        <f>IFERROR(__xludf.DUMMYFUNCTION("IF(REGEXMATCH(N557, ""SKILL: Low""), ""Low"", IF(REGEXMATCH(N557, ""SKILL: Medium""), ""Medium"", IF(REGEXMATCH(N557, ""SKILL: High""), ""High"", """")))"),"")</f>
        <v/>
      </c>
      <c r="T557" s="27" t="str">
        <f>IFERROR(__xludf.DUMMYFUNCTION("IF(REGEXMATCH(N557, ""STATUS: Dev Complete - Awaiting QA""), ""Dev Complete - Awaiting QA"", IF(REGEXMATCH(N557, ""STATUS: Follow-Up Required""), ""Follow-Up Required"", IF(REGEXMATCH(N557, ""STATUS: In Progress""), ""In Progress"", IF(REGEXMATCH(N557, """&amp;"STATUS: In QA""), ""In QA"", IF(REGEXMATCH(N557, ""STATUS: Needs Customer Feedback""), ""Needs Customer Feedback"", IF(REGEXMATCH(N557, ""STATUS: QA Passed - Awaiting Release""), ""QA Passed - Awaiting Release"", IF(REGEXMATCH(N557, ""STATUS: Release to P"&amp;"rod""), ""Release to Prod"", """")))))))"),"")</f>
        <v/>
      </c>
    </row>
    <row r="558" hidden="1">
      <c r="A558" s="61" t="s">
        <v>2546</v>
      </c>
      <c r="B558" s="12" t="s">
        <v>32</v>
      </c>
      <c r="C558" s="61">
        <v>163.0</v>
      </c>
      <c r="D558" s="62" t="s">
        <v>2749</v>
      </c>
      <c r="E558" s="56" t="s">
        <v>173</v>
      </c>
      <c r="F558" s="61" t="s">
        <v>2750</v>
      </c>
      <c r="G558" s="57" t="str">
        <f t="shared" si="1"/>
        <v>11-Sep-2025</v>
      </c>
      <c r="H558" s="61" t="s">
        <v>57</v>
      </c>
      <c r="I558" s="61" t="s">
        <v>2751</v>
      </c>
      <c r="J558" s="27" t="str">
        <f t="shared" si="4"/>
        <v>29-Sep-2025</v>
      </c>
      <c r="K558" s="61" t="s">
        <v>2751</v>
      </c>
      <c r="L558" s="27" t="str">
        <f t="shared" si="5"/>
        <v>29-Sep-2025</v>
      </c>
      <c r="M558" s="63" t="s">
        <v>291</v>
      </c>
      <c r="N558" s="61" t="s">
        <v>2604</v>
      </c>
      <c r="O558" s="61" t="s">
        <v>2734</v>
      </c>
      <c r="P558" s="61">
        <v>2.0</v>
      </c>
      <c r="Q558" s="66" t="s">
        <v>2752</v>
      </c>
      <c r="R558" s="27" t="str">
        <f>IFERROR(__xludf.DUMMYFUNCTION("IF(REGEXMATCH(N558, ""PRIORITY: Low""), ""Low"", IF(REGEXMATCH(N558, ""PRIORITY: Medium""), ""Medium"", IF(REGEXMATCH(N558, ""PRIORITY: High""), ""High"", """")))
"),"")</f>
        <v/>
      </c>
      <c r="S558" s="27" t="str">
        <f>IFERROR(__xludf.DUMMYFUNCTION("IF(REGEXMATCH(N558, ""SKILL: Low""), ""Low"", IF(REGEXMATCH(N558, ""SKILL: Medium""), ""Medium"", IF(REGEXMATCH(N558, ""SKILL: High""), ""High"", """")))"),"")</f>
        <v/>
      </c>
      <c r="T558" s="27" t="str">
        <f>IFERROR(__xludf.DUMMYFUNCTION("IF(REGEXMATCH(N558, ""STATUS: Dev Complete - Awaiting QA""), ""Dev Complete - Awaiting QA"", IF(REGEXMATCH(N558, ""STATUS: Follow-Up Required""), ""Follow-Up Required"", IF(REGEXMATCH(N558, ""STATUS: In Progress""), ""In Progress"", IF(REGEXMATCH(N558, """&amp;"STATUS: In QA""), ""In QA"", IF(REGEXMATCH(N558, ""STATUS: Needs Customer Feedback""), ""Needs Customer Feedback"", IF(REGEXMATCH(N558, ""STATUS: QA Passed - Awaiting Release""), ""QA Passed - Awaiting Release"", IF(REGEXMATCH(N558, ""STATUS: Release to P"&amp;"rod""), ""Release to Prod"", """")))))))"),"")</f>
        <v/>
      </c>
    </row>
    <row r="559" hidden="1">
      <c r="A559" s="61" t="s">
        <v>2546</v>
      </c>
      <c r="B559" s="12" t="s">
        <v>32</v>
      </c>
      <c r="C559" s="61">
        <v>162.0</v>
      </c>
      <c r="D559" s="62" t="s">
        <v>2753</v>
      </c>
      <c r="E559" s="56" t="s">
        <v>173</v>
      </c>
      <c r="F559" s="61" t="s">
        <v>2754</v>
      </c>
      <c r="G559" s="57" t="str">
        <f t="shared" si="1"/>
        <v>11-Sep-2025</v>
      </c>
      <c r="H559" s="61" t="s">
        <v>57</v>
      </c>
      <c r="I559" s="61" t="s">
        <v>2755</v>
      </c>
      <c r="J559" s="27" t="str">
        <f t="shared" si="4"/>
        <v>29-Sep-2025</v>
      </c>
      <c r="K559" s="61" t="s">
        <v>2755</v>
      </c>
      <c r="L559" s="27" t="str">
        <f t="shared" si="5"/>
        <v>29-Sep-2025</v>
      </c>
      <c r="M559" s="63" t="s">
        <v>291</v>
      </c>
      <c r="N559" s="61" t="s">
        <v>2609</v>
      </c>
      <c r="O559" s="61" t="s">
        <v>51</v>
      </c>
      <c r="P559" s="61">
        <v>4.0</v>
      </c>
      <c r="Q559" s="66" t="s">
        <v>2756</v>
      </c>
      <c r="R559" s="27" t="str">
        <f>IFERROR(__xludf.DUMMYFUNCTION("IF(REGEXMATCH(N559, ""PRIORITY: Low""), ""Low"", IF(REGEXMATCH(N559, ""PRIORITY: Medium""), ""Medium"", IF(REGEXMATCH(N559, ""PRIORITY: High""), ""High"", """")))
"),"")</f>
        <v/>
      </c>
      <c r="S559" s="27" t="str">
        <f>IFERROR(__xludf.DUMMYFUNCTION("IF(REGEXMATCH(N559, ""SKILL: Low""), ""Low"", IF(REGEXMATCH(N559, ""SKILL: Medium""), ""Medium"", IF(REGEXMATCH(N559, ""SKILL: High""), ""High"", """")))"),"")</f>
        <v/>
      </c>
      <c r="T559" s="27" t="str">
        <f>IFERROR(__xludf.DUMMYFUNCTION("IF(REGEXMATCH(N559, ""STATUS: Dev Complete - Awaiting QA""), ""Dev Complete - Awaiting QA"", IF(REGEXMATCH(N559, ""STATUS: Follow-Up Required""), ""Follow-Up Required"", IF(REGEXMATCH(N559, ""STATUS: In Progress""), ""In Progress"", IF(REGEXMATCH(N559, """&amp;"STATUS: In QA""), ""In QA"", IF(REGEXMATCH(N559, ""STATUS: Needs Customer Feedback""), ""Needs Customer Feedback"", IF(REGEXMATCH(N559, ""STATUS: QA Passed - Awaiting Release""), ""QA Passed - Awaiting Release"", IF(REGEXMATCH(N559, ""STATUS: Release to P"&amp;"rod""), ""Release to Prod"", """")))))))"),"Follow-Up Required")</f>
        <v>Follow-Up Required</v>
      </c>
    </row>
    <row r="560" hidden="1">
      <c r="A560" s="61" t="s">
        <v>2546</v>
      </c>
      <c r="B560" s="12" t="s">
        <v>32</v>
      </c>
      <c r="C560" s="61">
        <v>161.0</v>
      </c>
      <c r="D560" s="62" t="s">
        <v>2757</v>
      </c>
      <c r="E560" s="56" t="s">
        <v>173</v>
      </c>
      <c r="F560" s="61" t="s">
        <v>2758</v>
      </c>
      <c r="G560" s="57" t="str">
        <f t="shared" si="1"/>
        <v>11-Sep-2025</v>
      </c>
      <c r="H560" s="61" t="s">
        <v>57</v>
      </c>
      <c r="I560" s="61" t="s">
        <v>2759</v>
      </c>
      <c r="J560" s="27" t="str">
        <f t="shared" si="4"/>
        <v>25-Sep-2025</v>
      </c>
      <c r="K560" s="61" t="s">
        <v>2759</v>
      </c>
      <c r="L560" s="27" t="str">
        <f t="shared" si="5"/>
        <v>25-Sep-2025</v>
      </c>
      <c r="M560" s="63" t="s">
        <v>291</v>
      </c>
      <c r="N560" s="61" t="s">
        <v>2609</v>
      </c>
      <c r="O560" s="61" t="s">
        <v>51</v>
      </c>
      <c r="P560" s="61">
        <v>3.0</v>
      </c>
      <c r="Q560" s="66" t="s">
        <v>2760</v>
      </c>
      <c r="R560" s="27" t="str">
        <f>IFERROR(__xludf.DUMMYFUNCTION("IF(REGEXMATCH(N560, ""PRIORITY: Low""), ""Low"", IF(REGEXMATCH(N560, ""PRIORITY: Medium""), ""Medium"", IF(REGEXMATCH(N560, ""PRIORITY: High""), ""High"", """")))
"),"")</f>
        <v/>
      </c>
      <c r="S560" s="27" t="str">
        <f>IFERROR(__xludf.DUMMYFUNCTION("IF(REGEXMATCH(N560, ""SKILL: Low""), ""Low"", IF(REGEXMATCH(N560, ""SKILL: Medium""), ""Medium"", IF(REGEXMATCH(N560, ""SKILL: High""), ""High"", """")))"),"")</f>
        <v/>
      </c>
      <c r="T560" s="27" t="str">
        <f>IFERROR(__xludf.DUMMYFUNCTION("IF(REGEXMATCH(N560, ""STATUS: Dev Complete - Awaiting QA""), ""Dev Complete - Awaiting QA"", IF(REGEXMATCH(N560, ""STATUS: Follow-Up Required""), ""Follow-Up Required"", IF(REGEXMATCH(N560, ""STATUS: In Progress""), ""In Progress"", IF(REGEXMATCH(N560, """&amp;"STATUS: In QA""), ""In QA"", IF(REGEXMATCH(N560, ""STATUS: Needs Customer Feedback""), ""Needs Customer Feedback"", IF(REGEXMATCH(N560, ""STATUS: QA Passed - Awaiting Release""), ""QA Passed - Awaiting Release"", IF(REGEXMATCH(N560, ""STATUS: Release to P"&amp;"rod""), ""Release to Prod"", """")))))))"),"Follow-Up Required")</f>
        <v>Follow-Up Required</v>
      </c>
    </row>
    <row r="561" hidden="1">
      <c r="A561" s="61" t="s">
        <v>2546</v>
      </c>
      <c r="B561" s="12" t="s">
        <v>32</v>
      </c>
      <c r="C561" s="61">
        <v>160.0</v>
      </c>
      <c r="D561" s="62" t="s">
        <v>2761</v>
      </c>
      <c r="E561" s="56" t="s">
        <v>173</v>
      </c>
      <c r="F561" s="61" t="s">
        <v>2762</v>
      </c>
      <c r="G561" s="57" t="str">
        <f t="shared" si="1"/>
        <v>11-Sep-2025</v>
      </c>
      <c r="H561" s="61" t="s">
        <v>57</v>
      </c>
      <c r="I561" s="61" t="s">
        <v>2763</v>
      </c>
      <c r="J561" s="27" t="str">
        <f t="shared" si="4"/>
        <v>29-Sep-2025</v>
      </c>
      <c r="K561" s="61" t="s">
        <v>2763</v>
      </c>
      <c r="L561" s="27" t="str">
        <f t="shared" si="5"/>
        <v>29-Sep-2025</v>
      </c>
      <c r="M561" s="63" t="s">
        <v>291</v>
      </c>
      <c r="N561" s="61" t="s">
        <v>2604</v>
      </c>
      <c r="O561" s="61" t="s">
        <v>2734</v>
      </c>
      <c r="P561" s="61">
        <v>3.0</v>
      </c>
      <c r="Q561" s="66" t="s">
        <v>2764</v>
      </c>
      <c r="R561" s="27" t="str">
        <f>IFERROR(__xludf.DUMMYFUNCTION("IF(REGEXMATCH(N561, ""PRIORITY: Low""), ""Low"", IF(REGEXMATCH(N561, ""PRIORITY: Medium""), ""Medium"", IF(REGEXMATCH(N561, ""PRIORITY: High""), ""High"", """")))
"),"")</f>
        <v/>
      </c>
      <c r="S561" s="27" t="str">
        <f>IFERROR(__xludf.DUMMYFUNCTION("IF(REGEXMATCH(N561, ""SKILL: Low""), ""Low"", IF(REGEXMATCH(N561, ""SKILL: Medium""), ""Medium"", IF(REGEXMATCH(N561, ""SKILL: High""), ""High"", """")))"),"")</f>
        <v/>
      </c>
      <c r="T561" s="27" t="str">
        <f>IFERROR(__xludf.DUMMYFUNCTION("IF(REGEXMATCH(N561, ""STATUS: Dev Complete - Awaiting QA""), ""Dev Complete - Awaiting QA"", IF(REGEXMATCH(N561, ""STATUS: Follow-Up Required""), ""Follow-Up Required"", IF(REGEXMATCH(N561, ""STATUS: In Progress""), ""In Progress"", IF(REGEXMATCH(N561, """&amp;"STATUS: In QA""), ""In QA"", IF(REGEXMATCH(N561, ""STATUS: Needs Customer Feedback""), ""Needs Customer Feedback"", IF(REGEXMATCH(N561, ""STATUS: QA Passed - Awaiting Release""), ""QA Passed - Awaiting Release"", IF(REGEXMATCH(N561, ""STATUS: Release to P"&amp;"rod""), ""Release to Prod"", """")))))))"),"")</f>
        <v/>
      </c>
    </row>
    <row r="562" hidden="1">
      <c r="A562" s="61" t="s">
        <v>2546</v>
      </c>
      <c r="B562" s="12" t="s">
        <v>32</v>
      </c>
      <c r="C562" s="61">
        <v>159.0</v>
      </c>
      <c r="D562" s="62" t="s">
        <v>2765</v>
      </c>
      <c r="E562" s="56" t="s">
        <v>173</v>
      </c>
      <c r="F562" s="61" t="s">
        <v>2766</v>
      </c>
      <c r="G562" s="57" t="str">
        <f t="shared" si="1"/>
        <v>11-Sep-2025</v>
      </c>
      <c r="H562" s="61" t="s">
        <v>57</v>
      </c>
      <c r="I562" s="61" t="s">
        <v>2767</v>
      </c>
      <c r="J562" s="27" t="str">
        <f t="shared" si="4"/>
        <v>29-Sep-2025</v>
      </c>
      <c r="K562" s="61" t="s">
        <v>2767</v>
      </c>
      <c r="L562" s="27" t="str">
        <f t="shared" si="5"/>
        <v>29-Sep-2025</v>
      </c>
      <c r="M562" s="63" t="s">
        <v>291</v>
      </c>
      <c r="N562" s="61" t="s">
        <v>2604</v>
      </c>
      <c r="O562" s="61" t="s">
        <v>2734</v>
      </c>
      <c r="P562" s="61">
        <v>2.0</v>
      </c>
      <c r="Q562" s="66" t="s">
        <v>2768</v>
      </c>
      <c r="R562" s="27" t="str">
        <f>IFERROR(__xludf.DUMMYFUNCTION("IF(REGEXMATCH(N562, ""PRIORITY: Low""), ""Low"", IF(REGEXMATCH(N562, ""PRIORITY: Medium""), ""Medium"", IF(REGEXMATCH(N562, ""PRIORITY: High""), ""High"", """")))
"),"")</f>
        <v/>
      </c>
      <c r="S562" s="27" t="str">
        <f>IFERROR(__xludf.DUMMYFUNCTION("IF(REGEXMATCH(N562, ""SKILL: Low""), ""Low"", IF(REGEXMATCH(N562, ""SKILL: Medium""), ""Medium"", IF(REGEXMATCH(N562, ""SKILL: High""), ""High"", """")))"),"")</f>
        <v/>
      </c>
      <c r="T562" s="27" t="str">
        <f>IFERROR(__xludf.DUMMYFUNCTION("IF(REGEXMATCH(N562, ""STATUS: Dev Complete - Awaiting QA""), ""Dev Complete - Awaiting QA"", IF(REGEXMATCH(N562, ""STATUS: Follow-Up Required""), ""Follow-Up Required"", IF(REGEXMATCH(N562, ""STATUS: In Progress""), ""In Progress"", IF(REGEXMATCH(N562, """&amp;"STATUS: In QA""), ""In QA"", IF(REGEXMATCH(N562, ""STATUS: Needs Customer Feedback""), ""Needs Customer Feedback"", IF(REGEXMATCH(N562, ""STATUS: QA Passed - Awaiting Release""), ""QA Passed - Awaiting Release"", IF(REGEXMATCH(N562, ""STATUS: Release to P"&amp;"rod""), ""Release to Prod"", """")))))))"),"")</f>
        <v/>
      </c>
    </row>
    <row r="563" hidden="1">
      <c r="A563" s="61" t="s">
        <v>2546</v>
      </c>
      <c r="B563" s="12" t="s">
        <v>32</v>
      </c>
      <c r="C563" s="61">
        <v>158.0</v>
      </c>
      <c r="D563" s="62" t="s">
        <v>2769</v>
      </c>
      <c r="E563" s="56" t="s">
        <v>173</v>
      </c>
      <c r="F563" s="61" t="s">
        <v>2770</v>
      </c>
      <c r="G563" s="57" t="str">
        <f t="shared" si="1"/>
        <v>11-Sep-2025</v>
      </c>
      <c r="H563" s="61" t="s">
        <v>57</v>
      </c>
      <c r="I563" s="61" t="s">
        <v>2771</v>
      </c>
      <c r="J563" s="27" t="str">
        <f t="shared" si="4"/>
        <v>29-Sep-2025</v>
      </c>
      <c r="K563" s="61" t="s">
        <v>2771</v>
      </c>
      <c r="L563" s="27" t="str">
        <f t="shared" si="5"/>
        <v>29-Sep-2025</v>
      </c>
      <c r="M563" s="63" t="s">
        <v>291</v>
      </c>
      <c r="N563" s="61" t="s">
        <v>2604</v>
      </c>
      <c r="O563" s="61" t="s">
        <v>2734</v>
      </c>
      <c r="P563" s="61">
        <v>3.0</v>
      </c>
      <c r="Q563" s="66" t="s">
        <v>2772</v>
      </c>
      <c r="R563" s="27" t="str">
        <f>IFERROR(__xludf.DUMMYFUNCTION("IF(REGEXMATCH(N563, ""PRIORITY: Low""), ""Low"", IF(REGEXMATCH(N563, ""PRIORITY: Medium""), ""Medium"", IF(REGEXMATCH(N563, ""PRIORITY: High""), ""High"", """")))
"),"")</f>
        <v/>
      </c>
      <c r="S563" s="27" t="str">
        <f>IFERROR(__xludf.DUMMYFUNCTION("IF(REGEXMATCH(N563, ""SKILL: Low""), ""Low"", IF(REGEXMATCH(N563, ""SKILL: Medium""), ""Medium"", IF(REGEXMATCH(N563, ""SKILL: High""), ""High"", """")))"),"")</f>
        <v/>
      </c>
      <c r="T563" s="27" t="str">
        <f>IFERROR(__xludf.DUMMYFUNCTION("IF(REGEXMATCH(N563, ""STATUS: Dev Complete - Awaiting QA""), ""Dev Complete - Awaiting QA"", IF(REGEXMATCH(N563, ""STATUS: Follow-Up Required""), ""Follow-Up Required"", IF(REGEXMATCH(N563, ""STATUS: In Progress""), ""In Progress"", IF(REGEXMATCH(N563, """&amp;"STATUS: In QA""), ""In QA"", IF(REGEXMATCH(N563, ""STATUS: Needs Customer Feedback""), ""Needs Customer Feedback"", IF(REGEXMATCH(N563, ""STATUS: QA Passed - Awaiting Release""), ""QA Passed - Awaiting Release"", IF(REGEXMATCH(N563, ""STATUS: Release to P"&amp;"rod""), ""Release to Prod"", """")))))))"),"")</f>
        <v/>
      </c>
    </row>
    <row r="564" hidden="1">
      <c r="A564" s="61" t="s">
        <v>2546</v>
      </c>
      <c r="B564" s="12" t="s">
        <v>32</v>
      </c>
      <c r="C564" s="61">
        <v>157.0</v>
      </c>
      <c r="D564" s="62" t="s">
        <v>2773</v>
      </c>
      <c r="E564" s="56" t="s">
        <v>173</v>
      </c>
      <c r="F564" s="61" t="s">
        <v>2774</v>
      </c>
      <c r="G564" s="57" t="str">
        <f t="shared" si="1"/>
        <v>11-Sep-2025</v>
      </c>
      <c r="H564" s="61" t="s">
        <v>57</v>
      </c>
      <c r="I564" s="61" t="s">
        <v>2775</v>
      </c>
      <c r="J564" s="27" t="str">
        <f t="shared" si="4"/>
        <v>29-Sep-2025</v>
      </c>
      <c r="K564" s="61" t="s">
        <v>2775</v>
      </c>
      <c r="L564" s="27" t="str">
        <f t="shared" si="5"/>
        <v>29-Sep-2025</v>
      </c>
      <c r="M564" s="63" t="s">
        <v>291</v>
      </c>
      <c r="N564" s="61" t="s">
        <v>2604</v>
      </c>
      <c r="O564" s="61" t="s">
        <v>2734</v>
      </c>
      <c r="P564" s="61">
        <v>2.0</v>
      </c>
      <c r="Q564" s="66" t="s">
        <v>2776</v>
      </c>
      <c r="R564" s="27" t="str">
        <f>IFERROR(__xludf.DUMMYFUNCTION("IF(REGEXMATCH(N564, ""PRIORITY: Low""), ""Low"", IF(REGEXMATCH(N564, ""PRIORITY: Medium""), ""Medium"", IF(REGEXMATCH(N564, ""PRIORITY: High""), ""High"", """")))
"),"")</f>
        <v/>
      </c>
      <c r="S564" s="27" t="str">
        <f>IFERROR(__xludf.DUMMYFUNCTION("IF(REGEXMATCH(N564, ""SKILL: Low""), ""Low"", IF(REGEXMATCH(N564, ""SKILL: Medium""), ""Medium"", IF(REGEXMATCH(N564, ""SKILL: High""), ""High"", """")))"),"")</f>
        <v/>
      </c>
      <c r="T564" s="27" t="str">
        <f>IFERROR(__xludf.DUMMYFUNCTION("IF(REGEXMATCH(N564, ""STATUS: Dev Complete - Awaiting QA""), ""Dev Complete - Awaiting QA"", IF(REGEXMATCH(N564, ""STATUS: Follow-Up Required""), ""Follow-Up Required"", IF(REGEXMATCH(N564, ""STATUS: In Progress""), ""In Progress"", IF(REGEXMATCH(N564, """&amp;"STATUS: In QA""), ""In QA"", IF(REGEXMATCH(N564, ""STATUS: Needs Customer Feedback""), ""Needs Customer Feedback"", IF(REGEXMATCH(N564, ""STATUS: QA Passed - Awaiting Release""), ""QA Passed - Awaiting Release"", IF(REGEXMATCH(N564, ""STATUS: Release to P"&amp;"rod""), ""Release to Prod"", """")))))))"),"")</f>
        <v/>
      </c>
    </row>
    <row r="565" hidden="1">
      <c r="A565" s="61" t="s">
        <v>2546</v>
      </c>
      <c r="B565" s="12" t="s">
        <v>32</v>
      </c>
      <c r="C565" s="61">
        <v>156.0</v>
      </c>
      <c r="D565" s="62" t="s">
        <v>2777</v>
      </c>
      <c r="E565" s="56" t="s">
        <v>173</v>
      </c>
      <c r="F565" s="61" t="s">
        <v>2778</v>
      </c>
      <c r="G565" s="57" t="str">
        <f t="shared" si="1"/>
        <v>11-Sep-2025</v>
      </c>
      <c r="H565" s="61" t="s">
        <v>57</v>
      </c>
      <c r="I565" s="61" t="s">
        <v>2779</v>
      </c>
      <c r="J565" s="27" t="str">
        <f t="shared" si="4"/>
        <v>29-Sep-2025</v>
      </c>
      <c r="K565" s="61" t="s">
        <v>2779</v>
      </c>
      <c r="L565" s="27" t="str">
        <f t="shared" si="5"/>
        <v>29-Sep-2025</v>
      </c>
      <c r="M565" s="63" t="s">
        <v>291</v>
      </c>
      <c r="N565" s="61" t="s">
        <v>2604</v>
      </c>
      <c r="O565" s="61" t="s">
        <v>2734</v>
      </c>
      <c r="P565" s="61">
        <v>2.0</v>
      </c>
      <c r="Q565" s="66" t="s">
        <v>2780</v>
      </c>
      <c r="R565" s="27" t="str">
        <f>IFERROR(__xludf.DUMMYFUNCTION("IF(REGEXMATCH(N565, ""PRIORITY: Low""), ""Low"", IF(REGEXMATCH(N565, ""PRIORITY: Medium""), ""Medium"", IF(REGEXMATCH(N565, ""PRIORITY: High""), ""High"", """")))
"),"")</f>
        <v/>
      </c>
      <c r="S565" s="27" t="str">
        <f>IFERROR(__xludf.DUMMYFUNCTION("IF(REGEXMATCH(N565, ""SKILL: Low""), ""Low"", IF(REGEXMATCH(N565, ""SKILL: Medium""), ""Medium"", IF(REGEXMATCH(N565, ""SKILL: High""), ""High"", """")))"),"")</f>
        <v/>
      </c>
      <c r="T565" s="27" t="str">
        <f>IFERROR(__xludf.DUMMYFUNCTION("IF(REGEXMATCH(N565, ""STATUS: Dev Complete - Awaiting QA""), ""Dev Complete - Awaiting QA"", IF(REGEXMATCH(N565, ""STATUS: Follow-Up Required""), ""Follow-Up Required"", IF(REGEXMATCH(N565, ""STATUS: In Progress""), ""In Progress"", IF(REGEXMATCH(N565, """&amp;"STATUS: In QA""), ""In QA"", IF(REGEXMATCH(N565, ""STATUS: Needs Customer Feedback""), ""Needs Customer Feedback"", IF(REGEXMATCH(N565, ""STATUS: QA Passed - Awaiting Release""), ""QA Passed - Awaiting Release"", IF(REGEXMATCH(N565, ""STATUS: Release to P"&amp;"rod""), ""Release to Prod"", """")))))))"),"")</f>
        <v/>
      </c>
    </row>
    <row r="566" hidden="1">
      <c r="A566" s="61" t="s">
        <v>2546</v>
      </c>
      <c r="B566" s="12" t="s">
        <v>32</v>
      </c>
      <c r="C566" s="61">
        <v>155.0</v>
      </c>
      <c r="D566" s="62" t="s">
        <v>2781</v>
      </c>
      <c r="E566" s="56" t="s">
        <v>173</v>
      </c>
      <c r="F566" s="61" t="s">
        <v>2782</v>
      </c>
      <c r="G566" s="57" t="str">
        <f t="shared" si="1"/>
        <v>11-Sep-2025</v>
      </c>
      <c r="H566" s="61" t="s">
        <v>57</v>
      </c>
      <c r="I566" s="61" t="s">
        <v>2783</v>
      </c>
      <c r="J566" s="27" t="str">
        <f t="shared" si="4"/>
        <v>29-Sep-2025</v>
      </c>
      <c r="K566" s="61" t="s">
        <v>2783</v>
      </c>
      <c r="L566" s="27" t="str">
        <f t="shared" si="5"/>
        <v>29-Sep-2025</v>
      </c>
      <c r="M566" s="63" t="s">
        <v>291</v>
      </c>
      <c r="N566" s="61" t="s">
        <v>2604</v>
      </c>
      <c r="O566" s="61" t="s">
        <v>2734</v>
      </c>
      <c r="P566" s="61">
        <v>2.0</v>
      </c>
      <c r="Q566" s="66" t="s">
        <v>2784</v>
      </c>
      <c r="R566" s="27" t="str">
        <f>IFERROR(__xludf.DUMMYFUNCTION("IF(REGEXMATCH(N566, ""PRIORITY: Low""), ""Low"", IF(REGEXMATCH(N566, ""PRIORITY: Medium""), ""Medium"", IF(REGEXMATCH(N566, ""PRIORITY: High""), ""High"", """")))
"),"")</f>
        <v/>
      </c>
      <c r="S566" s="27" t="str">
        <f>IFERROR(__xludf.DUMMYFUNCTION("IF(REGEXMATCH(N566, ""SKILL: Low""), ""Low"", IF(REGEXMATCH(N566, ""SKILL: Medium""), ""Medium"", IF(REGEXMATCH(N566, ""SKILL: High""), ""High"", """")))"),"")</f>
        <v/>
      </c>
      <c r="T566" s="27" t="str">
        <f>IFERROR(__xludf.DUMMYFUNCTION("IF(REGEXMATCH(N566, ""STATUS: Dev Complete - Awaiting QA""), ""Dev Complete - Awaiting QA"", IF(REGEXMATCH(N566, ""STATUS: Follow-Up Required""), ""Follow-Up Required"", IF(REGEXMATCH(N566, ""STATUS: In Progress""), ""In Progress"", IF(REGEXMATCH(N566, """&amp;"STATUS: In QA""), ""In QA"", IF(REGEXMATCH(N566, ""STATUS: Needs Customer Feedback""), ""Needs Customer Feedback"", IF(REGEXMATCH(N566, ""STATUS: QA Passed - Awaiting Release""), ""QA Passed - Awaiting Release"", IF(REGEXMATCH(N566, ""STATUS: Release to P"&amp;"rod""), ""Release to Prod"", """")))))))"),"")</f>
        <v/>
      </c>
    </row>
    <row r="567" hidden="1">
      <c r="A567" s="61" t="s">
        <v>2546</v>
      </c>
      <c r="B567" s="12" t="s">
        <v>32</v>
      </c>
      <c r="C567" s="61">
        <v>149.0</v>
      </c>
      <c r="D567" s="62" t="s">
        <v>2785</v>
      </c>
      <c r="E567" s="56" t="s">
        <v>173</v>
      </c>
      <c r="F567" s="61" t="s">
        <v>2786</v>
      </c>
      <c r="G567" s="57" t="str">
        <f t="shared" si="1"/>
        <v>04-Sep-2025</v>
      </c>
      <c r="H567" s="61" t="s">
        <v>44</v>
      </c>
      <c r="I567" s="61" t="s">
        <v>2787</v>
      </c>
      <c r="J567" s="27" t="str">
        <f t="shared" si="4"/>
        <v>18-Nov-2025</v>
      </c>
      <c r="K567" s="61" t="s">
        <v>2787</v>
      </c>
      <c r="L567" s="27" t="str">
        <f t="shared" si="5"/>
        <v>18-Nov-2025</v>
      </c>
      <c r="M567" s="63" t="s">
        <v>291</v>
      </c>
      <c r="N567" s="61" t="s">
        <v>177</v>
      </c>
      <c r="O567" s="61" t="s">
        <v>2555</v>
      </c>
      <c r="P567" s="61">
        <v>4.0</v>
      </c>
      <c r="Q567" s="66" t="s">
        <v>2788</v>
      </c>
      <c r="R567" s="27" t="str">
        <f>IFERROR(__xludf.DUMMYFUNCTION("IF(REGEXMATCH(N567, ""PRIORITY: Low""), ""Low"", IF(REGEXMATCH(N567, ""PRIORITY: Medium""), ""Medium"", IF(REGEXMATCH(N567, ""PRIORITY: High""), ""High"", """")))
"),"")</f>
        <v/>
      </c>
      <c r="S567" s="27" t="str">
        <f>IFERROR(__xludf.DUMMYFUNCTION("IF(REGEXMATCH(N567, ""SKILL: Low""), ""Low"", IF(REGEXMATCH(N567, ""SKILL: Medium""), ""Medium"", IF(REGEXMATCH(N567, ""SKILL: High""), ""High"", """")))"),"")</f>
        <v/>
      </c>
      <c r="T567" s="27" t="str">
        <f>IFERROR(__xludf.DUMMYFUNCTION("IF(REGEXMATCH(N567, ""STATUS: Dev Complete - Awaiting QA""), ""Dev Complete - Awaiting QA"", IF(REGEXMATCH(N567, ""STATUS: Follow-Up Required""), ""Follow-Up Required"", IF(REGEXMATCH(N567, ""STATUS: In Progress""), ""In Progress"", IF(REGEXMATCH(N567, """&amp;"STATUS: In QA""), ""In QA"", IF(REGEXMATCH(N567, ""STATUS: Needs Customer Feedback""), ""Needs Customer Feedback"", IF(REGEXMATCH(N567, ""STATUS: QA Passed - Awaiting Release""), ""QA Passed - Awaiting Release"", IF(REGEXMATCH(N567, ""STATUS: Release to P"&amp;"rod""), ""Release to Prod"", """")))))))"),"")</f>
        <v/>
      </c>
    </row>
    <row r="568" hidden="1">
      <c r="A568" s="61" t="s">
        <v>2546</v>
      </c>
      <c r="B568" s="12" t="s">
        <v>32</v>
      </c>
      <c r="C568" s="61">
        <v>138.0</v>
      </c>
      <c r="D568" s="62" t="s">
        <v>2789</v>
      </c>
      <c r="E568" s="56" t="s">
        <v>173</v>
      </c>
      <c r="F568" s="61" t="s">
        <v>2790</v>
      </c>
      <c r="G568" s="57" t="str">
        <f t="shared" si="1"/>
        <v>28-Aug-2025</v>
      </c>
      <c r="H568" s="61" t="s">
        <v>41</v>
      </c>
      <c r="I568" s="61" t="s">
        <v>2791</v>
      </c>
      <c r="J568" s="27" t="str">
        <f t="shared" si="4"/>
        <v>20-Oct-2025</v>
      </c>
      <c r="K568" s="61" t="s">
        <v>2791</v>
      </c>
      <c r="L568" s="27" t="str">
        <f t="shared" si="5"/>
        <v>20-Oct-2025</v>
      </c>
      <c r="M568" s="63" t="s">
        <v>249</v>
      </c>
      <c r="N568" s="61" t="s">
        <v>2792</v>
      </c>
      <c r="O568" s="61" t="s">
        <v>41</v>
      </c>
      <c r="P568" s="61">
        <v>0.0</v>
      </c>
      <c r="Q568" s="66" t="s">
        <v>2793</v>
      </c>
      <c r="R568" s="27" t="str">
        <f>IFERROR(__xludf.DUMMYFUNCTION("IF(REGEXMATCH(N568, ""PRIORITY: Low""), ""Low"", IF(REGEXMATCH(N568, ""PRIORITY: Medium""), ""Medium"", IF(REGEXMATCH(N568, ""PRIORITY: High""), ""High"", """")))
"),"High")</f>
        <v>High</v>
      </c>
      <c r="S568" s="27" t="str">
        <f>IFERROR(__xludf.DUMMYFUNCTION("IF(REGEXMATCH(N568, ""SKILL: Low""), ""Low"", IF(REGEXMATCH(N568, ""SKILL: Medium""), ""Medium"", IF(REGEXMATCH(N568, ""SKILL: High""), ""High"", """")))"),"High")</f>
        <v>High</v>
      </c>
      <c r="T568" s="27" t="str">
        <f>IFERROR(__xludf.DUMMYFUNCTION("IF(REGEXMATCH(N568, ""STATUS: Dev Complete - Awaiting QA""), ""Dev Complete - Awaiting QA"", IF(REGEXMATCH(N568, ""STATUS: Follow-Up Required""), ""Follow-Up Required"", IF(REGEXMATCH(N568, ""STATUS: In Progress""), ""In Progress"", IF(REGEXMATCH(N568, """&amp;"STATUS: In QA""), ""In QA"", IF(REGEXMATCH(N568, ""STATUS: Needs Customer Feedback""), ""Needs Customer Feedback"", IF(REGEXMATCH(N568, ""STATUS: QA Passed - Awaiting Release""), ""QA Passed - Awaiting Release"", IF(REGEXMATCH(N568, ""STATUS: Release to P"&amp;"rod""), ""Release to Prod"", """")))))))"),"In Progress")</f>
        <v>In Progress</v>
      </c>
    </row>
    <row r="569" hidden="1">
      <c r="A569" s="61" t="s">
        <v>2546</v>
      </c>
      <c r="B569" s="12" t="s">
        <v>32</v>
      </c>
      <c r="C569" s="61">
        <v>132.0</v>
      </c>
      <c r="D569" s="62" t="s">
        <v>2794</v>
      </c>
      <c r="E569" s="56" t="s">
        <v>173</v>
      </c>
      <c r="F569" s="61" t="s">
        <v>2795</v>
      </c>
      <c r="G569" s="57" t="str">
        <f t="shared" si="1"/>
        <v>22-Aug-2025</v>
      </c>
      <c r="H569" s="61" t="s">
        <v>136</v>
      </c>
      <c r="I569" s="61" t="s">
        <v>2796</v>
      </c>
      <c r="J569" s="27" t="str">
        <f t="shared" si="4"/>
        <v>28-Aug-2025</v>
      </c>
      <c r="K569" s="61" t="s">
        <v>2796</v>
      </c>
      <c r="L569" s="27" t="str">
        <f t="shared" si="5"/>
        <v>28-Aug-2025</v>
      </c>
      <c r="M569" s="63" t="s">
        <v>285</v>
      </c>
      <c r="N569" s="61" t="s">
        <v>297</v>
      </c>
      <c r="O569" s="61" t="s">
        <v>41</v>
      </c>
      <c r="P569" s="61">
        <v>0.0</v>
      </c>
      <c r="Q569" s="66" t="s">
        <v>2797</v>
      </c>
      <c r="R569" s="27" t="str">
        <f>IFERROR(__xludf.DUMMYFUNCTION("IF(REGEXMATCH(N569, ""PRIORITY: Low""), ""Low"", IF(REGEXMATCH(N569, ""PRIORITY: Medium""), ""Medium"", IF(REGEXMATCH(N569, ""PRIORITY: High""), ""High"", """")))
"),"High")</f>
        <v>High</v>
      </c>
      <c r="S569" s="27" t="str">
        <f>IFERROR(__xludf.DUMMYFUNCTION("IF(REGEXMATCH(N569, ""SKILL: Low""), ""Low"", IF(REGEXMATCH(N569, ""SKILL: Medium""), ""Medium"", IF(REGEXMATCH(N569, ""SKILL: High""), ""High"", """")))"),"Medium")</f>
        <v>Medium</v>
      </c>
      <c r="T569" s="27" t="str">
        <f>IFERROR(__xludf.DUMMYFUNCTION("IF(REGEXMATCH(N569, ""STATUS: Dev Complete - Awaiting QA""), ""Dev Complete - Awaiting QA"", IF(REGEXMATCH(N569, ""STATUS: Follow-Up Required""), ""Follow-Up Required"", IF(REGEXMATCH(N569, ""STATUS: In Progress""), ""In Progress"", IF(REGEXMATCH(N569, """&amp;"STATUS: In QA""), ""In QA"", IF(REGEXMATCH(N569, ""STATUS: Needs Customer Feedback""), ""Needs Customer Feedback"", IF(REGEXMATCH(N569, ""STATUS: QA Passed - Awaiting Release""), ""QA Passed - Awaiting Release"", IF(REGEXMATCH(N569, ""STATUS: Release to P"&amp;"rod""), ""Release to Prod"", """")))))))"),"")</f>
        <v/>
      </c>
    </row>
    <row r="570" hidden="1">
      <c r="A570" s="61" t="s">
        <v>2546</v>
      </c>
      <c r="B570" s="12" t="s">
        <v>32</v>
      </c>
      <c r="C570" s="61">
        <v>127.0</v>
      </c>
      <c r="D570" s="62" t="s">
        <v>2798</v>
      </c>
      <c r="E570" s="56" t="s">
        <v>173</v>
      </c>
      <c r="F570" s="61" t="s">
        <v>2799</v>
      </c>
      <c r="G570" s="57" t="str">
        <f t="shared" si="1"/>
        <v>21-Aug-2025</v>
      </c>
      <c r="H570" s="61" t="s">
        <v>47</v>
      </c>
      <c r="I570" s="61" t="s">
        <v>2800</v>
      </c>
      <c r="J570" s="27" t="str">
        <f t="shared" si="4"/>
        <v>18-Sep-2025</v>
      </c>
      <c r="K570" s="61" t="s">
        <v>2800</v>
      </c>
      <c r="L570" s="27" t="str">
        <f t="shared" si="5"/>
        <v>18-Sep-2025</v>
      </c>
      <c r="M570" s="63" t="s">
        <v>285</v>
      </c>
      <c r="N570" s="61" t="s">
        <v>2801</v>
      </c>
      <c r="O570" s="61" t="s">
        <v>47</v>
      </c>
      <c r="P570" s="61">
        <v>7.0</v>
      </c>
      <c r="Q570" s="66" t="s">
        <v>2802</v>
      </c>
      <c r="R570" s="27" t="str">
        <f>IFERROR(__xludf.DUMMYFUNCTION("IF(REGEXMATCH(N570, ""PRIORITY: Low""), ""Low"", IF(REGEXMATCH(N570, ""PRIORITY: Medium""), ""Medium"", IF(REGEXMATCH(N570, ""PRIORITY: High""), ""High"", """")))
"),"Medium")</f>
        <v>Medium</v>
      </c>
      <c r="S570" s="27" t="str">
        <f>IFERROR(__xludf.DUMMYFUNCTION("IF(REGEXMATCH(N570, ""SKILL: Low""), ""Low"", IF(REGEXMATCH(N570, ""SKILL: Medium""), ""Medium"", IF(REGEXMATCH(N570, ""SKILL: High""), ""High"", """")))"),"Low")</f>
        <v>Low</v>
      </c>
      <c r="T570" s="27" t="str">
        <f>IFERROR(__xludf.DUMMYFUNCTION("IF(REGEXMATCH(N570, ""STATUS: Dev Complete - Awaiting QA""), ""Dev Complete - Awaiting QA"", IF(REGEXMATCH(N570, ""STATUS: Follow-Up Required""), ""Follow-Up Required"", IF(REGEXMATCH(N570, ""STATUS: In Progress""), ""In Progress"", IF(REGEXMATCH(N570, """&amp;"STATUS: In QA""), ""In QA"", IF(REGEXMATCH(N570, ""STATUS: Needs Customer Feedback""), ""Needs Customer Feedback"", IF(REGEXMATCH(N570, ""STATUS: QA Passed - Awaiting Release""), ""QA Passed - Awaiting Release"", IF(REGEXMATCH(N570, ""STATUS: Release to P"&amp;"rod""), ""Release to Prod"", """")))))))"),"Follow-Up Required")</f>
        <v>Follow-Up Required</v>
      </c>
    </row>
    <row r="571" hidden="1">
      <c r="A571" s="61" t="s">
        <v>2546</v>
      </c>
      <c r="B571" s="12" t="s">
        <v>32</v>
      </c>
      <c r="C571" s="61">
        <v>123.0</v>
      </c>
      <c r="D571" s="62" t="s">
        <v>2803</v>
      </c>
      <c r="E571" s="56" t="s">
        <v>173</v>
      </c>
      <c r="F571" s="61" t="s">
        <v>2804</v>
      </c>
      <c r="G571" s="57" t="str">
        <f t="shared" si="1"/>
        <v>19-Aug-2025</v>
      </c>
      <c r="H571" s="61" t="s">
        <v>47</v>
      </c>
      <c r="I571" s="61" t="s">
        <v>2805</v>
      </c>
      <c r="J571" s="27" t="str">
        <f t="shared" si="4"/>
        <v>21-Aug-2025</v>
      </c>
      <c r="K571" s="61" t="s">
        <v>2805</v>
      </c>
      <c r="L571" s="27" t="str">
        <f t="shared" si="5"/>
        <v>21-Aug-2025</v>
      </c>
      <c r="M571" s="63" t="s">
        <v>15</v>
      </c>
      <c r="N571" s="61" t="s">
        <v>177</v>
      </c>
      <c r="O571" s="61" t="s">
        <v>47</v>
      </c>
      <c r="P571" s="61">
        <v>1.0</v>
      </c>
      <c r="Q571" s="66" t="s">
        <v>2806</v>
      </c>
      <c r="R571" s="27" t="str">
        <f>IFERROR(__xludf.DUMMYFUNCTION("IF(REGEXMATCH(N571, ""PRIORITY: Low""), ""Low"", IF(REGEXMATCH(N571, ""PRIORITY: Medium""), ""Medium"", IF(REGEXMATCH(N571, ""PRIORITY: High""), ""High"", """")))
"),"")</f>
        <v/>
      </c>
      <c r="S571" s="27" t="str">
        <f>IFERROR(__xludf.DUMMYFUNCTION("IF(REGEXMATCH(N571, ""SKILL: Low""), ""Low"", IF(REGEXMATCH(N571, ""SKILL: Medium""), ""Medium"", IF(REGEXMATCH(N571, ""SKILL: High""), ""High"", """")))"),"")</f>
        <v/>
      </c>
      <c r="T571" s="27" t="str">
        <f>IFERROR(__xludf.DUMMYFUNCTION("IF(REGEXMATCH(N571, ""STATUS: Dev Complete - Awaiting QA""), ""Dev Complete - Awaiting QA"", IF(REGEXMATCH(N571, ""STATUS: Follow-Up Required""), ""Follow-Up Required"", IF(REGEXMATCH(N571, ""STATUS: In Progress""), ""In Progress"", IF(REGEXMATCH(N571, """&amp;"STATUS: In QA""), ""In QA"", IF(REGEXMATCH(N571, ""STATUS: Needs Customer Feedback""), ""Needs Customer Feedback"", IF(REGEXMATCH(N571, ""STATUS: QA Passed - Awaiting Release""), ""QA Passed - Awaiting Release"", IF(REGEXMATCH(N571, ""STATUS: Release to P"&amp;"rod""), ""Release to Prod"", """")))))))"),"")</f>
        <v/>
      </c>
    </row>
    <row r="572" hidden="1">
      <c r="A572" s="61" t="s">
        <v>2546</v>
      </c>
      <c r="B572" s="12" t="s">
        <v>32</v>
      </c>
      <c r="C572" s="61">
        <v>122.0</v>
      </c>
      <c r="D572" s="62" t="s">
        <v>2807</v>
      </c>
      <c r="E572" s="56" t="s">
        <v>173</v>
      </c>
      <c r="F572" s="61" t="s">
        <v>2808</v>
      </c>
      <c r="G572" s="57" t="str">
        <f t="shared" si="1"/>
        <v>18-Aug-2025</v>
      </c>
      <c r="H572" s="61" t="s">
        <v>41</v>
      </c>
      <c r="I572" s="61" t="s">
        <v>2809</v>
      </c>
      <c r="J572" s="27" t="str">
        <f t="shared" si="4"/>
        <v>03-Sep-2025</v>
      </c>
      <c r="K572" s="61" t="s">
        <v>2809</v>
      </c>
      <c r="L572" s="27" t="str">
        <f t="shared" si="5"/>
        <v>03-Sep-2025</v>
      </c>
      <c r="M572" s="63" t="s">
        <v>291</v>
      </c>
      <c r="N572" s="61" t="s">
        <v>2810</v>
      </c>
      <c r="O572" s="61" t="s">
        <v>275</v>
      </c>
      <c r="P572" s="61">
        <v>2.0</v>
      </c>
      <c r="Q572" s="66" t="s">
        <v>2811</v>
      </c>
      <c r="R572" s="27" t="str">
        <f>IFERROR(__xludf.DUMMYFUNCTION("IF(REGEXMATCH(N572, ""PRIORITY: Low""), ""Low"", IF(REGEXMATCH(N572, ""PRIORITY: Medium""), ""Medium"", IF(REGEXMATCH(N572, ""PRIORITY: High""), ""High"", """")))
"),"")</f>
        <v/>
      </c>
      <c r="S572" s="27" t="str">
        <f>IFERROR(__xludf.DUMMYFUNCTION("IF(REGEXMATCH(N572, ""SKILL: Low""), ""Low"", IF(REGEXMATCH(N572, ""SKILL: Medium""), ""Medium"", IF(REGEXMATCH(N572, ""SKILL: High""), ""High"", """")))"),"")</f>
        <v/>
      </c>
      <c r="T572" s="27" t="str">
        <f>IFERROR(__xludf.DUMMYFUNCTION("IF(REGEXMATCH(N572, ""STATUS: Dev Complete - Awaiting QA""), ""Dev Complete - Awaiting QA"", IF(REGEXMATCH(N572, ""STATUS: Follow-Up Required""), ""Follow-Up Required"", IF(REGEXMATCH(N572, ""STATUS: In Progress""), ""In Progress"", IF(REGEXMATCH(N572, """&amp;"STATUS: In QA""), ""In QA"", IF(REGEXMATCH(N572, ""STATUS: Needs Customer Feedback""), ""Needs Customer Feedback"", IF(REGEXMATCH(N572, ""STATUS: QA Passed - Awaiting Release""), ""QA Passed - Awaiting Release"", IF(REGEXMATCH(N572, ""STATUS: Release to P"&amp;"rod""), ""Release to Prod"", """")))))))"),"")</f>
        <v/>
      </c>
    </row>
    <row r="573" hidden="1">
      <c r="A573" s="61" t="s">
        <v>2546</v>
      </c>
      <c r="B573" s="12" t="s">
        <v>32</v>
      </c>
      <c r="C573" s="61">
        <v>115.0</v>
      </c>
      <c r="D573" s="62" t="s">
        <v>2812</v>
      </c>
      <c r="E573" s="56" t="s">
        <v>173</v>
      </c>
      <c r="F573" s="61" t="s">
        <v>2813</v>
      </c>
      <c r="G573" s="57" t="str">
        <f t="shared" si="1"/>
        <v>17-Aug-2025</v>
      </c>
      <c r="H573" s="61" t="s">
        <v>41</v>
      </c>
      <c r="I573" s="61" t="s">
        <v>2814</v>
      </c>
      <c r="J573" s="27" t="str">
        <f t="shared" si="4"/>
        <v>20-Oct-2025</v>
      </c>
      <c r="K573" s="61" t="s">
        <v>2814</v>
      </c>
      <c r="L573" s="27" t="str">
        <f t="shared" si="5"/>
        <v>20-Oct-2025</v>
      </c>
      <c r="M573" s="63" t="s">
        <v>291</v>
      </c>
      <c r="N573" s="61" t="s">
        <v>265</v>
      </c>
      <c r="O573" s="61" t="s">
        <v>47</v>
      </c>
      <c r="P573" s="61">
        <v>1.0</v>
      </c>
      <c r="Q573" s="66" t="s">
        <v>2815</v>
      </c>
      <c r="R573" s="27" t="str">
        <f>IFERROR(__xludf.DUMMYFUNCTION("IF(REGEXMATCH(N573, ""PRIORITY: Low""), ""Low"", IF(REGEXMATCH(N573, ""PRIORITY: Medium""), ""Medium"", IF(REGEXMATCH(N573, ""PRIORITY: High""), ""High"", """")))
"),"Medium")</f>
        <v>Medium</v>
      </c>
      <c r="S573" s="27" t="str">
        <f>IFERROR(__xludf.DUMMYFUNCTION("IF(REGEXMATCH(N573, ""SKILL: Low""), ""Low"", IF(REGEXMATCH(N573, ""SKILL: Medium""), ""Medium"", IF(REGEXMATCH(N573, ""SKILL: High""), ""High"", """")))"),"Medium")</f>
        <v>Medium</v>
      </c>
      <c r="T573" s="27" t="str">
        <f>IFERROR(__xludf.DUMMYFUNCTION("IF(REGEXMATCH(N573, ""STATUS: Dev Complete - Awaiting QA""), ""Dev Complete - Awaiting QA"", IF(REGEXMATCH(N573, ""STATUS: Follow-Up Required""), ""Follow-Up Required"", IF(REGEXMATCH(N573, ""STATUS: In Progress""), ""In Progress"", IF(REGEXMATCH(N573, """&amp;"STATUS: In QA""), ""In QA"", IF(REGEXMATCH(N573, ""STATUS: Needs Customer Feedback""), ""Needs Customer Feedback"", IF(REGEXMATCH(N573, ""STATUS: QA Passed - Awaiting Release""), ""QA Passed - Awaiting Release"", IF(REGEXMATCH(N573, ""STATUS: Release to P"&amp;"rod""), ""Release to Prod"", """")))))))"),"In Progress")</f>
        <v>In Progress</v>
      </c>
    </row>
    <row r="574" hidden="1">
      <c r="A574" s="61" t="s">
        <v>2546</v>
      </c>
      <c r="B574" s="12" t="s">
        <v>32</v>
      </c>
      <c r="C574" s="61">
        <v>114.0</v>
      </c>
      <c r="D574" s="62" t="s">
        <v>2816</v>
      </c>
      <c r="E574" s="56" t="s">
        <v>173</v>
      </c>
      <c r="F574" s="61" t="s">
        <v>2817</v>
      </c>
      <c r="G574" s="57" t="str">
        <f t="shared" si="1"/>
        <v>17-Aug-2025</v>
      </c>
      <c r="H574" s="61" t="s">
        <v>41</v>
      </c>
      <c r="I574" s="61" t="s">
        <v>2818</v>
      </c>
      <c r="J574" s="27" t="str">
        <f t="shared" si="4"/>
        <v>20-Oct-2025</v>
      </c>
      <c r="K574" s="61" t="s">
        <v>2818</v>
      </c>
      <c r="L574" s="27" t="str">
        <f t="shared" si="5"/>
        <v>20-Oct-2025</v>
      </c>
      <c r="M574" s="63" t="s">
        <v>249</v>
      </c>
      <c r="N574" s="61" t="s">
        <v>2792</v>
      </c>
      <c r="O574" s="61" t="s">
        <v>2098</v>
      </c>
      <c r="P574" s="61">
        <v>2.0</v>
      </c>
      <c r="Q574" s="66" t="s">
        <v>2819</v>
      </c>
      <c r="R574" s="27" t="str">
        <f>IFERROR(__xludf.DUMMYFUNCTION("IF(REGEXMATCH(N574, ""PRIORITY: Low""), ""Low"", IF(REGEXMATCH(N574, ""PRIORITY: Medium""), ""Medium"", IF(REGEXMATCH(N574, ""PRIORITY: High""), ""High"", """")))
"),"High")</f>
        <v>High</v>
      </c>
      <c r="S574" s="27" t="str">
        <f>IFERROR(__xludf.DUMMYFUNCTION("IF(REGEXMATCH(N574, ""SKILL: Low""), ""Low"", IF(REGEXMATCH(N574, ""SKILL: Medium""), ""Medium"", IF(REGEXMATCH(N574, ""SKILL: High""), ""High"", """")))"),"High")</f>
        <v>High</v>
      </c>
      <c r="T574" s="27" t="str">
        <f>IFERROR(__xludf.DUMMYFUNCTION("IF(REGEXMATCH(N574, ""STATUS: Dev Complete - Awaiting QA""), ""Dev Complete - Awaiting QA"", IF(REGEXMATCH(N574, ""STATUS: Follow-Up Required""), ""Follow-Up Required"", IF(REGEXMATCH(N574, ""STATUS: In Progress""), ""In Progress"", IF(REGEXMATCH(N574, """&amp;"STATUS: In QA""), ""In QA"", IF(REGEXMATCH(N574, ""STATUS: Needs Customer Feedback""), ""Needs Customer Feedback"", IF(REGEXMATCH(N574, ""STATUS: QA Passed - Awaiting Release""), ""QA Passed - Awaiting Release"", IF(REGEXMATCH(N574, ""STATUS: Release to P"&amp;"rod""), ""Release to Prod"", """")))))))"),"In Progress")</f>
        <v>In Progress</v>
      </c>
    </row>
    <row r="575" hidden="1">
      <c r="A575" s="61" t="s">
        <v>2546</v>
      </c>
      <c r="B575" s="12" t="s">
        <v>32</v>
      </c>
      <c r="C575" s="61">
        <v>113.0</v>
      </c>
      <c r="D575" s="62" t="s">
        <v>2820</v>
      </c>
      <c r="E575" s="56" t="s">
        <v>173</v>
      </c>
      <c r="F575" s="61" t="s">
        <v>2821</v>
      </c>
      <c r="G575" s="57" t="str">
        <f t="shared" si="1"/>
        <v>17-Aug-2025</v>
      </c>
      <c r="H575" s="61" t="s">
        <v>41</v>
      </c>
      <c r="I575" s="61" t="s">
        <v>2822</v>
      </c>
      <c r="J575" s="27" t="str">
        <f t="shared" si="4"/>
        <v>28-Aug-2025</v>
      </c>
      <c r="K575" s="61" t="s">
        <v>2822</v>
      </c>
      <c r="L575" s="27" t="str">
        <f t="shared" si="5"/>
        <v>28-Aug-2025</v>
      </c>
      <c r="M575" s="63" t="s">
        <v>249</v>
      </c>
      <c r="N575" s="61" t="s">
        <v>265</v>
      </c>
      <c r="O575" s="61" t="s">
        <v>47</v>
      </c>
      <c r="P575" s="61">
        <v>1.0</v>
      </c>
      <c r="Q575" s="66" t="s">
        <v>2823</v>
      </c>
      <c r="R575" s="27" t="str">
        <f>IFERROR(__xludf.DUMMYFUNCTION("IF(REGEXMATCH(N575, ""PRIORITY: Low""), ""Low"", IF(REGEXMATCH(N575, ""PRIORITY: Medium""), ""Medium"", IF(REGEXMATCH(N575, ""PRIORITY: High""), ""High"", """")))
"),"Medium")</f>
        <v>Medium</v>
      </c>
      <c r="S575" s="27" t="str">
        <f>IFERROR(__xludf.DUMMYFUNCTION("IF(REGEXMATCH(N575, ""SKILL: Low""), ""Low"", IF(REGEXMATCH(N575, ""SKILL: Medium""), ""Medium"", IF(REGEXMATCH(N575, ""SKILL: High""), ""High"", """")))"),"Medium")</f>
        <v>Medium</v>
      </c>
      <c r="T575" s="27" t="str">
        <f>IFERROR(__xludf.DUMMYFUNCTION("IF(REGEXMATCH(N575, ""STATUS: Dev Complete - Awaiting QA""), ""Dev Complete - Awaiting QA"", IF(REGEXMATCH(N575, ""STATUS: Follow-Up Required""), ""Follow-Up Required"", IF(REGEXMATCH(N575, ""STATUS: In Progress""), ""In Progress"", IF(REGEXMATCH(N575, """&amp;"STATUS: In QA""), ""In QA"", IF(REGEXMATCH(N575, ""STATUS: Needs Customer Feedback""), ""Needs Customer Feedback"", IF(REGEXMATCH(N575, ""STATUS: QA Passed - Awaiting Release""), ""QA Passed - Awaiting Release"", IF(REGEXMATCH(N575, ""STATUS: Release to P"&amp;"rod""), ""Release to Prod"", """")))))))"),"In Progress")</f>
        <v>In Progress</v>
      </c>
    </row>
    <row r="576" hidden="1">
      <c r="A576" s="61" t="s">
        <v>2546</v>
      </c>
      <c r="B576" s="12" t="s">
        <v>32</v>
      </c>
      <c r="C576" s="61">
        <v>112.0</v>
      </c>
      <c r="D576" s="62" t="s">
        <v>2824</v>
      </c>
      <c r="E576" s="56" t="s">
        <v>173</v>
      </c>
      <c r="F576" s="61" t="s">
        <v>2825</v>
      </c>
      <c r="G576" s="57" t="str">
        <f t="shared" si="1"/>
        <v>17-Aug-2025</v>
      </c>
      <c r="H576" s="61" t="s">
        <v>41</v>
      </c>
      <c r="I576" s="61" t="s">
        <v>2826</v>
      </c>
      <c r="J576" s="27" t="str">
        <f t="shared" si="4"/>
        <v>18-Nov-2025</v>
      </c>
      <c r="K576" s="61" t="s">
        <v>2826</v>
      </c>
      <c r="L576" s="27" t="str">
        <f t="shared" si="5"/>
        <v>18-Nov-2025</v>
      </c>
      <c r="M576" s="63" t="s">
        <v>291</v>
      </c>
      <c r="N576" s="61" t="s">
        <v>2207</v>
      </c>
      <c r="O576" s="61" t="s">
        <v>41</v>
      </c>
      <c r="P576" s="61">
        <v>4.0</v>
      </c>
      <c r="Q576" s="66" t="s">
        <v>2827</v>
      </c>
      <c r="R576" s="27" t="str">
        <f>IFERROR(__xludf.DUMMYFUNCTION("IF(REGEXMATCH(N576, ""PRIORITY: Low""), ""Low"", IF(REGEXMATCH(N576, ""PRIORITY: Medium""), ""Medium"", IF(REGEXMATCH(N576, ""PRIORITY: High""), ""High"", """")))
"),"High")</f>
        <v>High</v>
      </c>
      <c r="S576" s="27" t="str">
        <f>IFERROR(__xludf.DUMMYFUNCTION("IF(REGEXMATCH(N576, ""SKILL: Low""), ""Low"", IF(REGEXMATCH(N576, ""SKILL: Medium""), ""Medium"", IF(REGEXMATCH(N576, ""SKILL: High""), ""High"", """")))"),"Medium")</f>
        <v>Medium</v>
      </c>
      <c r="T576" s="27" t="str">
        <f>IFERROR(__xludf.DUMMYFUNCTION("IF(REGEXMATCH(N576, ""STATUS: Dev Complete - Awaiting QA""), ""Dev Complete - Awaiting QA"", IF(REGEXMATCH(N576, ""STATUS: Follow-Up Required""), ""Follow-Up Required"", IF(REGEXMATCH(N576, ""STATUS: In Progress""), ""In Progress"", IF(REGEXMATCH(N576, """&amp;"STATUS: In QA""), ""In QA"", IF(REGEXMATCH(N576, ""STATUS: Needs Customer Feedback""), ""Needs Customer Feedback"", IF(REGEXMATCH(N576, ""STATUS: QA Passed - Awaiting Release""), ""QA Passed - Awaiting Release"", IF(REGEXMATCH(N576, ""STATUS: Release to P"&amp;"rod""), ""Release to Prod"", """")))))))"),"In Progress")</f>
        <v>In Progress</v>
      </c>
    </row>
    <row r="577" hidden="1">
      <c r="A577" s="61" t="s">
        <v>2546</v>
      </c>
      <c r="B577" s="12" t="s">
        <v>32</v>
      </c>
      <c r="C577" s="61">
        <v>111.0</v>
      </c>
      <c r="D577" s="62" t="s">
        <v>2828</v>
      </c>
      <c r="E577" s="56" t="s">
        <v>173</v>
      </c>
      <c r="F577" s="61" t="s">
        <v>2829</v>
      </c>
      <c r="G577" s="57" t="str">
        <f t="shared" si="1"/>
        <v>17-Aug-2025</v>
      </c>
      <c r="H577" s="61" t="s">
        <v>41</v>
      </c>
      <c r="I577" s="61" t="s">
        <v>2830</v>
      </c>
      <c r="J577" s="27" t="str">
        <f t="shared" si="4"/>
        <v>18-Nov-2025</v>
      </c>
      <c r="K577" s="61" t="s">
        <v>2830</v>
      </c>
      <c r="L577" s="27" t="str">
        <f t="shared" si="5"/>
        <v>18-Nov-2025</v>
      </c>
      <c r="M577" s="63" t="s">
        <v>249</v>
      </c>
      <c r="N577" s="61" t="s">
        <v>2831</v>
      </c>
      <c r="O577" s="61" t="s">
        <v>44</v>
      </c>
      <c r="P577" s="61">
        <v>3.0</v>
      </c>
      <c r="Q577" s="66" t="s">
        <v>2832</v>
      </c>
      <c r="R577" s="27" t="str">
        <f>IFERROR(__xludf.DUMMYFUNCTION("IF(REGEXMATCH(N577, ""PRIORITY: Low""), ""Low"", IF(REGEXMATCH(N577, ""PRIORITY: Medium""), ""Medium"", IF(REGEXMATCH(N577, ""PRIORITY: High""), ""High"", """")))
"),"High")</f>
        <v>High</v>
      </c>
      <c r="S577" s="27" t="str">
        <f>IFERROR(__xludf.DUMMYFUNCTION("IF(REGEXMATCH(N577, ""SKILL: Low""), ""Low"", IF(REGEXMATCH(N577, ""SKILL: Medium""), ""Medium"", IF(REGEXMATCH(N577, ""SKILL: High""), ""High"", """")))"),"High")</f>
        <v>High</v>
      </c>
      <c r="T577" s="27" t="str">
        <f>IFERROR(__xludf.DUMMYFUNCTION("IF(REGEXMATCH(N577, ""STATUS: Dev Complete - Awaiting QA""), ""Dev Complete - Awaiting QA"", IF(REGEXMATCH(N577, ""STATUS: Follow-Up Required""), ""Follow-Up Required"", IF(REGEXMATCH(N577, ""STATUS: In Progress""), ""In Progress"", IF(REGEXMATCH(N577, """&amp;"STATUS: In QA""), ""In QA"", IF(REGEXMATCH(N577, ""STATUS: Needs Customer Feedback""), ""Needs Customer Feedback"", IF(REGEXMATCH(N577, ""STATUS: QA Passed - Awaiting Release""), ""QA Passed - Awaiting Release"", IF(REGEXMATCH(N577, ""STATUS: Release to P"&amp;"rod""), ""Release to Prod"", """")))))))"),"")</f>
        <v/>
      </c>
    </row>
    <row r="578" hidden="1">
      <c r="A578" s="61" t="s">
        <v>2546</v>
      </c>
      <c r="B578" s="12" t="s">
        <v>32</v>
      </c>
      <c r="C578" s="61">
        <v>110.0</v>
      </c>
      <c r="D578" s="62" t="s">
        <v>2833</v>
      </c>
      <c r="E578" s="56" t="s">
        <v>173</v>
      </c>
      <c r="F578" s="61" t="s">
        <v>2834</v>
      </c>
      <c r="G578" s="57" t="str">
        <f t="shared" si="1"/>
        <v>17-Aug-2025</v>
      </c>
      <c r="H578" s="61" t="s">
        <v>41</v>
      </c>
      <c r="I578" s="61" t="s">
        <v>2835</v>
      </c>
      <c r="J578" s="27" t="str">
        <f t="shared" si="4"/>
        <v>18-Nov-2025</v>
      </c>
      <c r="K578" s="61" t="s">
        <v>2835</v>
      </c>
      <c r="L578" s="27" t="str">
        <f t="shared" si="5"/>
        <v>18-Nov-2025</v>
      </c>
      <c r="M578" s="63" t="s">
        <v>291</v>
      </c>
      <c r="N578" s="61" t="s">
        <v>2207</v>
      </c>
      <c r="O578" s="61" t="s">
        <v>44</v>
      </c>
      <c r="P578" s="61">
        <v>3.0</v>
      </c>
      <c r="Q578" s="66" t="s">
        <v>2836</v>
      </c>
      <c r="R578" s="27" t="str">
        <f>IFERROR(__xludf.DUMMYFUNCTION("IF(REGEXMATCH(N578, ""PRIORITY: Low""), ""Low"", IF(REGEXMATCH(N578, ""PRIORITY: Medium""), ""Medium"", IF(REGEXMATCH(N578, ""PRIORITY: High""), ""High"", """")))
"),"High")</f>
        <v>High</v>
      </c>
      <c r="S578" s="27" t="str">
        <f>IFERROR(__xludf.DUMMYFUNCTION("IF(REGEXMATCH(N578, ""SKILL: Low""), ""Low"", IF(REGEXMATCH(N578, ""SKILL: Medium""), ""Medium"", IF(REGEXMATCH(N578, ""SKILL: High""), ""High"", """")))"),"Medium")</f>
        <v>Medium</v>
      </c>
      <c r="T578" s="27" t="str">
        <f>IFERROR(__xludf.DUMMYFUNCTION("IF(REGEXMATCH(N578, ""STATUS: Dev Complete - Awaiting QA""), ""Dev Complete - Awaiting QA"", IF(REGEXMATCH(N578, ""STATUS: Follow-Up Required""), ""Follow-Up Required"", IF(REGEXMATCH(N578, ""STATUS: In Progress""), ""In Progress"", IF(REGEXMATCH(N578, """&amp;"STATUS: In QA""), ""In QA"", IF(REGEXMATCH(N578, ""STATUS: Needs Customer Feedback""), ""Needs Customer Feedback"", IF(REGEXMATCH(N578, ""STATUS: QA Passed - Awaiting Release""), ""QA Passed - Awaiting Release"", IF(REGEXMATCH(N578, ""STATUS: Release to P"&amp;"rod""), ""Release to Prod"", """")))))))"),"In Progress")</f>
        <v>In Progress</v>
      </c>
    </row>
    <row r="579" hidden="1">
      <c r="A579" s="61" t="s">
        <v>2546</v>
      </c>
      <c r="B579" s="12" t="s">
        <v>32</v>
      </c>
      <c r="C579" s="61">
        <v>109.0</v>
      </c>
      <c r="D579" s="62" t="s">
        <v>2837</v>
      </c>
      <c r="E579" s="56" t="s">
        <v>173</v>
      </c>
      <c r="F579" s="61" t="s">
        <v>2838</v>
      </c>
      <c r="G579" s="57" t="str">
        <f t="shared" si="1"/>
        <v>17-Aug-2025</v>
      </c>
      <c r="H579" s="61" t="s">
        <v>41</v>
      </c>
      <c r="I579" s="61" t="s">
        <v>2839</v>
      </c>
      <c r="J579" s="27" t="str">
        <f t="shared" si="4"/>
        <v>25-Aug-2025</v>
      </c>
      <c r="K579" s="61" t="s">
        <v>2839</v>
      </c>
      <c r="L579" s="27" t="str">
        <f t="shared" si="5"/>
        <v>25-Aug-2025</v>
      </c>
      <c r="M579" s="63" t="s">
        <v>291</v>
      </c>
      <c r="N579" s="61" t="s">
        <v>2097</v>
      </c>
      <c r="O579" s="61" t="s">
        <v>41</v>
      </c>
      <c r="P579" s="61">
        <v>1.0</v>
      </c>
      <c r="Q579" s="66" t="s">
        <v>2840</v>
      </c>
      <c r="R579" s="27" t="str">
        <f>IFERROR(__xludf.DUMMYFUNCTION("IF(REGEXMATCH(N579, ""PRIORITY: Low""), ""Low"", IF(REGEXMATCH(N579, ""PRIORITY: Medium""), ""Medium"", IF(REGEXMATCH(N579, ""PRIORITY: High""), ""High"", """")))
"),"Medium")</f>
        <v>Medium</v>
      </c>
      <c r="S579" s="27" t="str">
        <f>IFERROR(__xludf.DUMMYFUNCTION("IF(REGEXMATCH(N579, ""SKILL: Low""), ""Low"", IF(REGEXMATCH(N579, ""SKILL: Medium""), ""Medium"", IF(REGEXMATCH(N579, ""SKILL: High""), ""High"", """")))"),"High")</f>
        <v>High</v>
      </c>
      <c r="T579" s="27" t="str">
        <f>IFERROR(__xludf.DUMMYFUNCTION("IF(REGEXMATCH(N579, ""STATUS: Dev Complete - Awaiting QA""), ""Dev Complete - Awaiting QA"", IF(REGEXMATCH(N579, ""STATUS: Follow-Up Required""), ""Follow-Up Required"", IF(REGEXMATCH(N579, ""STATUS: In Progress""), ""In Progress"", IF(REGEXMATCH(N579, """&amp;"STATUS: In QA""), ""In QA"", IF(REGEXMATCH(N579, ""STATUS: Needs Customer Feedback""), ""Needs Customer Feedback"", IF(REGEXMATCH(N579, ""STATUS: QA Passed - Awaiting Release""), ""QA Passed - Awaiting Release"", IF(REGEXMATCH(N579, ""STATUS: Release to P"&amp;"rod""), ""Release to Prod"", """")))))))"),"In Progress")</f>
        <v>In Progress</v>
      </c>
    </row>
    <row r="580" hidden="1">
      <c r="A580" s="61" t="s">
        <v>2546</v>
      </c>
      <c r="B580" s="12" t="s">
        <v>32</v>
      </c>
      <c r="C580" s="61">
        <v>108.0</v>
      </c>
      <c r="D580" s="62" t="s">
        <v>2841</v>
      </c>
      <c r="E580" s="56" t="s">
        <v>173</v>
      </c>
      <c r="F580" s="61" t="s">
        <v>2842</v>
      </c>
      <c r="G580" s="57" t="str">
        <f t="shared" si="1"/>
        <v>17-Aug-2025</v>
      </c>
      <c r="H580" s="61" t="s">
        <v>41</v>
      </c>
      <c r="I580" s="61" t="s">
        <v>2843</v>
      </c>
      <c r="J580" s="27" t="str">
        <f t="shared" si="4"/>
        <v>18-Nov-2025</v>
      </c>
      <c r="K580" s="61" t="s">
        <v>2843</v>
      </c>
      <c r="L580" s="27" t="str">
        <f t="shared" si="5"/>
        <v>18-Nov-2025</v>
      </c>
      <c r="M580" s="63" t="s">
        <v>249</v>
      </c>
      <c r="N580" s="61" t="s">
        <v>2792</v>
      </c>
      <c r="O580" s="61" t="s">
        <v>41</v>
      </c>
      <c r="P580" s="61">
        <v>2.0</v>
      </c>
      <c r="Q580" s="66" t="s">
        <v>2844</v>
      </c>
      <c r="R580" s="27" t="str">
        <f>IFERROR(__xludf.DUMMYFUNCTION("IF(REGEXMATCH(N580, ""PRIORITY: Low""), ""Low"", IF(REGEXMATCH(N580, ""PRIORITY: Medium""), ""Medium"", IF(REGEXMATCH(N580, ""PRIORITY: High""), ""High"", """")))
"),"High")</f>
        <v>High</v>
      </c>
      <c r="S580" s="27" t="str">
        <f>IFERROR(__xludf.DUMMYFUNCTION("IF(REGEXMATCH(N580, ""SKILL: Low""), ""Low"", IF(REGEXMATCH(N580, ""SKILL: Medium""), ""Medium"", IF(REGEXMATCH(N580, ""SKILL: High""), ""High"", """")))"),"High")</f>
        <v>High</v>
      </c>
      <c r="T580" s="27" t="str">
        <f>IFERROR(__xludf.DUMMYFUNCTION("IF(REGEXMATCH(N580, ""STATUS: Dev Complete - Awaiting QA""), ""Dev Complete - Awaiting QA"", IF(REGEXMATCH(N580, ""STATUS: Follow-Up Required""), ""Follow-Up Required"", IF(REGEXMATCH(N580, ""STATUS: In Progress""), ""In Progress"", IF(REGEXMATCH(N580, """&amp;"STATUS: In QA""), ""In QA"", IF(REGEXMATCH(N580, ""STATUS: Needs Customer Feedback""), ""Needs Customer Feedback"", IF(REGEXMATCH(N580, ""STATUS: QA Passed - Awaiting Release""), ""QA Passed - Awaiting Release"", IF(REGEXMATCH(N580, ""STATUS: Release to P"&amp;"rod""), ""Release to Prod"", """")))))))"),"In Progress")</f>
        <v>In Progress</v>
      </c>
    </row>
    <row r="581" hidden="1">
      <c r="A581" s="61" t="s">
        <v>2546</v>
      </c>
      <c r="B581" s="12" t="s">
        <v>32</v>
      </c>
      <c r="C581" s="61">
        <v>107.0</v>
      </c>
      <c r="D581" s="62" t="s">
        <v>2845</v>
      </c>
      <c r="E581" s="56" t="s">
        <v>173</v>
      </c>
      <c r="F581" s="61" t="s">
        <v>2846</v>
      </c>
      <c r="G581" s="57" t="str">
        <f t="shared" si="1"/>
        <v>17-Aug-2025</v>
      </c>
      <c r="H581" s="61" t="s">
        <v>41</v>
      </c>
      <c r="I581" s="61" t="s">
        <v>2847</v>
      </c>
      <c r="J581" s="27" t="str">
        <f t="shared" si="4"/>
        <v>18-Nov-2025</v>
      </c>
      <c r="K581" s="61" t="s">
        <v>2847</v>
      </c>
      <c r="L581" s="27" t="str">
        <f t="shared" si="5"/>
        <v>18-Nov-2025</v>
      </c>
      <c r="M581" s="63" t="s">
        <v>291</v>
      </c>
      <c r="N581" s="61" t="s">
        <v>2207</v>
      </c>
      <c r="O581" s="61" t="s">
        <v>2098</v>
      </c>
      <c r="P581" s="61">
        <v>3.0</v>
      </c>
      <c r="Q581" s="66" t="s">
        <v>2848</v>
      </c>
      <c r="R581" s="27" t="str">
        <f>IFERROR(__xludf.DUMMYFUNCTION("IF(REGEXMATCH(N581, ""PRIORITY: Low""), ""Low"", IF(REGEXMATCH(N581, ""PRIORITY: Medium""), ""Medium"", IF(REGEXMATCH(N581, ""PRIORITY: High""), ""High"", """")))
"),"High")</f>
        <v>High</v>
      </c>
      <c r="S581" s="27" t="str">
        <f>IFERROR(__xludf.DUMMYFUNCTION("IF(REGEXMATCH(N581, ""SKILL: Low""), ""Low"", IF(REGEXMATCH(N581, ""SKILL: Medium""), ""Medium"", IF(REGEXMATCH(N581, ""SKILL: High""), ""High"", """")))"),"Medium")</f>
        <v>Medium</v>
      </c>
      <c r="T581" s="27" t="str">
        <f>IFERROR(__xludf.DUMMYFUNCTION("IF(REGEXMATCH(N581, ""STATUS: Dev Complete - Awaiting QA""), ""Dev Complete - Awaiting QA"", IF(REGEXMATCH(N581, ""STATUS: Follow-Up Required""), ""Follow-Up Required"", IF(REGEXMATCH(N581, ""STATUS: In Progress""), ""In Progress"", IF(REGEXMATCH(N581, """&amp;"STATUS: In QA""), ""In QA"", IF(REGEXMATCH(N581, ""STATUS: Needs Customer Feedback""), ""Needs Customer Feedback"", IF(REGEXMATCH(N581, ""STATUS: QA Passed - Awaiting Release""), ""QA Passed - Awaiting Release"", IF(REGEXMATCH(N581, ""STATUS: Release to P"&amp;"rod""), ""Release to Prod"", """")))))))"),"In Progress")</f>
        <v>In Progress</v>
      </c>
    </row>
    <row r="582" hidden="1">
      <c r="A582" s="61" t="s">
        <v>2546</v>
      </c>
      <c r="B582" s="12" t="s">
        <v>32</v>
      </c>
      <c r="C582" s="61">
        <v>106.0</v>
      </c>
      <c r="D582" s="62" t="s">
        <v>2845</v>
      </c>
      <c r="E582" s="56" t="s">
        <v>173</v>
      </c>
      <c r="F582" s="61" t="s">
        <v>2849</v>
      </c>
      <c r="G582" s="57" t="str">
        <f t="shared" si="1"/>
        <v>17-Aug-2025</v>
      </c>
      <c r="H582" s="61" t="s">
        <v>41</v>
      </c>
      <c r="I582" s="61" t="s">
        <v>2850</v>
      </c>
      <c r="J582" s="27" t="str">
        <f t="shared" si="4"/>
        <v>17-Aug-2025</v>
      </c>
      <c r="K582" s="61" t="s">
        <v>2850</v>
      </c>
      <c r="L582" s="27" t="str">
        <f t="shared" si="5"/>
        <v>17-Aug-2025</v>
      </c>
      <c r="M582" s="63" t="s">
        <v>291</v>
      </c>
      <c r="N582" s="61" t="s">
        <v>2207</v>
      </c>
      <c r="O582" s="61" t="s">
        <v>41</v>
      </c>
      <c r="P582" s="61">
        <v>0.0</v>
      </c>
      <c r="Q582" s="66" t="s">
        <v>2851</v>
      </c>
      <c r="R582" s="27" t="str">
        <f>IFERROR(__xludf.DUMMYFUNCTION("IF(REGEXMATCH(N582, ""PRIORITY: Low""), ""Low"", IF(REGEXMATCH(N582, ""PRIORITY: Medium""), ""Medium"", IF(REGEXMATCH(N582, ""PRIORITY: High""), ""High"", """")))
"),"High")</f>
        <v>High</v>
      </c>
      <c r="S582" s="27" t="str">
        <f>IFERROR(__xludf.DUMMYFUNCTION("IF(REGEXMATCH(N582, ""SKILL: Low""), ""Low"", IF(REGEXMATCH(N582, ""SKILL: Medium""), ""Medium"", IF(REGEXMATCH(N582, ""SKILL: High""), ""High"", """")))"),"Medium")</f>
        <v>Medium</v>
      </c>
      <c r="T582" s="27" t="str">
        <f>IFERROR(__xludf.DUMMYFUNCTION("IF(REGEXMATCH(N582, ""STATUS: Dev Complete - Awaiting QA""), ""Dev Complete - Awaiting QA"", IF(REGEXMATCH(N582, ""STATUS: Follow-Up Required""), ""Follow-Up Required"", IF(REGEXMATCH(N582, ""STATUS: In Progress""), ""In Progress"", IF(REGEXMATCH(N582, """&amp;"STATUS: In QA""), ""In QA"", IF(REGEXMATCH(N582, ""STATUS: Needs Customer Feedback""), ""Needs Customer Feedback"", IF(REGEXMATCH(N582, ""STATUS: QA Passed - Awaiting Release""), ""QA Passed - Awaiting Release"", IF(REGEXMATCH(N582, ""STATUS: Release to P"&amp;"rod""), ""Release to Prod"", """")))))))"),"In Progress")</f>
        <v>In Progress</v>
      </c>
    </row>
    <row r="583" hidden="1">
      <c r="A583" s="61" t="s">
        <v>2546</v>
      </c>
      <c r="B583" s="12" t="s">
        <v>32</v>
      </c>
      <c r="C583" s="61">
        <v>105.0</v>
      </c>
      <c r="D583" s="62" t="s">
        <v>2852</v>
      </c>
      <c r="E583" s="56" t="s">
        <v>173</v>
      </c>
      <c r="F583" s="61" t="s">
        <v>2853</v>
      </c>
      <c r="G583" s="57" t="str">
        <f t="shared" si="1"/>
        <v>17-Aug-2025</v>
      </c>
      <c r="H583" s="61" t="s">
        <v>41</v>
      </c>
      <c r="I583" s="61" t="s">
        <v>2854</v>
      </c>
      <c r="J583" s="27" t="str">
        <f t="shared" si="4"/>
        <v>17-Aug-2025</v>
      </c>
      <c r="K583" s="61" t="s">
        <v>2854</v>
      </c>
      <c r="L583" s="27" t="str">
        <f t="shared" si="5"/>
        <v>17-Aug-2025</v>
      </c>
      <c r="M583" s="63" t="s">
        <v>15</v>
      </c>
      <c r="N583" s="61" t="s">
        <v>2855</v>
      </c>
      <c r="O583" s="61" t="s">
        <v>41</v>
      </c>
      <c r="P583" s="61">
        <v>0.0</v>
      </c>
      <c r="Q583" s="66" t="s">
        <v>2856</v>
      </c>
      <c r="R583" s="27" t="str">
        <f>IFERROR(__xludf.DUMMYFUNCTION("IF(REGEXMATCH(N583, ""PRIORITY: Low""), ""Low"", IF(REGEXMATCH(N583, ""PRIORITY: Medium""), ""Medium"", IF(REGEXMATCH(N583, ""PRIORITY: High""), ""High"", """")))
"),"High")</f>
        <v>High</v>
      </c>
      <c r="S583" s="27" t="str">
        <f>IFERROR(__xludf.DUMMYFUNCTION("IF(REGEXMATCH(N583, ""SKILL: Low""), ""Low"", IF(REGEXMATCH(N583, ""SKILL: Medium""), ""Medium"", IF(REGEXMATCH(N583, ""SKILL: High""), ""High"", """")))"),"")</f>
        <v/>
      </c>
      <c r="T583" s="27" t="str">
        <f>IFERROR(__xludf.DUMMYFUNCTION("IF(REGEXMATCH(N583, ""STATUS: Dev Complete - Awaiting QA""), ""Dev Complete - Awaiting QA"", IF(REGEXMATCH(N583, ""STATUS: Follow-Up Required""), ""Follow-Up Required"", IF(REGEXMATCH(N583, ""STATUS: In Progress""), ""In Progress"", IF(REGEXMATCH(N583, """&amp;"STATUS: In QA""), ""In QA"", IF(REGEXMATCH(N583, ""STATUS: Needs Customer Feedback""), ""Needs Customer Feedback"", IF(REGEXMATCH(N583, ""STATUS: QA Passed - Awaiting Release""), ""QA Passed - Awaiting Release"", IF(REGEXMATCH(N583, ""STATUS: Release to P"&amp;"rod""), ""Release to Prod"", """")))))))"),"")</f>
        <v/>
      </c>
    </row>
    <row r="584" hidden="1">
      <c r="A584" s="61" t="s">
        <v>2546</v>
      </c>
      <c r="B584" s="12" t="s">
        <v>32</v>
      </c>
      <c r="C584" s="61">
        <v>90.0</v>
      </c>
      <c r="D584" s="62" t="s">
        <v>2857</v>
      </c>
      <c r="E584" s="56" t="s">
        <v>173</v>
      </c>
      <c r="F584" s="61" t="s">
        <v>2858</v>
      </c>
      <c r="G584" s="57" t="str">
        <f t="shared" si="1"/>
        <v>11-Aug-2025</v>
      </c>
      <c r="H584" s="61" t="s">
        <v>57</v>
      </c>
      <c r="I584" s="61" t="s">
        <v>2859</v>
      </c>
      <c r="J584" s="27" t="str">
        <f t="shared" si="4"/>
        <v>05-Sep-2025</v>
      </c>
      <c r="K584" s="61" t="s">
        <v>2859</v>
      </c>
      <c r="L584" s="27" t="str">
        <f t="shared" si="5"/>
        <v>05-Sep-2025</v>
      </c>
      <c r="M584" s="63" t="s">
        <v>291</v>
      </c>
      <c r="N584" s="61" t="s">
        <v>292</v>
      </c>
      <c r="O584" s="61" t="s">
        <v>57</v>
      </c>
      <c r="P584" s="61">
        <v>4.0</v>
      </c>
      <c r="Q584" s="66" t="s">
        <v>2860</v>
      </c>
      <c r="R584" s="27" t="str">
        <f>IFERROR(__xludf.DUMMYFUNCTION("IF(REGEXMATCH(N584, ""PRIORITY: Low""), ""Low"", IF(REGEXMATCH(N584, ""PRIORITY: Medium""), ""Medium"", IF(REGEXMATCH(N584, ""PRIORITY: High""), ""High"", """")))
"),"Low")</f>
        <v>Low</v>
      </c>
      <c r="S584" s="27" t="str">
        <f>IFERROR(__xludf.DUMMYFUNCTION("IF(REGEXMATCH(N584, ""SKILL: Low""), ""Low"", IF(REGEXMATCH(N584, ""SKILL: Medium""), ""Medium"", IF(REGEXMATCH(N584, ""SKILL: High""), ""High"", """")))"),"Low")</f>
        <v>Low</v>
      </c>
      <c r="T584" s="27" t="str">
        <f>IFERROR(__xludf.DUMMYFUNCTION("IF(REGEXMATCH(N584, ""STATUS: Dev Complete - Awaiting QA""), ""Dev Complete - Awaiting QA"", IF(REGEXMATCH(N584, ""STATUS: Follow-Up Required""), ""Follow-Up Required"", IF(REGEXMATCH(N584, ""STATUS: In Progress""), ""In Progress"", IF(REGEXMATCH(N584, """&amp;"STATUS: In QA""), ""In QA"", IF(REGEXMATCH(N584, ""STATUS: Needs Customer Feedback""), ""Needs Customer Feedback"", IF(REGEXMATCH(N584, ""STATUS: QA Passed - Awaiting Release""), ""QA Passed - Awaiting Release"", IF(REGEXMATCH(N584, ""STATUS: Release to P"&amp;"rod""), ""Release to Prod"", """")))))))"),"")</f>
        <v/>
      </c>
    </row>
    <row r="585">
      <c r="A585" s="61" t="s">
        <v>2546</v>
      </c>
      <c r="B585" s="12" t="s">
        <v>32</v>
      </c>
      <c r="C585" s="61">
        <v>82.0</v>
      </c>
      <c r="D585" s="62" t="s">
        <v>2861</v>
      </c>
      <c r="E585" s="56" t="s">
        <v>246</v>
      </c>
      <c r="F585" s="61" t="s">
        <v>2862</v>
      </c>
      <c r="G585" s="57" t="str">
        <f t="shared" si="1"/>
        <v>01-Aug-2025</v>
      </c>
      <c r="H585" s="61" t="s">
        <v>57</v>
      </c>
      <c r="I585" s="61" t="s">
        <v>2863</v>
      </c>
      <c r="J585" s="27" t="str">
        <f t="shared" si="4"/>
        <v>22-Sep-2025</v>
      </c>
      <c r="K585" s="27"/>
      <c r="L585" s="27" t="str">
        <f t="shared" si="5"/>
        <v/>
      </c>
      <c r="M585" s="63" t="s">
        <v>291</v>
      </c>
      <c r="N585" s="61" t="s">
        <v>2703</v>
      </c>
      <c r="O585" s="67" t="s">
        <v>44</v>
      </c>
      <c r="P585" s="61">
        <v>5.0</v>
      </c>
      <c r="Q585" s="66" t="s">
        <v>2864</v>
      </c>
      <c r="R585" s="27" t="str">
        <f>IFERROR(__xludf.DUMMYFUNCTION("IF(REGEXMATCH(N585, ""PRIORITY: Low""), ""Low"", IF(REGEXMATCH(N585, ""PRIORITY: Medium""), ""Medium"", IF(REGEXMATCH(N585, ""PRIORITY: High""), ""High"", """")))
"),"Medium")</f>
        <v>Medium</v>
      </c>
      <c r="S585" s="27" t="str">
        <f>IFERROR(__xludf.DUMMYFUNCTION("IF(REGEXMATCH(N585, ""SKILL: Low""), ""Low"", IF(REGEXMATCH(N585, ""SKILL: Medium""), ""Medium"", IF(REGEXMATCH(N585, ""SKILL: High""), ""High"", """")))"),"")</f>
        <v/>
      </c>
      <c r="T585" s="27" t="str">
        <f>IFERROR(__xludf.DUMMYFUNCTION("IF(REGEXMATCH(N585, ""STATUS: Dev Complete - Awaiting QA""), ""Dev Complete - Awaiting QA"", IF(REGEXMATCH(N585, ""STATUS: Follow-Up Required""), ""Follow-Up Required"", IF(REGEXMATCH(N585, ""STATUS: In Progress""), ""In Progress"", IF(REGEXMATCH(N585, """&amp;"STATUS: In QA""), ""In QA"", IF(REGEXMATCH(N585, ""STATUS: Needs Customer Feedback""), ""Needs Customer Feedback"", IF(REGEXMATCH(N585, ""STATUS: QA Passed - Awaiting Release""), ""QA Passed - Awaiting Release"", IF(REGEXMATCH(N585, ""STATUS: Release to P"&amp;"rod""), ""Release to Prod"", """")))))))"),"In Progress")</f>
        <v>In Progress</v>
      </c>
    </row>
    <row r="586">
      <c r="A586" s="61" t="s">
        <v>2546</v>
      </c>
      <c r="B586" s="12" t="s">
        <v>32</v>
      </c>
      <c r="C586" s="61">
        <v>81.0</v>
      </c>
      <c r="D586" s="62" t="s">
        <v>2865</v>
      </c>
      <c r="E586" s="56" t="s">
        <v>246</v>
      </c>
      <c r="F586" s="61" t="s">
        <v>2866</v>
      </c>
      <c r="G586" s="57" t="str">
        <f t="shared" si="1"/>
        <v>01-Aug-2025</v>
      </c>
      <c r="H586" s="61" t="s">
        <v>57</v>
      </c>
      <c r="I586" s="61" t="s">
        <v>2867</v>
      </c>
      <c r="J586" s="27" t="str">
        <f t="shared" si="4"/>
        <v>22-Sep-2025</v>
      </c>
      <c r="K586" s="27"/>
      <c r="L586" s="27" t="str">
        <f t="shared" si="5"/>
        <v/>
      </c>
      <c r="M586" s="63" t="s">
        <v>291</v>
      </c>
      <c r="N586" s="61" t="s">
        <v>2703</v>
      </c>
      <c r="O586" s="67" t="s">
        <v>2555</v>
      </c>
      <c r="P586" s="61">
        <v>5.0</v>
      </c>
      <c r="Q586" s="66" t="s">
        <v>2868</v>
      </c>
      <c r="R586" s="27" t="str">
        <f>IFERROR(__xludf.DUMMYFUNCTION("IF(REGEXMATCH(N586, ""PRIORITY: Low""), ""Low"", IF(REGEXMATCH(N586, ""PRIORITY: Medium""), ""Medium"", IF(REGEXMATCH(N586, ""PRIORITY: High""), ""High"", """")))
"),"Medium")</f>
        <v>Medium</v>
      </c>
      <c r="S586" s="27" t="str">
        <f>IFERROR(__xludf.DUMMYFUNCTION("IF(REGEXMATCH(N586, ""SKILL: Low""), ""Low"", IF(REGEXMATCH(N586, ""SKILL: Medium""), ""Medium"", IF(REGEXMATCH(N586, ""SKILL: High""), ""High"", """")))"),"")</f>
        <v/>
      </c>
      <c r="T586" s="27" t="str">
        <f>IFERROR(__xludf.DUMMYFUNCTION("IF(REGEXMATCH(N586, ""STATUS: Dev Complete - Awaiting QA""), ""Dev Complete - Awaiting QA"", IF(REGEXMATCH(N586, ""STATUS: Follow-Up Required""), ""Follow-Up Required"", IF(REGEXMATCH(N586, ""STATUS: In Progress""), ""In Progress"", IF(REGEXMATCH(N586, """&amp;"STATUS: In QA""), ""In QA"", IF(REGEXMATCH(N586, ""STATUS: Needs Customer Feedback""), ""Needs Customer Feedback"", IF(REGEXMATCH(N586, ""STATUS: QA Passed - Awaiting Release""), ""QA Passed - Awaiting Release"", IF(REGEXMATCH(N586, ""STATUS: Release to P"&amp;"rod""), ""Release to Prod"", """")))))))"),"In Progress")</f>
        <v>In Progress</v>
      </c>
    </row>
    <row r="587">
      <c r="A587" s="61" t="s">
        <v>2546</v>
      </c>
      <c r="B587" s="12" t="s">
        <v>32</v>
      </c>
      <c r="C587" s="61">
        <v>80.0</v>
      </c>
      <c r="D587" s="62" t="s">
        <v>2869</v>
      </c>
      <c r="E587" s="56" t="s">
        <v>246</v>
      </c>
      <c r="F587" s="61" t="s">
        <v>2870</v>
      </c>
      <c r="G587" s="57" t="str">
        <f t="shared" si="1"/>
        <v>01-Aug-2025</v>
      </c>
      <c r="H587" s="61" t="s">
        <v>57</v>
      </c>
      <c r="I587" s="61" t="s">
        <v>2871</v>
      </c>
      <c r="J587" s="27" t="str">
        <f t="shared" si="4"/>
        <v>20-Oct-2025</v>
      </c>
      <c r="K587" s="27"/>
      <c r="L587" s="27" t="str">
        <f t="shared" si="5"/>
        <v/>
      </c>
      <c r="M587" s="63" t="s">
        <v>291</v>
      </c>
      <c r="N587" s="61" t="s">
        <v>2207</v>
      </c>
      <c r="O587" s="67" t="s">
        <v>2581</v>
      </c>
      <c r="P587" s="61">
        <v>3.0</v>
      </c>
      <c r="Q587" s="66" t="s">
        <v>2872</v>
      </c>
      <c r="R587" s="27" t="str">
        <f>IFERROR(__xludf.DUMMYFUNCTION("IF(REGEXMATCH(N587, ""PRIORITY: Low""), ""Low"", IF(REGEXMATCH(N587, ""PRIORITY: Medium""), ""Medium"", IF(REGEXMATCH(N587, ""PRIORITY: High""), ""High"", """")))
"),"High")</f>
        <v>High</v>
      </c>
      <c r="S587" s="27" t="str">
        <f>IFERROR(__xludf.DUMMYFUNCTION("IF(REGEXMATCH(N587, ""SKILL: Low""), ""Low"", IF(REGEXMATCH(N587, ""SKILL: Medium""), ""Medium"", IF(REGEXMATCH(N587, ""SKILL: High""), ""High"", """")))"),"Medium")</f>
        <v>Medium</v>
      </c>
      <c r="T587" s="27" t="str">
        <f>IFERROR(__xludf.DUMMYFUNCTION("IF(REGEXMATCH(N587, ""STATUS: Dev Complete - Awaiting QA""), ""Dev Complete - Awaiting QA"", IF(REGEXMATCH(N587, ""STATUS: Follow-Up Required""), ""Follow-Up Required"", IF(REGEXMATCH(N587, ""STATUS: In Progress""), ""In Progress"", IF(REGEXMATCH(N587, """&amp;"STATUS: In QA""), ""In QA"", IF(REGEXMATCH(N587, ""STATUS: Needs Customer Feedback""), ""Needs Customer Feedback"", IF(REGEXMATCH(N587, ""STATUS: QA Passed - Awaiting Release""), ""QA Passed - Awaiting Release"", IF(REGEXMATCH(N587, ""STATUS: Release to P"&amp;"rod""), ""Release to Prod"", """")))))))"),"In Progress")</f>
        <v>In Progress</v>
      </c>
    </row>
    <row r="588" hidden="1">
      <c r="A588" s="61" t="s">
        <v>2546</v>
      </c>
      <c r="B588" s="12" t="s">
        <v>32</v>
      </c>
      <c r="C588" s="61">
        <v>79.0</v>
      </c>
      <c r="D588" s="62" t="s">
        <v>2873</v>
      </c>
      <c r="E588" s="56" t="s">
        <v>173</v>
      </c>
      <c r="F588" s="61" t="s">
        <v>2874</v>
      </c>
      <c r="G588" s="57" t="str">
        <f t="shared" si="1"/>
        <v>01-Aug-2025</v>
      </c>
      <c r="H588" s="61" t="s">
        <v>57</v>
      </c>
      <c r="I588" s="61" t="s">
        <v>2875</v>
      </c>
      <c r="J588" s="27" t="str">
        <f t="shared" si="4"/>
        <v>05-Sep-2025</v>
      </c>
      <c r="K588" s="61" t="s">
        <v>2875</v>
      </c>
      <c r="L588" s="27" t="str">
        <f t="shared" si="5"/>
        <v>05-Sep-2025</v>
      </c>
      <c r="M588" s="63" t="s">
        <v>291</v>
      </c>
      <c r="N588" s="61" t="s">
        <v>297</v>
      </c>
      <c r="O588" s="61" t="s">
        <v>57</v>
      </c>
      <c r="P588" s="61">
        <v>3.0</v>
      </c>
      <c r="Q588" s="66" t="s">
        <v>2876</v>
      </c>
      <c r="R588" s="27" t="str">
        <f>IFERROR(__xludf.DUMMYFUNCTION("IF(REGEXMATCH(N588, ""PRIORITY: Low""), ""Low"", IF(REGEXMATCH(N588, ""PRIORITY: Medium""), ""Medium"", IF(REGEXMATCH(N588, ""PRIORITY: High""), ""High"", """")))
"),"High")</f>
        <v>High</v>
      </c>
      <c r="S588" s="27" t="str">
        <f>IFERROR(__xludf.DUMMYFUNCTION("IF(REGEXMATCH(N588, ""SKILL: Low""), ""Low"", IF(REGEXMATCH(N588, ""SKILL: Medium""), ""Medium"", IF(REGEXMATCH(N588, ""SKILL: High""), ""High"", """")))"),"Medium")</f>
        <v>Medium</v>
      </c>
      <c r="T588" s="27" t="str">
        <f>IFERROR(__xludf.DUMMYFUNCTION("IF(REGEXMATCH(N588, ""STATUS: Dev Complete - Awaiting QA""), ""Dev Complete - Awaiting QA"", IF(REGEXMATCH(N588, ""STATUS: Follow-Up Required""), ""Follow-Up Required"", IF(REGEXMATCH(N588, ""STATUS: In Progress""), ""In Progress"", IF(REGEXMATCH(N588, """&amp;"STATUS: In QA""), ""In QA"", IF(REGEXMATCH(N588, ""STATUS: Needs Customer Feedback""), ""Needs Customer Feedback"", IF(REGEXMATCH(N588, ""STATUS: QA Passed - Awaiting Release""), ""QA Passed - Awaiting Release"", IF(REGEXMATCH(N588, ""STATUS: Release to P"&amp;"rod""), ""Release to Prod"", """")))))))"),"")</f>
        <v/>
      </c>
    </row>
    <row r="589" hidden="1">
      <c r="A589" s="61" t="s">
        <v>2546</v>
      </c>
      <c r="B589" s="12" t="s">
        <v>32</v>
      </c>
      <c r="C589" s="61">
        <v>7.0</v>
      </c>
      <c r="D589" s="62" t="s">
        <v>2877</v>
      </c>
      <c r="E589" s="56" t="s">
        <v>173</v>
      </c>
      <c r="F589" s="61" t="s">
        <v>2878</v>
      </c>
      <c r="G589" s="57" t="str">
        <f t="shared" si="1"/>
        <v>10-Jun-2025</v>
      </c>
      <c r="H589" s="61" t="s">
        <v>37</v>
      </c>
      <c r="I589" s="61" t="s">
        <v>2879</v>
      </c>
      <c r="J589" s="27" t="str">
        <f t="shared" si="4"/>
        <v>11-Aug-2025</v>
      </c>
      <c r="K589" s="61" t="s">
        <v>2879</v>
      </c>
      <c r="L589" s="27" t="str">
        <f t="shared" si="5"/>
        <v>11-Aug-2025</v>
      </c>
      <c r="M589" s="63" t="s">
        <v>291</v>
      </c>
      <c r="N589" s="61" t="s">
        <v>2097</v>
      </c>
      <c r="O589" s="61" t="s">
        <v>37</v>
      </c>
      <c r="P589" s="61">
        <v>0.0</v>
      </c>
      <c r="Q589" s="66" t="s">
        <v>2880</v>
      </c>
      <c r="R589" s="27" t="str">
        <f>IFERROR(__xludf.DUMMYFUNCTION("IF(REGEXMATCH(N589, ""PRIORITY: Low""), ""Low"", IF(REGEXMATCH(N589, ""PRIORITY: Medium""), ""Medium"", IF(REGEXMATCH(N589, ""PRIORITY: High""), ""High"", """")))
"),"Medium")</f>
        <v>Medium</v>
      </c>
      <c r="S589" s="27" t="str">
        <f>IFERROR(__xludf.DUMMYFUNCTION("IF(REGEXMATCH(N589, ""SKILL: Low""), ""Low"", IF(REGEXMATCH(N589, ""SKILL: Medium""), ""Medium"", IF(REGEXMATCH(N589, ""SKILL: High""), ""High"", """")))"),"High")</f>
        <v>High</v>
      </c>
      <c r="T589" s="27" t="str">
        <f>IFERROR(__xludf.DUMMYFUNCTION("IF(REGEXMATCH(N589, ""STATUS: Dev Complete - Awaiting QA""), ""Dev Complete - Awaiting QA"", IF(REGEXMATCH(N589, ""STATUS: Follow-Up Required""), ""Follow-Up Required"", IF(REGEXMATCH(N589, ""STATUS: In Progress""), ""In Progress"", IF(REGEXMATCH(N589, """&amp;"STATUS: In QA""), ""In QA"", IF(REGEXMATCH(N589, ""STATUS: Needs Customer Feedback""), ""Needs Customer Feedback"", IF(REGEXMATCH(N589, ""STATUS: QA Passed - Awaiting Release""), ""QA Passed - Awaiting Release"", IF(REGEXMATCH(N589, ""STATUS: Release to P"&amp;"rod""), ""Release to Prod"", """")))))))"),"In Progress")</f>
        <v>In Progress</v>
      </c>
    </row>
    <row r="590" hidden="1">
      <c r="A590" s="61" t="s">
        <v>2546</v>
      </c>
      <c r="B590" s="12" t="s">
        <v>32</v>
      </c>
      <c r="C590" s="61">
        <v>6.0</v>
      </c>
      <c r="D590" s="62" t="s">
        <v>2881</v>
      </c>
      <c r="E590" s="56" t="s">
        <v>173</v>
      </c>
      <c r="F590" s="61" t="s">
        <v>2882</v>
      </c>
      <c r="G590" s="57" t="str">
        <f t="shared" si="1"/>
        <v>10-Jun-2025</v>
      </c>
      <c r="H590" s="61" t="s">
        <v>37</v>
      </c>
      <c r="I590" s="61" t="s">
        <v>2883</v>
      </c>
      <c r="J590" s="27" t="str">
        <f t="shared" si="4"/>
        <v>11-Aug-2025</v>
      </c>
      <c r="K590" s="61" t="s">
        <v>2883</v>
      </c>
      <c r="L590" s="27" t="str">
        <f t="shared" si="5"/>
        <v>11-Aug-2025</v>
      </c>
      <c r="M590" s="63" t="s">
        <v>291</v>
      </c>
      <c r="N590" s="61" t="s">
        <v>265</v>
      </c>
      <c r="O590" s="61" t="s">
        <v>37</v>
      </c>
      <c r="P590" s="61">
        <v>0.0</v>
      </c>
      <c r="Q590" s="66" t="s">
        <v>2884</v>
      </c>
      <c r="R590" s="27" t="str">
        <f>IFERROR(__xludf.DUMMYFUNCTION("IF(REGEXMATCH(N590, ""PRIORITY: Low""), ""Low"", IF(REGEXMATCH(N590, ""PRIORITY: Medium""), ""Medium"", IF(REGEXMATCH(N590, ""PRIORITY: High""), ""High"", """")))
"),"Medium")</f>
        <v>Medium</v>
      </c>
      <c r="S590" s="27" t="str">
        <f>IFERROR(__xludf.DUMMYFUNCTION("IF(REGEXMATCH(N590, ""SKILL: Low""), ""Low"", IF(REGEXMATCH(N590, ""SKILL: Medium""), ""Medium"", IF(REGEXMATCH(N590, ""SKILL: High""), ""High"", """")))"),"Medium")</f>
        <v>Medium</v>
      </c>
      <c r="T590" s="27" t="str">
        <f>IFERROR(__xludf.DUMMYFUNCTION("IF(REGEXMATCH(N590, ""STATUS: Dev Complete - Awaiting QA""), ""Dev Complete - Awaiting QA"", IF(REGEXMATCH(N590, ""STATUS: Follow-Up Required""), ""Follow-Up Required"", IF(REGEXMATCH(N590, ""STATUS: In Progress""), ""In Progress"", IF(REGEXMATCH(N590, """&amp;"STATUS: In QA""), ""In QA"", IF(REGEXMATCH(N590, ""STATUS: Needs Customer Feedback""), ""Needs Customer Feedback"", IF(REGEXMATCH(N590, ""STATUS: QA Passed - Awaiting Release""), ""QA Passed - Awaiting Release"", IF(REGEXMATCH(N590, ""STATUS: Release to P"&amp;"rod""), ""Release to Prod"", """")))))))"),"In Progress")</f>
        <v>In Progress</v>
      </c>
    </row>
    <row r="591" hidden="1">
      <c r="A591" s="61" t="s">
        <v>2546</v>
      </c>
      <c r="B591" s="12" t="s">
        <v>32</v>
      </c>
      <c r="C591" s="61">
        <v>5.0</v>
      </c>
      <c r="D591" s="62" t="s">
        <v>2885</v>
      </c>
      <c r="E591" s="56" t="s">
        <v>173</v>
      </c>
      <c r="F591" s="61" t="s">
        <v>2886</v>
      </c>
      <c r="G591" s="57" t="str">
        <f t="shared" si="1"/>
        <v>10-Jun-2025</v>
      </c>
      <c r="H591" s="61" t="s">
        <v>37</v>
      </c>
      <c r="I591" s="61" t="s">
        <v>2887</v>
      </c>
      <c r="J591" s="27" t="str">
        <f t="shared" si="4"/>
        <v>11-Aug-2025</v>
      </c>
      <c r="K591" s="61" t="s">
        <v>2887</v>
      </c>
      <c r="L591" s="27" t="str">
        <f t="shared" si="5"/>
        <v>11-Aug-2025</v>
      </c>
      <c r="M591" s="63" t="s">
        <v>291</v>
      </c>
      <c r="N591" s="61" t="s">
        <v>2207</v>
      </c>
      <c r="O591" s="61" t="s">
        <v>37</v>
      </c>
      <c r="P591" s="61">
        <v>1.0</v>
      </c>
      <c r="Q591" s="66" t="s">
        <v>2888</v>
      </c>
      <c r="R591" s="27" t="str">
        <f>IFERROR(__xludf.DUMMYFUNCTION("IF(REGEXMATCH(N591, ""PRIORITY: Low""), ""Low"", IF(REGEXMATCH(N591, ""PRIORITY: Medium""), ""Medium"", IF(REGEXMATCH(N591, ""PRIORITY: High""), ""High"", """")))
"),"High")</f>
        <v>High</v>
      </c>
      <c r="S591" s="27" t="str">
        <f>IFERROR(__xludf.DUMMYFUNCTION("IF(REGEXMATCH(N591, ""SKILL: Low""), ""Low"", IF(REGEXMATCH(N591, ""SKILL: Medium""), ""Medium"", IF(REGEXMATCH(N591, ""SKILL: High""), ""High"", """")))"),"Medium")</f>
        <v>Medium</v>
      </c>
      <c r="T591" s="27" t="str">
        <f>IFERROR(__xludf.DUMMYFUNCTION("IF(REGEXMATCH(N591, ""STATUS: Dev Complete - Awaiting QA""), ""Dev Complete - Awaiting QA"", IF(REGEXMATCH(N591, ""STATUS: Follow-Up Required""), ""Follow-Up Required"", IF(REGEXMATCH(N591, ""STATUS: In Progress""), ""In Progress"", IF(REGEXMATCH(N591, """&amp;"STATUS: In QA""), ""In QA"", IF(REGEXMATCH(N591, ""STATUS: Needs Customer Feedback""), ""Needs Customer Feedback"", IF(REGEXMATCH(N591, ""STATUS: QA Passed - Awaiting Release""), ""QA Passed - Awaiting Release"", IF(REGEXMATCH(N591, ""STATUS: Release to P"&amp;"rod""), ""Release to Prod"", """")))))))"),"In Progress")</f>
        <v>In Progress</v>
      </c>
    </row>
    <row r="592" hidden="1">
      <c r="A592" s="61" t="s">
        <v>103</v>
      </c>
      <c r="B592" s="12" t="s">
        <v>104</v>
      </c>
      <c r="C592" s="61">
        <v>19.0</v>
      </c>
      <c r="D592" s="62" t="s">
        <v>2889</v>
      </c>
      <c r="E592" s="56" t="s">
        <v>173</v>
      </c>
      <c r="F592" s="61" t="s">
        <v>2890</v>
      </c>
      <c r="G592" s="57" t="str">
        <f t="shared" si="1"/>
        <v>11-Sep-2025</v>
      </c>
      <c r="H592" s="61" t="s">
        <v>57</v>
      </c>
      <c r="I592" s="61" t="s">
        <v>2891</v>
      </c>
      <c r="J592" s="27" t="str">
        <f t="shared" si="4"/>
        <v>26-Nov-2025</v>
      </c>
      <c r="K592" s="61" t="s">
        <v>2891</v>
      </c>
      <c r="L592" s="27" t="str">
        <f t="shared" si="5"/>
        <v>26-Nov-2025</v>
      </c>
      <c r="M592" s="63" t="s">
        <v>15</v>
      </c>
      <c r="N592" s="61" t="s">
        <v>177</v>
      </c>
      <c r="O592" s="27"/>
      <c r="P592" s="61">
        <v>1.0</v>
      </c>
      <c r="Q592" s="66" t="s">
        <v>2892</v>
      </c>
      <c r="R592" s="27" t="str">
        <f>IFERROR(__xludf.DUMMYFUNCTION("IF(REGEXMATCH(N592, ""PRIORITY: Low""), ""Low"", IF(REGEXMATCH(N592, ""PRIORITY: Medium""), ""Medium"", IF(REGEXMATCH(N592, ""PRIORITY: High""), ""High"", """")))
"),"")</f>
        <v/>
      </c>
      <c r="S592" s="27" t="str">
        <f>IFERROR(__xludf.DUMMYFUNCTION("IF(REGEXMATCH(N592, ""SKILL: Low""), ""Low"", IF(REGEXMATCH(N592, ""SKILL: Medium""), ""Medium"", IF(REGEXMATCH(N592, ""SKILL: High""), ""High"", """")))"),"")</f>
        <v/>
      </c>
      <c r="T592" s="27" t="str">
        <f>IFERROR(__xludf.DUMMYFUNCTION("IF(REGEXMATCH(N592, ""STATUS: Dev Complete - Awaiting QA""), ""Dev Complete - Awaiting QA"", IF(REGEXMATCH(N592, ""STATUS: Follow-Up Required""), ""Follow-Up Required"", IF(REGEXMATCH(N592, ""STATUS: In Progress""), ""In Progress"", IF(REGEXMATCH(N592, """&amp;"STATUS: In QA""), ""In QA"", IF(REGEXMATCH(N592, ""STATUS: Needs Customer Feedback""), ""Needs Customer Feedback"", IF(REGEXMATCH(N592, ""STATUS: QA Passed - Awaiting Release""), ""QA Passed - Awaiting Release"", IF(REGEXMATCH(N592, ""STATUS: Release to P"&amp;"rod""), ""Release to Prod"", """")))))))"),"")</f>
        <v/>
      </c>
    </row>
    <row r="593" hidden="1">
      <c r="A593" s="61" t="s">
        <v>103</v>
      </c>
      <c r="B593" s="12" t="s">
        <v>104</v>
      </c>
      <c r="C593" s="61">
        <v>17.0</v>
      </c>
      <c r="D593" s="62" t="s">
        <v>2893</v>
      </c>
      <c r="E593" s="56" t="s">
        <v>173</v>
      </c>
      <c r="F593" s="61" t="s">
        <v>2894</v>
      </c>
      <c r="G593" s="57" t="str">
        <f t="shared" si="1"/>
        <v>27-Jun-2025</v>
      </c>
      <c r="H593" s="61" t="s">
        <v>57</v>
      </c>
      <c r="I593" s="61" t="s">
        <v>2895</v>
      </c>
      <c r="J593" s="27" t="str">
        <f t="shared" si="4"/>
        <v>26-Nov-2025</v>
      </c>
      <c r="K593" s="61" t="s">
        <v>2895</v>
      </c>
      <c r="L593" s="27" t="str">
        <f t="shared" si="5"/>
        <v>26-Nov-2025</v>
      </c>
      <c r="M593" s="63" t="s">
        <v>249</v>
      </c>
      <c r="N593" s="61" t="s">
        <v>2896</v>
      </c>
      <c r="O593" s="61" t="s">
        <v>37</v>
      </c>
      <c r="P593" s="61">
        <v>1.0</v>
      </c>
      <c r="Q593" s="66" t="s">
        <v>2897</v>
      </c>
      <c r="R593" s="27" t="str">
        <f>IFERROR(__xludf.DUMMYFUNCTION("IF(REGEXMATCH(N593, ""PRIORITY: Low""), ""Low"", IF(REGEXMATCH(N593, ""PRIORITY: Medium""), ""Medium"", IF(REGEXMATCH(N593, ""PRIORITY: High""), ""High"", """")))
"),"Medium")</f>
        <v>Medium</v>
      </c>
      <c r="S593" s="27" t="str">
        <f>IFERROR(__xludf.DUMMYFUNCTION("IF(REGEXMATCH(N593, ""SKILL: Low""), ""Low"", IF(REGEXMATCH(N593, ""SKILL: Medium""), ""Medium"", IF(REGEXMATCH(N593, ""SKILL: High""), ""High"", """")))"),"")</f>
        <v/>
      </c>
      <c r="T593" s="27" t="str">
        <f>IFERROR(__xludf.DUMMYFUNCTION("IF(REGEXMATCH(N593, ""STATUS: Dev Complete - Awaiting QA""), ""Dev Complete - Awaiting QA"", IF(REGEXMATCH(N593, ""STATUS: Follow-Up Required""), ""Follow-Up Required"", IF(REGEXMATCH(N593, ""STATUS: In Progress""), ""In Progress"", IF(REGEXMATCH(N593, """&amp;"STATUS: In QA""), ""In QA"", IF(REGEXMATCH(N593, ""STATUS: Needs Customer Feedback""), ""Needs Customer Feedback"", IF(REGEXMATCH(N593, ""STATUS: QA Passed - Awaiting Release""), ""QA Passed - Awaiting Release"", IF(REGEXMATCH(N593, ""STATUS: Release to P"&amp;"rod""), ""Release to Prod"", """")))))))"),"In Progress")</f>
        <v>In Progress</v>
      </c>
    </row>
    <row r="594" hidden="1">
      <c r="A594" s="61" t="s">
        <v>103</v>
      </c>
      <c r="B594" s="12" t="s">
        <v>104</v>
      </c>
      <c r="C594" s="61">
        <v>14.0</v>
      </c>
      <c r="D594" s="62" t="s">
        <v>2898</v>
      </c>
      <c r="E594" s="56" t="s">
        <v>173</v>
      </c>
      <c r="F594" s="61" t="s">
        <v>2899</v>
      </c>
      <c r="G594" s="57" t="str">
        <f t="shared" si="1"/>
        <v>25-Jun-2025</v>
      </c>
      <c r="H594" s="61" t="s">
        <v>57</v>
      </c>
      <c r="I594" s="61" t="s">
        <v>2900</v>
      </c>
      <c r="J594" s="27" t="str">
        <f t="shared" si="4"/>
        <v>26-Nov-2025</v>
      </c>
      <c r="K594" s="61" t="s">
        <v>2900</v>
      </c>
      <c r="L594" s="27" t="str">
        <f t="shared" si="5"/>
        <v>26-Nov-2025</v>
      </c>
      <c r="M594" s="63" t="s">
        <v>291</v>
      </c>
      <c r="N594" s="61" t="s">
        <v>2901</v>
      </c>
      <c r="O594" s="61" t="s">
        <v>37</v>
      </c>
      <c r="P594" s="61">
        <v>1.0</v>
      </c>
      <c r="Q594" s="66" t="s">
        <v>2902</v>
      </c>
      <c r="R594" s="27" t="str">
        <f>IFERROR(__xludf.DUMMYFUNCTION("IF(REGEXMATCH(N594, ""PRIORITY: Low""), ""Low"", IF(REGEXMATCH(N594, ""PRIORITY: Medium""), ""Medium"", IF(REGEXMATCH(N594, ""PRIORITY: High""), ""High"", """")))
"),"High")</f>
        <v>High</v>
      </c>
      <c r="S594" s="27" t="str">
        <f>IFERROR(__xludf.DUMMYFUNCTION("IF(REGEXMATCH(N594, ""SKILL: Low""), ""Low"", IF(REGEXMATCH(N594, ""SKILL: Medium""), ""Medium"", IF(REGEXMATCH(N594, ""SKILL: High""), ""High"", """")))"),"")</f>
        <v/>
      </c>
      <c r="T594" s="27" t="str">
        <f>IFERROR(__xludf.DUMMYFUNCTION("IF(REGEXMATCH(N594, ""STATUS: Dev Complete - Awaiting QA""), ""Dev Complete - Awaiting QA"", IF(REGEXMATCH(N594, ""STATUS: Follow-Up Required""), ""Follow-Up Required"", IF(REGEXMATCH(N594, ""STATUS: In Progress""), ""In Progress"", IF(REGEXMATCH(N594, """&amp;"STATUS: In QA""), ""In QA"", IF(REGEXMATCH(N594, ""STATUS: Needs Customer Feedback""), ""Needs Customer Feedback"", IF(REGEXMATCH(N594, ""STATUS: QA Passed - Awaiting Release""), ""QA Passed - Awaiting Release"", IF(REGEXMATCH(N594, ""STATUS: Release to P"&amp;"rod""), ""Release to Prod"", """")))))))"),"In Progress")</f>
        <v>In Progress</v>
      </c>
    </row>
    <row r="595" hidden="1">
      <c r="A595" s="61" t="s">
        <v>103</v>
      </c>
      <c r="B595" s="12" t="s">
        <v>104</v>
      </c>
      <c r="C595" s="61">
        <v>13.0</v>
      </c>
      <c r="D595" s="62" t="s">
        <v>2903</v>
      </c>
      <c r="E595" s="56" t="s">
        <v>173</v>
      </c>
      <c r="F595" s="61" t="s">
        <v>2904</v>
      </c>
      <c r="G595" s="57" t="str">
        <f t="shared" si="1"/>
        <v>25-Jun-2025</v>
      </c>
      <c r="H595" s="61" t="s">
        <v>57</v>
      </c>
      <c r="I595" s="61" t="s">
        <v>2905</v>
      </c>
      <c r="J595" s="27" t="str">
        <f t="shared" si="4"/>
        <v>26-Nov-2025</v>
      </c>
      <c r="K595" s="61" t="s">
        <v>2905</v>
      </c>
      <c r="L595" s="27" t="str">
        <f t="shared" si="5"/>
        <v>26-Nov-2025</v>
      </c>
      <c r="M595" s="63" t="s">
        <v>291</v>
      </c>
      <c r="N595" s="61" t="s">
        <v>2901</v>
      </c>
      <c r="O595" s="61" t="s">
        <v>37</v>
      </c>
      <c r="P595" s="61">
        <v>1.0</v>
      </c>
      <c r="Q595" s="66" t="s">
        <v>2906</v>
      </c>
      <c r="R595" s="27" t="str">
        <f>IFERROR(__xludf.DUMMYFUNCTION("IF(REGEXMATCH(N595, ""PRIORITY: Low""), ""Low"", IF(REGEXMATCH(N595, ""PRIORITY: Medium""), ""Medium"", IF(REGEXMATCH(N595, ""PRIORITY: High""), ""High"", """")))
"),"High")</f>
        <v>High</v>
      </c>
      <c r="S595" s="27" t="str">
        <f>IFERROR(__xludf.DUMMYFUNCTION("IF(REGEXMATCH(N595, ""SKILL: Low""), ""Low"", IF(REGEXMATCH(N595, ""SKILL: Medium""), ""Medium"", IF(REGEXMATCH(N595, ""SKILL: High""), ""High"", """")))"),"")</f>
        <v/>
      </c>
      <c r="T595" s="27" t="str">
        <f>IFERROR(__xludf.DUMMYFUNCTION("IF(REGEXMATCH(N595, ""STATUS: Dev Complete - Awaiting QA""), ""Dev Complete - Awaiting QA"", IF(REGEXMATCH(N595, ""STATUS: Follow-Up Required""), ""Follow-Up Required"", IF(REGEXMATCH(N595, ""STATUS: In Progress""), ""In Progress"", IF(REGEXMATCH(N595, """&amp;"STATUS: In QA""), ""In QA"", IF(REGEXMATCH(N595, ""STATUS: Needs Customer Feedback""), ""Needs Customer Feedback"", IF(REGEXMATCH(N595, ""STATUS: QA Passed - Awaiting Release""), ""QA Passed - Awaiting Release"", IF(REGEXMATCH(N595, ""STATUS: Release to P"&amp;"rod""), ""Release to Prod"", """")))))))"),"In Progress")</f>
        <v>In Progress</v>
      </c>
    </row>
    <row r="596" hidden="1">
      <c r="A596" s="61" t="s">
        <v>103</v>
      </c>
      <c r="B596" s="12" t="s">
        <v>104</v>
      </c>
      <c r="C596" s="61">
        <v>12.0</v>
      </c>
      <c r="D596" s="62" t="s">
        <v>2907</v>
      </c>
      <c r="E596" s="56" t="s">
        <v>173</v>
      </c>
      <c r="F596" s="61" t="s">
        <v>2908</v>
      </c>
      <c r="G596" s="57" t="str">
        <f t="shared" si="1"/>
        <v>25-Jun-2025</v>
      </c>
      <c r="H596" s="61" t="s">
        <v>57</v>
      </c>
      <c r="I596" s="61" t="s">
        <v>2909</v>
      </c>
      <c r="J596" s="27" t="str">
        <f t="shared" si="4"/>
        <v>26-Nov-2025</v>
      </c>
      <c r="K596" s="61" t="s">
        <v>2909</v>
      </c>
      <c r="L596" s="27" t="str">
        <f t="shared" si="5"/>
        <v>26-Nov-2025</v>
      </c>
      <c r="M596" s="63" t="s">
        <v>291</v>
      </c>
      <c r="N596" s="61" t="s">
        <v>2901</v>
      </c>
      <c r="O596" s="61" t="s">
        <v>37</v>
      </c>
      <c r="P596" s="61">
        <v>1.0</v>
      </c>
      <c r="Q596" s="66" t="s">
        <v>2910</v>
      </c>
      <c r="R596" s="27" t="str">
        <f>IFERROR(__xludf.DUMMYFUNCTION("IF(REGEXMATCH(N596, ""PRIORITY: Low""), ""Low"", IF(REGEXMATCH(N596, ""PRIORITY: Medium""), ""Medium"", IF(REGEXMATCH(N596, ""PRIORITY: High""), ""High"", """")))
"),"High")</f>
        <v>High</v>
      </c>
      <c r="S596" s="27" t="str">
        <f>IFERROR(__xludf.DUMMYFUNCTION("IF(REGEXMATCH(N596, ""SKILL: Low""), ""Low"", IF(REGEXMATCH(N596, ""SKILL: Medium""), ""Medium"", IF(REGEXMATCH(N596, ""SKILL: High""), ""High"", """")))"),"")</f>
        <v/>
      </c>
      <c r="T596" s="27" t="str">
        <f>IFERROR(__xludf.DUMMYFUNCTION("IF(REGEXMATCH(N596, ""STATUS: Dev Complete - Awaiting QA""), ""Dev Complete - Awaiting QA"", IF(REGEXMATCH(N596, ""STATUS: Follow-Up Required""), ""Follow-Up Required"", IF(REGEXMATCH(N596, ""STATUS: In Progress""), ""In Progress"", IF(REGEXMATCH(N596, """&amp;"STATUS: In QA""), ""In QA"", IF(REGEXMATCH(N596, ""STATUS: Needs Customer Feedback""), ""Needs Customer Feedback"", IF(REGEXMATCH(N596, ""STATUS: QA Passed - Awaiting Release""), ""QA Passed - Awaiting Release"", IF(REGEXMATCH(N596, ""STATUS: Release to P"&amp;"rod""), ""Release to Prod"", """")))))))"),"In Progress")</f>
        <v>In Progress</v>
      </c>
    </row>
    <row r="597" hidden="1">
      <c r="A597" s="61" t="s">
        <v>103</v>
      </c>
      <c r="B597" s="12" t="s">
        <v>104</v>
      </c>
      <c r="C597" s="61">
        <v>11.0</v>
      </c>
      <c r="D597" s="62" t="s">
        <v>2911</v>
      </c>
      <c r="E597" s="56" t="s">
        <v>173</v>
      </c>
      <c r="F597" s="61" t="s">
        <v>2912</v>
      </c>
      <c r="G597" s="57" t="str">
        <f t="shared" si="1"/>
        <v>15-Jun-2025</v>
      </c>
      <c r="H597" s="61" t="s">
        <v>57</v>
      </c>
      <c r="I597" s="61" t="s">
        <v>2913</v>
      </c>
      <c r="J597" s="27" t="str">
        <f t="shared" si="4"/>
        <v>26-Nov-2025</v>
      </c>
      <c r="K597" s="61" t="s">
        <v>2913</v>
      </c>
      <c r="L597" s="27" t="str">
        <f t="shared" si="5"/>
        <v>26-Nov-2025</v>
      </c>
      <c r="M597" s="63" t="s">
        <v>291</v>
      </c>
      <c r="N597" s="61" t="s">
        <v>2901</v>
      </c>
      <c r="O597" s="61" t="s">
        <v>37</v>
      </c>
      <c r="P597" s="61">
        <v>1.0</v>
      </c>
      <c r="Q597" s="66" t="s">
        <v>2914</v>
      </c>
      <c r="R597" s="27" t="str">
        <f>IFERROR(__xludf.DUMMYFUNCTION("IF(REGEXMATCH(N597, ""PRIORITY: Low""), ""Low"", IF(REGEXMATCH(N597, ""PRIORITY: Medium""), ""Medium"", IF(REGEXMATCH(N597, ""PRIORITY: High""), ""High"", """")))
"),"High")</f>
        <v>High</v>
      </c>
      <c r="S597" s="27" t="str">
        <f>IFERROR(__xludf.DUMMYFUNCTION("IF(REGEXMATCH(N597, ""SKILL: Low""), ""Low"", IF(REGEXMATCH(N597, ""SKILL: Medium""), ""Medium"", IF(REGEXMATCH(N597, ""SKILL: High""), ""High"", """")))"),"")</f>
        <v/>
      </c>
      <c r="T597" s="27" t="str">
        <f>IFERROR(__xludf.DUMMYFUNCTION("IF(REGEXMATCH(N597, ""STATUS: Dev Complete - Awaiting QA""), ""Dev Complete - Awaiting QA"", IF(REGEXMATCH(N597, ""STATUS: Follow-Up Required""), ""Follow-Up Required"", IF(REGEXMATCH(N597, ""STATUS: In Progress""), ""In Progress"", IF(REGEXMATCH(N597, """&amp;"STATUS: In QA""), ""In QA"", IF(REGEXMATCH(N597, ""STATUS: Needs Customer Feedback""), ""Needs Customer Feedback"", IF(REGEXMATCH(N597, ""STATUS: QA Passed - Awaiting Release""), ""QA Passed - Awaiting Release"", IF(REGEXMATCH(N597, ""STATUS: Release to P"&amp;"rod""), ""Release to Prod"", """")))))))"),"In Progress")</f>
        <v>In Progress</v>
      </c>
    </row>
    <row r="598" hidden="1">
      <c r="A598" s="61" t="s">
        <v>103</v>
      </c>
      <c r="B598" s="12" t="s">
        <v>104</v>
      </c>
      <c r="C598" s="61">
        <v>10.0</v>
      </c>
      <c r="D598" s="62" t="s">
        <v>2915</v>
      </c>
      <c r="E598" s="56" t="s">
        <v>173</v>
      </c>
      <c r="F598" s="61" t="s">
        <v>2916</v>
      </c>
      <c r="G598" s="57" t="str">
        <f t="shared" si="1"/>
        <v>15-Jun-2025</v>
      </c>
      <c r="H598" s="61" t="s">
        <v>57</v>
      </c>
      <c r="I598" s="61" t="s">
        <v>2917</v>
      </c>
      <c r="J598" s="27" t="str">
        <f t="shared" si="4"/>
        <v>26-Nov-2025</v>
      </c>
      <c r="K598" s="61" t="s">
        <v>2917</v>
      </c>
      <c r="L598" s="27" t="str">
        <f t="shared" si="5"/>
        <v>26-Nov-2025</v>
      </c>
      <c r="M598" s="63" t="s">
        <v>285</v>
      </c>
      <c r="N598" s="61" t="s">
        <v>2901</v>
      </c>
      <c r="O598" s="61" t="s">
        <v>37</v>
      </c>
      <c r="P598" s="61">
        <v>2.0</v>
      </c>
      <c r="Q598" s="66" t="s">
        <v>2918</v>
      </c>
      <c r="R598" s="27" t="str">
        <f>IFERROR(__xludf.DUMMYFUNCTION("IF(REGEXMATCH(N598, ""PRIORITY: Low""), ""Low"", IF(REGEXMATCH(N598, ""PRIORITY: Medium""), ""Medium"", IF(REGEXMATCH(N598, ""PRIORITY: High""), ""High"", """")))
"),"High")</f>
        <v>High</v>
      </c>
      <c r="S598" s="27" t="str">
        <f>IFERROR(__xludf.DUMMYFUNCTION("IF(REGEXMATCH(N598, ""SKILL: Low""), ""Low"", IF(REGEXMATCH(N598, ""SKILL: Medium""), ""Medium"", IF(REGEXMATCH(N598, ""SKILL: High""), ""High"", """")))"),"")</f>
        <v/>
      </c>
      <c r="T598" s="27" t="str">
        <f>IFERROR(__xludf.DUMMYFUNCTION("IF(REGEXMATCH(N598, ""STATUS: Dev Complete - Awaiting QA""), ""Dev Complete - Awaiting QA"", IF(REGEXMATCH(N598, ""STATUS: Follow-Up Required""), ""Follow-Up Required"", IF(REGEXMATCH(N598, ""STATUS: In Progress""), ""In Progress"", IF(REGEXMATCH(N598, """&amp;"STATUS: In QA""), ""In QA"", IF(REGEXMATCH(N598, ""STATUS: Needs Customer Feedback""), ""Needs Customer Feedback"", IF(REGEXMATCH(N598, ""STATUS: QA Passed - Awaiting Release""), ""QA Passed - Awaiting Release"", IF(REGEXMATCH(N598, ""STATUS: Release to P"&amp;"rod""), ""Release to Prod"", """")))))))"),"In Progress")</f>
        <v>In Progress</v>
      </c>
    </row>
    <row r="599" hidden="1">
      <c r="A599" s="61" t="s">
        <v>103</v>
      </c>
      <c r="B599" s="12" t="s">
        <v>104</v>
      </c>
      <c r="C599" s="61">
        <v>8.0</v>
      </c>
      <c r="D599" s="62" t="s">
        <v>2919</v>
      </c>
      <c r="E599" s="56" t="s">
        <v>173</v>
      </c>
      <c r="F599" s="61" t="s">
        <v>2920</v>
      </c>
      <c r="G599" s="57" t="str">
        <f t="shared" si="1"/>
        <v>13-Jun-2025</v>
      </c>
      <c r="H599" s="61" t="s">
        <v>57</v>
      </c>
      <c r="I599" s="61" t="s">
        <v>2921</v>
      </c>
      <c r="J599" s="27" t="str">
        <f t="shared" si="4"/>
        <v>26-Nov-2025</v>
      </c>
      <c r="K599" s="61" t="s">
        <v>2921</v>
      </c>
      <c r="L599" s="27" t="str">
        <f t="shared" si="5"/>
        <v>26-Nov-2025</v>
      </c>
      <c r="M599" s="63" t="s">
        <v>249</v>
      </c>
      <c r="N599" s="61" t="s">
        <v>2896</v>
      </c>
      <c r="O599" s="61" t="s">
        <v>37</v>
      </c>
      <c r="P599" s="61">
        <v>1.0</v>
      </c>
      <c r="Q599" s="66" t="s">
        <v>2922</v>
      </c>
      <c r="R599" s="27" t="str">
        <f>IFERROR(__xludf.DUMMYFUNCTION("IF(REGEXMATCH(N599, ""PRIORITY: Low""), ""Low"", IF(REGEXMATCH(N599, ""PRIORITY: Medium""), ""Medium"", IF(REGEXMATCH(N599, ""PRIORITY: High""), ""High"", """")))
"),"Medium")</f>
        <v>Medium</v>
      </c>
      <c r="S599" s="27" t="str">
        <f>IFERROR(__xludf.DUMMYFUNCTION("IF(REGEXMATCH(N599, ""SKILL: Low""), ""Low"", IF(REGEXMATCH(N599, ""SKILL: Medium""), ""Medium"", IF(REGEXMATCH(N599, ""SKILL: High""), ""High"", """")))"),"")</f>
        <v/>
      </c>
      <c r="T599" s="27" t="str">
        <f>IFERROR(__xludf.DUMMYFUNCTION("IF(REGEXMATCH(N599, ""STATUS: Dev Complete - Awaiting QA""), ""Dev Complete - Awaiting QA"", IF(REGEXMATCH(N599, ""STATUS: Follow-Up Required""), ""Follow-Up Required"", IF(REGEXMATCH(N599, ""STATUS: In Progress""), ""In Progress"", IF(REGEXMATCH(N599, """&amp;"STATUS: In QA""), ""In QA"", IF(REGEXMATCH(N599, ""STATUS: Needs Customer Feedback""), ""Needs Customer Feedback"", IF(REGEXMATCH(N599, ""STATUS: QA Passed - Awaiting Release""), ""QA Passed - Awaiting Release"", IF(REGEXMATCH(N599, ""STATUS: Release to P"&amp;"rod""), ""Release to Prod"", """")))))))"),"In Progress")</f>
        <v>In Progress</v>
      </c>
    </row>
    <row r="600" hidden="1">
      <c r="A600" s="61" t="s">
        <v>103</v>
      </c>
      <c r="B600" s="12" t="s">
        <v>104</v>
      </c>
      <c r="C600" s="61">
        <v>7.0</v>
      </c>
      <c r="D600" s="62" t="s">
        <v>2923</v>
      </c>
      <c r="E600" s="56" t="s">
        <v>173</v>
      </c>
      <c r="F600" s="61" t="s">
        <v>2924</v>
      </c>
      <c r="G600" s="57" t="str">
        <f t="shared" si="1"/>
        <v>12-Jun-2025</v>
      </c>
      <c r="H600" s="61" t="s">
        <v>57</v>
      </c>
      <c r="I600" s="61" t="s">
        <v>2925</v>
      </c>
      <c r="J600" s="27" t="str">
        <f t="shared" si="4"/>
        <v>26-Nov-2025</v>
      </c>
      <c r="K600" s="61" t="s">
        <v>2925</v>
      </c>
      <c r="L600" s="27" t="str">
        <f t="shared" si="5"/>
        <v>26-Nov-2025</v>
      </c>
      <c r="M600" s="63" t="s">
        <v>291</v>
      </c>
      <c r="N600" s="61" t="s">
        <v>2901</v>
      </c>
      <c r="O600" s="61" t="s">
        <v>2926</v>
      </c>
      <c r="P600" s="61">
        <v>1.0</v>
      </c>
      <c r="Q600" s="66" t="s">
        <v>2927</v>
      </c>
      <c r="R600" s="27" t="str">
        <f>IFERROR(__xludf.DUMMYFUNCTION("IF(REGEXMATCH(N600, ""PRIORITY: Low""), ""Low"", IF(REGEXMATCH(N600, ""PRIORITY: Medium""), ""Medium"", IF(REGEXMATCH(N600, ""PRIORITY: High""), ""High"", """")))
"),"High")</f>
        <v>High</v>
      </c>
      <c r="S600" s="27" t="str">
        <f>IFERROR(__xludf.DUMMYFUNCTION("IF(REGEXMATCH(N600, ""SKILL: Low""), ""Low"", IF(REGEXMATCH(N600, ""SKILL: Medium""), ""Medium"", IF(REGEXMATCH(N600, ""SKILL: High""), ""High"", """")))"),"")</f>
        <v/>
      </c>
      <c r="T600" s="27" t="str">
        <f>IFERROR(__xludf.DUMMYFUNCTION("IF(REGEXMATCH(N600, ""STATUS: Dev Complete - Awaiting QA""), ""Dev Complete - Awaiting QA"", IF(REGEXMATCH(N600, ""STATUS: Follow-Up Required""), ""Follow-Up Required"", IF(REGEXMATCH(N600, ""STATUS: In Progress""), ""In Progress"", IF(REGEXMATCH(N600, """&amp;"STATUS: In QA""), ""In QA"", IF(REGEXMATCH(N600, ""STATUS: Needs Customer Feedback""), ""Needs Customer Feedback"", IF(REGEXMATCH(N600, ""STATUS: QA Passed - Awaiting Release""), ""QA Passed - Awaiting Release"", IF(REGEXMATCH(N600, ""STATUS: Release to P"&amp;"rod""), ""Release to Prod"", """")))))))"),"In Progress")</f>
        <v>In Progress</v>
      </c>
    </row>
    <row r="601" hidden="1">
      <c r="A601" s="61" t="s">
        <v>103</v>
      </c>
      <c r="B601" s="12" t="s">
        <v>104</v>
      </c>
      <c r="C601" s="61">
        <v>4.0</v>
      </c>
      <c r="D601" s="62" t="s">
        <v>2928</v>
      </c>
      <c r="E601" s="56" t="s">
        <v>173</v>
      </c>
      <c r="F601" s="61" t="s">
        <v>2929</v>
      </c>
      <c r="G601" s="57" t="str">
        <f t="shared" si="1"/>
        <v>06-Jun-2025</v>
      </c>
      <c r="H601" s="61" t="s">
        <v>57</v>
      </c>
      <c r="I601" s="61" t="s">
        <v>2930</v>
      </c>
      <c r="J601" s="27" t="str">
        <f t="shared" si="4"/>
        <v>26-Nov-2025</v>
      </c>
      <c r="K601" s="61" t="s">
        <v>2930</v>
      </c>
      <c r="L601" s="27" t="str">
        <f t="shared" si="5"/>
        <v>26-Nov-2025</v>
      </c>
      <c r="M601" s="63" t="s">
        <v>285</v>
      </c>
      <c r="N601" s="61" t="s">
        <v>2901</v>
      </c>
      <c r="O601" s="61" t="s">
        <v>37</v>
      </c>
      <c r="P601" s="61">
        <v>3.0</v>
      </c>
      <c r="Q601" s="66" t="s">
        <v>2931</v>
      </c>
      <c r="R601" s="27" t="str">
        <f>IFERROR(__xludf.DUMMYFUNCTION("IF(REGEXMATCH(N601, ""PRIORITY: Low""), ""Low"", IF(REGEXMATCH(N601, ""PRIORITY: Medium""), ""Medium"", IF(REGEXMATCH(N601, ""PRIORITY: High""), ""High"", """")))
"),"High")</f>
        <v>High</v>
      </c>
      <c r="S601" s="27" t="str">
        <f>IFERROR(__xludf.DUMMYFUNCTION("IF(REGEXMATCH(N601, ""SKILL: Low""), ""Low"", IF(REGEXMATCH(N601, ""SKILL: Medium""), ""Medium"", IF(REGEXMATCH(N601, ""SKILL: High""), ""High"", """")))"),"")</f>
        <v/>
      </c>
      <c r="T601" s="27" t="str">
        <f>IFERROR(__xludf.DUMMYFUNCTION("IF(REGEXMATCH(N601, ""STATUS: Dev Complete - Awaiting QA""), ""Dev Complete - Awaiting QA"", IF(REGEXMATCH(N601, ""STATUS: Follow-Up Required""), ""Follow-Up Required"", IF(REGEXMATCH(N601, ""STATUS: In Progress""), ""In Progress"", IF(REGEXMATCH(N601, """&amp;"STATUS: In QA""), ""In QA"", IF(REGEXMATCH(N601, ""STATUS: Needs Customer Feedback""), ""Needs Customer Feedback"", IF(REGEXMATCH(N601, ""STATUS: QA Passed - Awaiting Release""), ""QA Passed - Awaiting Release"", IF(REGEXMATCH(N601, ""STATUS: Release to P"&amp;"rod""), ""Release to Prod"", """")))))))"),"In Progress")</f>
        <v>In Progress</v>
      </c>
    </row>
    <row r="602" hidden="1">
      <c r="A602" s="61" t="s">
        <v>103</v>
      </c>
      <c r="B602" s="12" t="s">
        <v>104</v>
      </c>
      <c r="C602" s="61">
        <v>3.0</v>
      </c>
      <c r="D602" s="62" t="s">
        <v>2932</v>
      </c>
      <c r="E602" s="56" t="s">
        <v>173</v>
      </c>
      <c r="F602" s="61" t="s">
        <v>2933</v>
      </c>
      <c r="G602" s="57" t="str">
        <f t="shared" si="1"/>
        <v>06-Jun-2025</v>
      </c>
      <c r="H602" s="61" t="s">
        <v>57</v>
      </c>
      <c r="I602" s="61" t="s">
        <v>612</v>
      </c>
      <c r="J602" s="27" t="str">
        <f t="shared" si="4"/>
        <v>26-Sep-2025</v>
      </c>
      <c r="K602" s="61" t="s">
        <v>2934</v>
      </c>
      <c r="L602" s="27" t="str">
        <f t="shared" si="5"/>
        <v>06-Jun-2025</v>
      </c>
      <c r="M602" s="63" t="s">
        <v>285</v>
      </c>
      <c r="N602" s="61" t="s">
        <v>177</v>
      </c>
      <c r="O602" s="27"/>
      <c r="P602" s="61">
        <v>1.0</v>
      </c>
      <c r="Q602" s="66" t="s">
        <v>2935</v>
      </c>
      <c r="R602" s="27" t="str">
        <f>IFERROR(__xludf.DUMMYFUNCTION("IF(REGEXMATCH(N602, ""PRIORITY: Low""), ""Low"", IF(REGEXMATCH(N602, ""PRIORITY: Medium""), ""Medium"", IF(REGEXMATCH(N602, ""PRIORITY: High""), ""High"", """")))
"),"")</f>
        <v/>
      </c>
      <c r="S602" s="27" t="str">
        <f>IFERROR(__xludf.DUMMYFUNCTION("IF(REGEXMATCH(N602, ""SKILL: Low""), ""Low"", IF(REGEXMATCH(N602, ""SKILL: Medium""), ""Medium"", IF(REGEXMATCH(N602, ""SKILL: High""), ""High"", """")))"),"")</f>
        <v/>
      </c>
      <c r="T602" s="27" t="str">
        <f>IFERROR(__xludf.DUMMYFUNCTION("IF(REGEXMATCH(N602, ""STATUS: Dev Complete - Awaiting QA""), ""Dev Complete - Awaiting QA"", IF(REGEXMATCH(N602, ""STATUS: Follow-Up Required""), ""Follow-Up Required"", IF(REGEXMATCH(N602, ""STATUS: In Progress""), ""In Progress"", IF(REGEXMATCH(N602, """&amp;"STATUS: In QA""), ""In QA"", IF(REGEXMATCH(N602, ""STATUS: Needs Customer Feedback""), ""Needs Customer Feedback"", IF(REGEXMATCH(N602, ""STATUS: QA Passed - Awaiting Release""), ""QA Passed - Awaiting Release"", IF(REGEXMATCH(N602, ""STATUS: Release to P"&amp;"rod""), ""Release to Prod"", """")))))))"),"")</f>
        <v/>
      </c>
    </row>
    <row r="603">
      <c r="A603" s="61" t="s">
        <v>35</v>
      </c>
      <c r="B603" s="16" t="s">
        <v>36</v>
      </c>
      <c r="C603" s="61">
        <v>181.0</v>
      </c>
      <c r="D603" s="62" t="s">
        <v>2936</v>
      </c>
      <c r="E603" s="56" t="s">
        <v>246</v>
      </c>
      <c r="F603" s="61" t="s">
        <v>2937</v>
      </c>
      <c r="G603" s="57" t="str">
        <f t="shared" si="1"/>
        <v>21-Oct-2025</v>
      </c>
      <c r="H603" s="61" t="s">
        <v>57</v>
      </c>
      <c r="I603" s="61" t="s">
        <v>2938</v>
      </c>
      <c r="J603" s="27" t="str">
        <f t="shared" si="4"/>
        <v>18-Nov-2025</v>
      </c>
      <c r="K603" s="27"/>
      <c r="L603" s="27" t="str">
        <f t="shared" si="5"/>
        <v/>
      </c>
      <c r="M603" s="63" t="s">
        <v>249</v>
      </c>
      <c r="N603" s="61" t="s">
        <v>2939</v>
      </c>
      <c r="O603" s="67" t="s">
        <v>41</v>
      </c>
      <c r="P603" s="61">
        <v>1.0</v>
      </c>
      <c r="Q603" s="66" t="s">
        <v>2940</v>
      </c>
      <c r="R603" s="27" t="str">
        <f>IFERROR(__xludf.DUMMYFUNCTION("IF(REGEXMATCH(N603, ""PRIORITY: Low""), ""Low"", IF(REGEXMATCH(N603, ""PRIORITY: Medium""), ""Medium"", IF(REGEXMATCH(N603, ""PRIORITY: High""), ""High"", """")))
"),"Low")</f>
        <v>Low</v>
      </c>
      <c r="S603" s="27" t="str">
        <f>IFERROR(__xludf.DUMMYFUNCTION("IF(REGEXMATCH(N603, ""SKILL: Low""), ""Low"", IF(REGEXMATCH(N603, ""SKILL: Medium""), ""Medium"", IF(REGEXMATCH(N603, ""SKILL: High""), ""High"", """")))"),"Low")</f>
        <v>Low</v>
      </c>
      <c r="T603" s="27" t="str">
        <f>IFERROR(__xludf.DUMMYFUNCTION("IF(REGEXMATCH(N603, ""STATUS: Dev Complete - Awaiting QA""), ""Dev Complete - Awaiting QA"", IF(REGEXMATCH(N603, ""STATUS: Follow-Up Required""), ""Follow-Up Required"", IF(REGEXMATCH(N603, ""STATUS: In Progress""), ""In Progress"", IF(REGEXMATCH(N603, """&amp;"STATUS: In QA""), ""In QA"", IF(REGEXMATCH(N603, ""STATUS: Needs Customer Feedback""), ""Needs Customer Feedback"", IF(REGEXMATCH(N603, ""STATUS: QA Passed - Awaiting Release""), ""QA Passed - Awaiting Release"", IF(REGEXMATCH(N603, ""STATUS: Release to P"&amp;"rod""), ""Release to Prod"", """")))))))"),"Follow-Up Required")</f>
        <v>Follow-Up Required</v>
      </c>
    </row>
    <row r="604">
      <c r="A604" s="61" t="s">
        <v>35</v>
      </c>
      <c r="B604" s="16" t="s">
        <v>36</v>
      </c>
      <c r="C604" s="61">
        <v>162.0</v>
      </c>
      <c r="D604" s="62" t="s">
        <v>2941</v>
      </c>
      <c r="E604" s="56" t="s">
        <v>246</v>
      </c>
      <c r="F604" s="61" t="s">
        <v>2942</v>
      </c>
      <c r="G604" s="57" t="str">
        <f t="shared" si="1"/>
        <v>09-Sep-2025</v>
      </c>
      <c r="H604" s="61" t="s">
        <v>57</v>
      </c>
      <c r="I604" s="61" t="s">
        <v>2943</v>
      </c>
      <c r="J604" s="27" t="str">
        <f t="shared" si="4"/>
        <v>18-Nov-2025</v>
      </c>
      <c r="K604" s="27"/>
      <c r="L604" s="27" t="str">
        <f t="shared" si="5"/>
        <v/>
      </c>
      <c r="M604" s="63" t="s">
        <v>285</v>
      </c>
      <c r="N604" s="61" t="s">
        <v>2944</v>
      </c>
      <c r="O604" s="67" t="s">
        <v>57</v>
      </c>
      <c r="P604" s="61">
        <v>2.0</v>
      </c>
      <c r="Q604" s="66" t="s">
        <v>2945</v>
      </c>
      <c r="R604" s="27" t="str">
        <f>IFERROR(__xludf.DUMMYFUNCTION("IF(REGEXMATCH(N604, ""PRIORITY: Low""), ""Low"", IF(REGEXMATCH(N604, ""PRIORITY: Medium""), ""Medium"", IF(REGEXMATCH(N604, ""PRIORITY: High""), ""High"", """")))
"),"Low")</f>
        <v>Low</v>
      </c>
      <c r="S604" s="27" t="str">
        <f>IFERROR(__xludf.DUMMYFUNCTION("IF(REGEXMATCH(N604, ""SKILL: Low""), ""Low"", IF(REGEXMATCH(N604, ""SKILL: Medium""), ""Medium"", IF(REGEXMATCH(N604, ""SKILL: High""), ""High"", """")))"),"Medium")</f>
        <v>Medium</v>
      </c>
      <c r="T604" s="27" t="str">
        <f>IFERROR(__xludf.DUMMYFUNCTION("IF(REGEXMATCH(N604, ""STATUS: Dev Complete - Awaiting QA""), ""Dev Complete - Awaiting QA"", IF(REGEXMATCH(N604, ""STATUS: Follow-Up Required""), ""Follow-Up Required"", IF(REGEXMATCH(N604, ""STATUS: In Progress""), ""In Progress"", IF(REGEXMATCH(N604, """&amp;"STATUS: In QA""), ""In QA"", IF(REGEXMATCH(N604, ""STATUS: Needs Customer Feedback""), ""Needs Customer Feedback"", IF(REGEXMATCH(N604, ""STATUS: QA Passed - Awaiting Release""), ""QA Passed - Awaiting Release"", IF(REGEXMATCH(N604, ""STATUS: Release to P"&amp;"rod""), ""Release to Prod"", """")))))))"),"Follow-Up Required")</f>
        <v>Follow-Up Required</v>
      </c>
    </row>
    <row r="605" hidden="1">
      <c r="A605" s="61" t="s">
        <v>35</v>
      </c>
      <c r="B605" s="16" t="s">
        <v>36</v>
      </c>
      <c r="C605" s="61">
        <v>152.0</v>
      </c>
      <c r="D605" s="62" t="s">
        <v>2946</v>
      </c>
      <c r="E605" s="56" t="s">
        <v>173</v>
      </c>
      <c r="F605" s="61" t="s">
        <v>2947</v>
      </c>
      <c r="G605" s="57" t="str">
        <f t="shared" si="1"/>
        <v>29-Aug-2025</v>
      </c>
      <c r="H605" s="61" t="s">
        <v>98</v>
      </c>
      <c r="I605" s="61" t="s">
        <v>2948</v>
      </c>
      <c r="J605" s="27" t="str">
        <f t="shared" si="4"/>
        <v>09-Sep-2025</v>
      </c>
      <c r="K605" s="61" t="s">
        <v>2948</v>
      </c>
      <c r="L605" s="27" t="str">
        <f t="shared" si="5"/>
        <v>09-Sep-2025</v>
      </c>
      <c r="M605" s="63" t="s">
        <v>291</v>
      </c>
      <c r="N605" s="61" t="s">
        <v>2949</v>
      </c>
      <c r="O605" s="61" t="s">
        <v>2950</v>
      </c>
      <c r="P605" s="61">
        <v>5.0</v>
      </c>
      <c r="Q605" s="66" t="s">
        <v>2951</v>
      </c>
      <c r="R605" s="27" t="str">
        <f>IFERROR(__xludf.DUMMYFUNCTION("IF(REGEXMATCH(N605, ""PRIORITY: Low""), ""Low"", IF(REGEXMATCH(N605, ""PRIORITY: Medium""), ""Medium"", IF(REGEXMATCH(N605, ""PRIORITY: High""), ""High"", """")))
"),"")</f>
        <v/>
      </c>
      <c r="S605" s="27" t="str">
        <f>IFERROR(__xludf.DUMMYFUNCTION("IF(REGEXMATCH(N605, ""SKILL: Low""), ""Low"", IF(REGEXMATCH(N605, ""SKILL: Medium""), ""Medium"", IF(REGEXMATCH(N605, ""SKILL: High""), ""High"", """")))"),"")</f>
        <v/>
      </c>
      <c r="T605" s="27" t="str">
        <f>IFERROR(__xludf.DUMMYFUNCTION("IF(REGEXMATCH(N605, ""STATUS: Dev Complete - Awaiting QA""), ""Dev Complete - Awaiting QA"", IF(REGEXMATCH(N605, ""STATUS: Follow-Up Required""), ""Follow-Up Required"", IF(REGEXMATCH(N605, ""STATUS: In Progress""), ""In Progress"", IF(REGEXMATCH(N605, """&amp;"STATUS: In QA""), ""In QA"", IF(REGEXMATCH(N605, ""STATUS: Needs Customer Feedback""), ""Needs Customer Feedback"", IF(REGEXMATCH(N605, ""STATUS: QA Passed - Awaiting Release""), ""QA Passed - Awaiting Release"", IF(REGEXMATCH(N605, ""STATUS: Release to P"&amp;"rod""), ""Release to Prod"", """")))))))"),"Follow-Up Required")</f>
        <v>Follow-Up Required</v>
      </c>
    </row>
    <row r="606" hidden="1">
      <c r="A606" s="61" t="s">
        <v>35</v>
      </c>
      <c r="B606" s="16" t="s">
        <v>36</v>
      </c>
      <c r="C606" s="61">
        <v>146.0</v>
      </c>
      <c r="D606" s="62" t="s">
        <v>2952</v>
      </c>
      <c r="E606" s="56" t="s">
        <v>173</v>
      </c>
      <c r="F606" s="61" t="s">
        <v>2953</v>
      </c>
      <c r="G606" s="57" t="str">
        <f t="shared" si="1"/>
        <v>29-Aug-2025</v>
      </c>
      <c r="H606" s="61" t="s">
        <v>98</v>
      </c>
      <c r="I606" s="61" t="s">
        <v>2055</v>
      </c>
      <c r="J606" s="27" t="str">
        <f t="shared" si="4"/>
        <v>19-Sep-2025</v>
      </c>
      <c r="K606" s="61" t="s">
        <v>2954</v>
      </c>
      <c r="L606" s="27" t="str">
        <f t="shared" si="5"/>
        <v>05-Sep-2025</v>
      </c>
      <c r="M606" s="63" t="s">
        <v>249</v>
      </c>
      <c r="N606" s="61" t="s">
        <v>2955</v>
      </c>
      <c r="O606" s="27"/>
      <c r="P606" s="61">
        <v>2.0</v>
      </c>
      <c r="Q606" s="66" t="s">
        <v>2956</v>
      </c>
      <c r="R606" s="27" t="str">
        <f>IFERROR(__xludf.DUMMYFUNCTION("IF(REGEXMATCH(N606, ""PRIORITY: Low""), ""Low"", IF(REGEXMATCH(N606, ""PRIORITY: Medium""), ""Medium"", IF(REGEXMATCH(N606, ""PRIORITY: High""), ""High"", """")))
"),"Medium")</f>
        <v>Medium</v>
      </c>
      <c r="S606" s="27" t="str">
        <f>IFERROR(__xludf.DUMMYFUNCTION("IF(REGEXMATCH(N606, ""SKILL: Low""), ""Low"", IF(REGEXMATCH(N606, ""SKILL: Medium""), ""Medium"", IF(REGEXMATCH(N606, ""SKILL: High""), ""High"", """")))"),"Medium")</f>
        <v>Medium</v>
      </c>
      <c r="T606" s="27" t="str">
        <f>IFERROR(__xludf.DUMMYFUNCTION("IF(REGEXMATCH(N606, ""STATUS: Dev Complete - Awaiting QA""), ""Dev Complete - Awaiting QA"", IF(REGEXMATCH(N606, ""STATUS: Follow-Up Required""), ""Follow-Up Required"", IF(REGEXMATCH(N606, ""STATUS: In Progress""), ""In Progress"", IF(REGEXMATCH(N606, """&amp;"STATUS: In QA""), ""In QA"", IF(REGEXMATCH(N606, ""STATUS: Needs Customer Feedback""), ""Needs Customer Feedback"", IF(REGEXMATCH(N606, ""STATUS: QA Passed - Awaiting Release""), ""QA Passed - Awaiting Release"", IF(REGEXMATCH(N606, ""STATUS: Release to P"&amp;"rod""), ""Release to Prod"", """")))))))"),"")</f>
        <v/>
      </c>
    </row>
    <row r="607" hidden="1">
      <c r="A607" s="61" t="s">
        <v>35</v>
      </c>
      <c r="B607" s="16" t="s">
        <v>36</v>
      </c>
      <c r="C607" s="61">
        <v>132.0</v>
      </c>
      <c r="D607" s="62" t="s">
        <v>2957</v>
      </c>
      <c r="E607" s="56" t="s">
        <v>173</v>
      </c>
      <c r="F607" s="61" t="s">
        <v>2958</v>
      </c>
      <c r="G607" s="57" t="str">
        <f t="shared" si="1"/>
        <v>26-Aug-2025</v>
      </c>
      <c r="H607" s="61" t="s">
        <v>51</v>
      </c>
      <c r="I607" s="61" t="s">
        <v>2959</v>
      </c>
      <c r="J607" s="27" t="str">
        <f t="shared" si="4"/>
        <v>05-Sep-2025</v>
      </c>
      <c r="K607" s="61" t="s">
        <v>2959</v>
      </c>
      <c r="L607" s="27" t="str">
        <f t="shared" si="5"/>
        <v>05-Sep-2025</v>
      </c>
      <c r="M607" s="63" t="s">
        <v>249</v>
      </c>
      <c r="N607" s="61" t="s">
        <v>2960</v>
      </c>
      <c r="O607" s="61" t="s">
        <v>51</v>
      </c>
      <c r="P607" s="61">
        <v>2.0</v>
      </c>
      <c r="Q607" s="66" t="s">
        <v>2961</v>
      </c>
      <c r="R607" s="27" t="str">
        <f>IFERROR(__xludf.DUMMYFUNCTION("IF(REGEXMATCH(N607, ""PRIORITY: Low""), ""Low"", IF(REGEXMATCH(N607, ""PRIORITY: Medium""), ""Medium"", IF(REGEXMATCH(N607, ""PRIORITY: High""), ""High"", """")))
"),"Medium")</f>
        <v>Medium</v>
      </c>
      <c r="S607" s="27" t="str">
        <f>IFERROR(__xludf.DUMMYFUNCTION("IF(REGEXMATCH(N607, ""SKILL: Low""), ""Low"", IF(REGEXMATCH(N607, ""SKILL: Medium""), ""Medium"", IF(REGEXMATCH(N607, ""SKILL: High""), ""High"", """")))"),"Low")</f>
        <v>Low</v>
      </c>
      <c r="T607" s="27" t="str">
        <f>IFERROR(__xludf.DUMMYFUNCTION("IF(REGEXMATCH(N607, ""STATUS: Dev Complete - Awaiting QA""), ""Dev Complete - Awaiting QA"", IF(REGEXMATCH(N607, ""STATUS: Follow-Up Required""), ""Follow-Up Required"", IF(REGEXMATCH(N607, ""STATUS: In Progress""), ""In Progress"", IF(REGEXMATCH(N607, """&amp;"STATUS: In QA""), ""In QA"", IF(REGEXMATCH(N607, ""STATUS: Needs Customer Feedback""), ""Needs Customer Feedback"", IF(REGEXMATCH(N607, ""STATUS: QA Passed - Awaiting Release""), ""QA Passed - Awaiting Release"", IF(REGEXMATCH(N607, ""STATUS: Release to P"&amp;"rod""), ""Release to Prod"", """")))))))"),"")</f>
        <v/>
      </c>
    </row>
    <row r="608" hidden="1">
      <c r="A608" s="61" t="s">
        <v>35</v>
      </c>
      <c r="B608" s="16" t="s">
        <v>36</v>
      </c>
      <c r="C608" s="61">
        <v>130.0</v>
      </c>
      <c r="D608" s="62" t="s">
        <v>2962</v>
      </c>
      <c r="E608" s="56" t="s">
        <v>173</v>
      </c>
      <c r="F608" s="61" t="s">
        <v>2963</v>
      </c>
      <c r="G608" s="57" t="str">
        <f t="shared" si="1"/>
        <v>22-Aug-2025</v>
      </c>
      <c r="H608" s="61" t="s">
        <v>51</v>
      </c>
      <c r="I608" s="61" t="s">
        <v>279</v>
      </c>
      <c r="J608" s="27" t="str">
        <f t="shared" si="4"/>
        <v>19-Sep-2025</v>
      </c>
      <c r="K608" s="61" t="s">
        <v>2964</v>
      </c>
      <c r="L608" s="27" t="str">
        <f t="shared" si="5"/>
        <v>03-Sep-2025</v>
      </c>
      <c r="M608" s="63" t="s">
        <v>15</v>
      </c>
      <c r="N608" s="61" t="s">
        <v>2810</v>
      </c>
      <c r="O608" s="61" t="s">
        <v>2950</v>
      </c>
      <c r="P608" s="61">
        <v>1.0</v>
      </c>
      <c r="Q608" s="66" t="s">
        <v>2965</v>
      </c>
      <c r="R608" s="27" t="str">
        <f>IFERROR(__xludf.DUMMYFUNCTION("IF(REGEXMATCH(N608, ""PRIORITY: Low""), ""Low"", IF(REGEXMATCH(N608, ""PRIORITY: Medium""), ""Medium"", IF(REGEXMATCH(N608, ""PRIORITY: High""), ""High"", """")))
"),"")</f>
        <v/>
      </c>
      <c r="S608" s="27" t="str">
        <f>IFERROR(__xludf.DUMMYFUNCTION("IF(REGEXMATCH(N608, ""SKILL: Low""), ""Low"", IF(REGEXMATCH(N608, ""SKILL: Medium""), ""Medium"", IF(REGEXMATCH(N608, ""SKILL: High""), ""High"", """")))"),"")</f>
        <v/>
      </c>
      <c r="T608" s="27" t="str">
        <f>IFERROR(__xludf.DUMMYFUNCTION("IF(REGEXMATCH(N608, ""STATUS: Dev Complete - Awaiting QA""), ""Dev Complete - Awaiting QA"", IF(REGEXMATCH(N608, ""STATUS: Follow-Up Required""), ""Follow-Up Required"", IF(REGEXMATCH(N608, ""STATUS: In Progress""), ""In Progress"", IF(REGEXMATCH(N608, """&amp;"STATUS: In QA""), ""In QA"", IF(REGEXMATCH(N608, ""STATUS: Needs Customer Feedback""), ""Needs Customer Feedback"", IF(REGEXMATCH(N608, ""STATUS: QA Passed - Awaiting Release""), ""QA Passed - Awaiting Release"", IF(REGEXMATCH(N608, ""STATUS: Release to P"&amp;"rod""), ""Release to Prod"", """")))))))"),"")</f>
        <v/>
      </c>
    </row>
    <row r="609" hidden="1">
      <c r="A609" s="61" t="s">
        <v>35</v>
      </c>
      <c r="B609" s="16" t="s">
        <v>36</v>
      </c>
      <c r="C609" s="61">
        <v>123.0</v>
      </c>
      <c r="D609" s="62" t="s">
        <v>2966</v>
      </c>
      <c r="E609" s="56" t="s">
        <v>173</v>
      </c>
      <c r="F609" s="61" t="s">
        <v>2967</v>
      </c>
      <c r="G609" s="57" t="str">
        <f t="shared" si="1"/>
        <v>19-Aug-2025</v>
      </c>
      <c r="H609" s="61" t="s">
        <v>98</v>
      </c>
      <c r="I609" s="61" t="s">
        <v>2968</v>
      </c>
      <c r="J609" s="27" t="str">
        <f t="shared" si="4"/>
        <v>05-Sep-2025</v>
      </c>
      <c r="K609" s="61" t="s">
        <v>2968</v>
      </c>
      <c r="L609" s="27" t="str">
        <f t="shared" si="5"/>
        <v>05-Sep-2025</v>
      </c>
      <c r="M609" s="63" t="s">
        <v>249</v>
      </c>
      <c r="N609" s="61" t="s">
        <v>2969</v>
      </c>
      <c r="O609" s="61" t="s">
        <v>51</v>
      </c>
      <c r="P609" s="61">
        <v>1.0</v>
      </c>
      <c r="Q609" s="66" t="s">
        <v>2970</v>
      </c>
      <c r="R609" s="27" t="str">
        <f>IFERROR(__xludf.DUMMYFUNCTION("IF(REGEXMATCH(N609, ""PRIORITY: Low""), ""Low"", IF(REGEXMATCH(N609, ""PRIORITY: Medium""), ""Medium"", IF(REGEXMATCH(N609, ""PRIORITY: High""), ""High"", """")))
"),"Low")</f>
        <v>Low</v>
      </c>
      <c r="S609" s="27" t="str">
        <f>IFERROR(__xludf.DUMMYFUNCTION("IF(REGEXMATCH(N609, ""SKILL: Low""), ""Low"", IF(REGEXMATCH(N609, ""SKILL: Medium""), ""Medium"", IF(REGEXMATCH(N609, ""SKILL: High""), ""High"", """")))"),"Low")</f>
        <v>Low</v>
      </c>
      <c r="T609" s="27" t="str">
        <f>IFERROR(__xludf.DUMMYFUNCTION("IF(REGEXMATCH(N609, ""STATUS: Dev Complete - Awaiting QA""), ""Dev Complete - Awaiting QA"", IF(REGEXMATCH(N609, ""STATUS: Follow-Up Required""), ""Follow-Up Required"", IF(REGEXMATCH(N609, ""STATUS: In Progress""), ""In Progress"", IF(REGEXMATCH(N609, """&amp;"STATUS: In QA""), ""In QA"", IF(REGEXMATCH(N609, ""STATUS: Needs Customer Feedback""), ""Needs Customer Feedback"", IF(REGEXMATCH(N609, ""STATUS: QA Passed - Awaiting Release""), ""QA Passed - Awaiting Release"", IF(REGEXMATCH(N609, ""STATUS: Release to P"&amp;"rod""), ""Release to Prod"", """")))))))"),"")</f>
        <v/>
      </c>
    </row>
    <row r="610" hidden="1">
      <c r="A610" s="61" t="s">
        <v>35</v>
      </c>
      <c r="B610" s="16" t="s">
        <v>36</v>
      </c>
      <c r="C610" s="61">
        <v>122.0</v>
      </c>
      <c r="D610" s="62" t="s">
        <v>2971</v>
      </c>
      <c r="E610" s="56" t="s">
        <v>173</v>
      </c>
      <c r="F610" s="61" t="s">
        <v>2972</v>
      </c>
      <c r="G610" s="57" t="str">
        <f t="shared" si="1"/>
        <v>15-Aug-2025</v>
      </c>
      <c r="H610" s="61" t="s">
        <v>57</v>
      </c>
      <c r="I610" s="61" t="s">
        <v>2973</v>
      </c>
      <c r="J610" s="27" t="str">
        <f t="shared" si="4"/>
        <v>05-Sep-2025</v>
      </c>
      <c r="K610" s="61" t="s">
        <v>2974</v>
      </c>
      <c r="L610" s="27" t="str">
        <f t="shared" si="5"/>
        <v>05-Sep-2025</v>
      </c>
      <c r="M610" s="63" t="s">
        <v>249</v>
      </c>
      <c r="N610" s="61" t="s">
        <v>2969</v>
      </c>
      <c r="O610" s="61" t="s">
        <v>51</v>
      </c>
      <c r="P610" s="61">
        <v>1.0</v>
      </c>
      <c r="Q610" s="66" t="s">
        <v>2975</v>
      </c>
      <c r="R610" s="27" t="str">
        <f>IFERROR(__xludf.DUMMYFUNCTION("IF(REGEXMATCH(N610, ""PRIORITY: Low""), ""Low"", IF(REGEXMATCH(N610, ""PRIORITY: Medium""), ""Medium"", IF(REGEXMATCH(N610, ""PRIORITY: High""), ""High"", """")))
"),"Low")</f>
        <v>Low</v>
      </c>
      <c r="S610" s="27" t="str">
        <f>IFERROR(__xludf.DUMMYFUNCTION("IF(REGEXMATCH(N610, ""SKILL: Low""), ""Low"", IF(REGEXMATCH(N610, ""SKILL: Medium""), ""Medium"", IF(REGEXMATCH(N610, ""SKILL: High""), ""High"", """")))"),"Low")</f>
        <v>Low</v>
      </c>
      <c r="T610" s="27" t="str">
        <f>IFERROR(__xludf.DUMMYFUNCTION("IF(REGEXMATCH(N610, ""STATUS: Dev Complete - Awaiting QA""), ""Dev Complete - Awaiting QA"", IF(REGEXMATCH(N610, ""STATUS: Follow-Up Required""), ""Follow-Up Required"", IF(REGEXMATCH(N610, ""STATUS: In Progress""), ""In Progress"", IF(REGEXMATCH(N610, """&amp;"STATUS: In QA""), ""In QA"", IF(REGEXMATCH(N610, ""STATUS: Needs Customer Feedback""), ""Needs Customer Feedback"", IF(REGEXMATCH(N610, ""STATUS: QA Passed - Awaiting Release""), ""QA Passed - Awaiting Release"", IF(REGEXMATCH(N610, ""STATUS: Release to P"&amp;"rod""), ""Release to Prod"", """")))))))"),"")</f>
        <v/>
      </c>
    </row>
    <row r="611" hidden="1">
      <c r="A611" s="61" t="s">
        <v>35</v>
      </c>
      <c r="B611" s="16" t="s">
        <v>36</v>
      </c>
      <c r="C611" s="61">
        <v>121.0</v>
      </c>
      <c r="D611" s="62" t="s">
        <v>2976</v>
      </c>
      <c r="E611" s="56" t="s">
        <v>173</v>
      </c>
      <c r="F611" s="61" t="s">
        <v>2977</v>
      </c>
      <c r="G611" s="57" t="str">
        <f t="shared" si="1"/>
        <v>15-Aug-2025</v>
      </c>
      <c r="H611" s="61" t="s">
        <v>57</v>
      </c>
      <c r="I611" s="61" t="s">
        <v>2978</v>
      </c>
      <c r="J611" s="27" t="str">
        <f t="shared" si="4"/>
        <v>05-Sep-2025</v>
      </c>
      <c r="K611" s="61" t="s">
        <v>2978</v>
      </c>
      <c r="L611" s="27" t="str">
        <f t="shared" si="5"/>
        <v>05-Sep-2025</v>
      </c>
      <c r="M611" s="63" t="s">
        <v>249</v>
      </c>
      <c r="N611" s="61" t="s">
        <v>2960</v>
      </c>
      <c r="O611" s="61" t="s">
        <v>51</v>
      </c>
      <c r="P611" s="61">
        <v>1.0</v>
      </c>
      <c r="Q611" s="66" t="s">
        <v>2979</v>
      </c>
      <c r="R611" s="27" t="str">
        <f>IFERROR(__xludf.DUMMYFUNCTION("IF(REGEXMATCH(N611, ""PRIORITY: Low""), ""Low"", IF(REGEXMATCH(N611, ""PRIORITY: Medium""), ""Medium"", IF(REGEXMATCH(N611, ""PRIORITY: High""), ""High"", """")))
"),"Medium")</f>
        <v>Medium</v>
      </c>
      <c r="S611" s="27" t="str">
        <f>IFERROR(__xludf.DUMMYFUNCTION("IF(REGEXMATCH(N611, ""SKILL: Low""), ""Low"", IF(REGEXMATCH(N611, ""SKILL: Medium""), ""Medium"", IF(REGEXMATCH(N611, ""SKILL: High""), ""High"", """")))"),"Low")</f>
        <v>Low</v>
      </c>
      <c r="T611" s="27" t="str">
        <f>IFERROR(__xludf.DUMMYFUNCTION("IF(REGEXMATCH(N611, ""STATUS: Dev Complete - Awaiting QA""), ""Dev Complete - Awaiting QA"", IF(REGEXMATCH(N611, ""STATUS: Follow-Up Required""), ""Follow-Up Required"", IF(REGEXMATCH(N611, ""STATUS: In Progress""), ""In Progress"", IF(REGEXMATCH(N611, """&amp;"STATUS: In QA""), ""In QA"", IF(REGEXMATCH(N611, ""STATUS: Needs Customer Feedback""), ""Needs Customer Feedback"", IF(REGEXMATCH(N611, ""STATUS: QA Passed - Awaiting Release""), ""QA Passed - Awaiting Release"", IF(REGEXMATCH(N611, ""STATUS: Release to P"&amp;"rod""), ""Release to Prod"", """")))))))"),"")</f>
        <v/>
      </c>
    </row>
    <row r="612" hidden="1">
      <c r="A612" s="61" t="s">
        <v>35</v>
      </c>
      <c r="B612" s="16" t="s">
        <v>36</v>
      </c>
      <c r="C612" s="61">
        <v>120.0</v>
      </c>
      <c r="D612" s="62" t="s">
        <v>2980</v>
      </c>
      <c r="E612" s="56" t="s">
        <v>173</v>
      </c>
      <c r="F612" s="61" t="s">
        <v>2981</v>
      </c>
      <c r="G612" s="57" t="str">
        <f t="shared" si="1"/>
        <v>15-Aug-2025</v>
      </c>
      <c r="H612" s="61" t="s">
        <v>57</v>
      </c>
      <c r="I612" s="61" t="s">
        <v>2982</v>
      </c>
      <c r="J612" s="27" t="str">
        <f t="shared" si="4"/>
        <v>03-Sep-2025</v>
      </c>
      <c r="K612" s="61" t="s">
        <v>2982</v>
      </c>
      <c r="L612" s="27" t="str">
        <f t="shared" si="5"/>
        <v>03-Sep-2025</v>
      </c>
      <c r="M612" s="63" t="s">
        <v>15</v>
      </c>
      <c r="N612" s="61" t="s">
        <v>2969</v>
      </c>
      <c r="O612" s="61" t="s">
        <v>51</v>
      </c>
      <c r="P612" s="61">
        <v>1.0</v>
      </c>
      <c r="Q612" s="66" t="s">
        <v>2983</v>
      </c>
      <c r="R612" s="27" t="str">
        <f>IFERROR(__xludf.DUMMYFUNCTION("IF(REGEXMATCH(N612, ""PRIORITY: Low""), ""Low"", IF(REGEXMATCH(N612, ""PRIORITY: Medium""), ""Medium"", IF(REGEXMATCH(N612, ""PRIORITY: High""), ""High"", """")))
"),"Low")</f>
        <v>Low</v>
      </c>
      <c r="S612" s="27" t="str">
        <f>IFERROR(__xludf.DUMMYFUNCTION("IF(REGEXMATCH(N612, ""SKILL: Low""), ""Low"", IF(REGEXMATCH(N612, ""SKILL: Medium""), ""Medium"", IF(REGEXMATCH(N612, ""SKILL: High""), ""High"", """")))"),"Low")</f>
        <v>Low</v>
      </c>
      <c r="T612" s="27" t="str">
        <f>IFERROR(__xludf.DUMMYFUNCTION("IF(REGEXMATCH(N612, ""STATUS: Dev Complete - Awaiting QA""), ""Dev Complete - Awaiting QA"", IF(REGEXMATCH(N612, ""STATUS: Follow-Up Required""), ""Follow-Up Required"", IF(REGEXMATCH(N612, ""STATUS: In Progress""), ""In Progress"", IF(REGEXMATCH(N612, """&amp;"STATUS: In QA""), ""In QA"", IF(REGEXMATCH(N612, ""STATUS: Needs Customer Feedback""), ""Needs Customer Feedback"", IF(REGEXMATCH(N612, ""STATUS: QA Passed - Awaiting Release""), ""QA Passed - Awaiting Release"", IF(REGEXMATCH(N612, ""STATUS: Release to P"&amp;"rod""), ""Release to Prod"", """")))))))"),"")</f>
        <v/>
      </c>
    </row>
    <row r="613" hidden="1">
      <c r="A613" s="61" t="s">
        <v>35</v>
      </c>
      <c r="B613" s="16" t="s">
        <v>36</v>
      </c>
      <c r="C613" s="61">
        <v>119.0</v>
      </c>
      <c r="D613" s="62" t="s">
        <v>2984</v>
      </c>
      <c r="E613" s="56" t="s">
        <v>173</v>
      </c>
      <c r="F613" s="61" t="s">
        <v>2985</v>
      </c>
      <c r="G613" s="57" t="str">
        <f t="shared" si="1"/>
        <v>15-Aug-2025</v>
      </c>
      <c r="H613" s="61" t="s">
        <v>57</v>
      </c>
      <c r="I613" s="61" t="s">
        <v>2986</v>
      </c>
      <c r="J613" s="27" t="str">
        <f t="shared" si="4"/>
        <v>05-Sep-2025</v>
      </c>
      <c r="K613" s="61" t="s">
        <v>2986</v>
      </c>
      <c r="L613" s="27" t="str">
        <f t="shared" si="5"/>
        <v>05-Sep-2025</v>
      </c>
      <c r="M613" s="63" t="s">
        <v>249</v>
      </c>
      <c r="N613" s="61" t="s">
        <v>2969</v>
      </c>
      <c r="O613" s="61" t="s">
        <v>51</v>
      </c>
      <c r="P613" s="61">
        <v>1.0</v>
      </c>
      <c r="Q613" s="66" t="s">
        <v>2987</v>
      </c>
      <c r="R613" s="27" t="str">
        <f>IFERROR(__xludf.DUMMYFUNCTION("IF(REGEXMATCH(N613, ""PRIORITY: Low""), ""Low"", IF(REGEXMATCH(N613, ""PRIORITY: Medium""), ""Medium"", IF(REGEXMATCH(N613, ""PRIORITY: High""), ""High"", """")))
"),"Low")</f>
        <v>Low</v>
      </c>
      <c r="S613" s="27" t="str">
        <f>IFERROR(__xludf.DUMMYFUNCTION("IF(REGEXMATCH(N613, ""SKILL: Low""), ""Low"", IF(REGEXMATCH(N613, ""SKILL: Medium""), ""Medium"", IF(REGEXMATCH(N613, ""SKILL: High""), ""High"", """")))"),"Low")</f>
        <v>Low</v>
      </c>
      <c r="T613" s="27" t="str">
        <f>IFERROR(__xludf.DUMMYFUNCTION("IF(REGEXMATCH(N613, ""STATUS: Dev Complete - Awaiting QA""), ""Dev Complete - Awaiting QA"", IF(REGEXMATCH(N613, ""STATUS: Follow-Up Required""), ""Follow-Up Required"", IF(REGEXMATCH(N613, ""STATUS: In Progress""), ""In Progress"", IF(REGEXMATCH(N613, """&amp;"STATUS: In QA""), ""In QA"", IF(REGEXMATCH(N613, ""STATUS: Needs Customer Feedback""), ""Needs Customer Feedback"", IF(REGEXMATCH(N613, ""STATUS: QA Passed - Awaiting Release""), ""QA Passed - Awaiting Release"", IF(REGEXMATCH(N613, ""STATUS: Release to P"&amp;"rod""), ""Release to Prod"", """")))))))"),"")</f>
        <v/>
      </c>
    </row>
    <row r="614" hidden="1">
      <c r="A614" s="61" t="s">
        <v>35</v>
      </c>
      <c r="B614" s="16" t="s">
        <v>36</v>
      </c>
      <c r="C614" s="61">
        <v>118.0</v>
      </c>
      <c r="D614" s="62" t="s">
        <v>2988</v>
      </c>
      <c r="E614" s="56" t="s">
        <v>173</v>
      </c>
      <c r="F614" s="61" t="s">
        <v>2989</v>
      </c>
      <c r="G614" s="57" t="str">
        <f t="shared" si="1"/>
        <v>15-Aug-2025</v>
      </c>
      <c r="H614" s="61" t="s">
        <v>57</v>
      </c>
      <c r="I614" s="61" t="s">
        <v>2990</v>
      </c>
      <c r="J614" s="27" t="str">
        <f t="shared" si="4"/>
        <v>05-Sep-2025</v>
      </c>
      <c r="K614" s="61" t="s">
        <v>2990</v>
      </c>
      <c r="L614" s="27" t="str">
        <f t="shared" si="5"/>
        <v>05-Sep-2025</v>
      </c>
      <c r="M614" s="63" t="s">
        <v>249</v>
      </c>
      <c r="N614" s="61" t="s">
        <v>2969</v>
      </c>
      <c r="O614" s="61" t="s">
        <v>51</v>
      </c>
      <c r="P614" s="61">
        <v>1.0</v>
      </c>
      <c r="Q614" s="66" t="s">
        <v>2991</v>
      </c>
      <c r="R614" s="27" t="str">
        <f>IFERROR(__xludf.DUMMYFUNCTION("IF(REGEXMATCH(N614, ""PRIORITY: Low""), ""Low"", IF(REGEXMATCH(N614, ""PRIORITY: Medium""), ""Medium"", IF(REGEXMATCH(N614, ""PRIORITY: High""), ""High"", """")))
"),"Low")</f>
        <v>Low</v>
      </c>
      <c r="S614" s="27" t="str">
        <f>IFERROR(__xludf.DUMMYFUNCTION("IF(REGEXMATCH(N614, ""SKILL: Low""), ""Low"", IF(REGEXMATCH(N614, ""SKILL: Medium""), ""Medium"", IF(REGEXMATCH(N614, ""SKILL: High""), ""High"", """")))"),"Low")</f>
        <v>Low</v>
      </c>
      <c r="T614" s="27" t="str">
        <f>IFERROR(__xludf.DUMMYFUNCTION("IF(REGEXMATCH(N614, ""STATUS: Dev Complete - Awaiting QA""), ""Dev Complete - Awaiting QA"", IF(REGEXMATCH(N614, ""STATUS: Follow-Up Required""), ""Follow-Up Required"", IF(REGEXMATCH(N614, ""STATUS: In Progress""), ""In Progress"", IF(REGEXMATCH(N614, """&amp;"STATUS: In QA""), ""In QA"", IF(REGEXMATCH(N614, ""STATUS: Needs Customer Feedback""), ""Needs Customer Feedback"", IF(REGEXMATCH(N614, ""STATUS: QA Passed - Awaiting Release""), ""QA Passed - Awaiting Release"", IF(REGEXMATCH(N614, ""STATUS: Release to P"&amp;"rod""), ""Release to Prod"", """")))))))"),"")</f>
        <v/>
      </c>
    </row>
    <row r="615" hidden="1">
      <c r="A615" s="61" t="s">
        <v>35</v>
      </c>
      <c r="B615" s="16" t="s">
        <v>36</v>
      </c>
      <c r="C615" s="61">
        <v>117.0</v>
      </c>
      <c r="D615" s="62" t="s">
        <v>2992</v>
      </c>
      <c r="E615" s="56" t="s">
        <v>173</v>
      </c>
      <c r="F615" s="61" t="s">
        <v>2993</v>
      </c>
      <c r="G615" s="57" t="str">
        <f t="shared" si="1"/>
        <v>15-Aug-2025</v>
      </c>
      <c r="H615" s="61" t="s">
        <v>57</v>
      </c>
      <c r="I615" s="61" t="s">
        <v>2994</v>
      </c>
      <c r="J615" s="27" t="str">
        <f t="shared" si="4"/>
        <v>05-Sep-2025</v>
      </c>
      <c r="K615" s="61" t="s">
        <v>2994</v>
      </c>
      <c r="L615" s="27" t="str">
        <f t="shared" si="5"/>
        <v>05-Sep-2025</v>
      </c>
      <c r="M615" s="63" t="s">
        <v>249</v>
      </c>
      <c r="N615" s="61" t="s">
        <v>2969</v>
      </c>
      <c r="O615" s="61" t="s">
        <v>51</v>
      </c>
      <c r="P615" s="61">
        <v>1.0</v>
      </c>
      <c r="Q615" s="66" t="s">
        <v>2995</v>
      </c>
      <c r="R615" s="27" t="str">
        <f>IFERROR(__xludf.DUMMYFUNCTION("IF(REGEXMATCH(N615, ""PRIORITY: Low""), ""Low"", IF(REGEXMATCH(N615, ""PRIORITY: Medium""), ""Medium"", IF(REGEXMATCH(N615, ""PRIORITY: High""), ""High"", """")))
"),"Low")</f>
        <v>Low</v>
      </c>
      <c r="S615" s="27" t="str">
        <f>IFERROR(__xludf.DUMMYFUNCTION("IF(REGEXMATCH(N615, ""SKILL: Low""), ""Low"", IF(REGEXMATCH(N615, ""SKILL: Medium""), ""Medium"", IF(REGEXMATCH(N615, ""SKILL: High""), ""High"", """")))"),"Low")</f>
        <v>Low</v>
      </c>
      <c r="T615" s="27" t="str">
        <f>IFERROR(__xludf.DUMMYFUNCTION("IF(REGEXMATCH(N615, ""STATUS: Dev Complete - Awaiting QA""), ""Dev Complete - Awaiting QA"", IF(REGEXMATCH(N615, ""STATUS: Follow-Up Required""), ""Follow-Up Required"", IF(REGEXMATCH(N615, ""STATUS: In Progress""), ""In Progress"", IF(REGEXMATCH(N615, """&amp;"STATUS: In QA""), ""In QA"", IF(REGEXMATCH(N615, ""STATUS: Needs Customer Feedback""), ""Needs Customer Feedback"", IF(REGEXMATCH(N615, ""STATUS: QA Passed - Awaiting Release""), ""QA Passed - Awaiting Release"", IF(REGEXMATCH(N615, ""STATUS: Release to P"&amp;"rod""), ""Release to Prod"", """")))))))"),"")</f>
        <v/>
      </c>
    </row>
    <row r="616" hidden="1">
      <c r="A616" s="61" t="s">
        <v>35</v>
      </c>
      <c r="B616" s="16" t="s">
        <v>36</v>
      </c>
      <c r="C616" s="61">
        <v>116.0</v>
      </c>
      <c r="D616" s="62" t="s">
        <v>2996</v>
      </c>
      <c r="E616" s="56" t="s">
        <v>173</v>
      </c>
      <c r="F616" s="61" t="s">
        <v>2997</v>
      </c>
      <c r="G616" s="57" t="str">
        <f t="shared" si="1"/>
        <v>15-Aug-2025</v>
      </c>
      <c r="H616" s="61" t="s">
        <v>57</v>
      </c>
      <c r="I616" s="61" t="s">
        <v>2998</v>
      </c>
      <c r="J616" s="27" t="str">
        <f t="shared" si="4"/>
        <v>05-Sep-2025</v>
      </c>
      <c r="K616" s="61" t="s">
        <v>2998</v>
      </c>
      <c r="L616" s="27" t="str">
        <f t="shared" si="5"/>
        <v>05-Sep-2025</v>
      </c>
      <c r="M616" s="63" t="s">
        <v>249</v>
      </c>
      <c r="N616" s="61" t="s">
        <v>2999</v>
      </c>
      <c r="O616" s="61" t="s">
        <v>51</v>
      </c>
      <c r="P616" s="61">
        <v>1.0</v>
      </c>
      <c r="Q616" s="66" t="s">
        <v>3000</v>
      </c>
      <c r="R616" s="27" t="str">
        <f>IFERROR(__xludf.DUMMYFUNCTION("IF(REGEXMATCH(N616, ""PRIORITY: Low""), ""Low"", IF(REGEXMATCH(N616, ""PRIORITY: Medium""), ""Medium"", IF(REGEXMATCH(N616, ""PRIORITY: High""), ""High"", """")))
"),"Low")</f>
        <v>Low</v>
      </c>
      <c r="S616" s="27" t="str">
        <f>IFERROR(__xludf.DUMMYFUNCTION("IF(REGEXMATCH(N616, ""SKILL: Low""), ""Low"", IF(REGEXMATCH(N616, ""SKILL: Medium""), ""Medium"", IF(REGEXMATCH(N616, ""SKILL: High""), ""High"", """")))"),"Medium")</f>
        <v>Medium</v>
      </c>
      <c r="T616" s="27" t="str">
        <f>IFERROR(__xludf.DUMMYFUNCTION("IF(REGEXMATCH(N616, ""STATUS: Dev Complete - Awaiting QA""), ""Dev Complete - Awaiting QA"", IF(REGEXMATCH(N616, ""STATUS: Follow-Up Required""), ""Follow-Up Required"", IF(REGEXMATCH(N616, ""STATUS: In Progress""), ""In Progress"", IF(REGEXMATCH(N616, """&amp;"STATUS: In QA""), ""In QA"", IF(REGEXMATCH(N616, ""STATUS: Needs Customer Feedback""), ""Needs Customer Feedback"", IF(REGEXMATCH(N616, ""STATUS: QA Passed - Awaiting Release""), ""QA Passed - Awaiting Release"", IF(REGEXMATCH(N616, ""STATUS: Release to P"&amp;"rod""), ""Release to Prod"", """")))))))"),"")</f>
        <v/>
      </c>
    </row>
    <row r="617" hidden="1">
      <c r="A617" s="61" t="s">
        <v>35</v>
      </c>
      <c r="B617" s="16" t="s">
        <v>36</v>
      </c>
      <c r="C617" s="61">
        <v>115.0</v>
      </c>
      <c r="D617" s="62" t="s">
        <v>3001</v>
      </c>
      <c r="E617" s="56" t="s">
        <v>173</v>
      </c>
      <c r="F617" s="61" t="s">
        <v>3002</v>
      </c>
      <c r="G617" s="57" t="str">
        <f t="shared" si="1"/>
        <v>15-Aug-2025</v>
      </c>
      <c r="H617" s="61" t="s">
        <v>57</v>
      </c>
      <c r="I617" s="61" t="s">
        <v>2066</v>
      </c>
      <c r="J617" s="27" t="str">
        <f t="shared" si="4"/>
        <v>19-Sep-2025</v>
      </c>
      <c r="K617" s="61" t="s">
        <v>3003</v>
      </c>
      <c r="L617" s="27" t="str">
        <f t="shared" si="5"/>
        <v>05-Sep-2025</v>
      </c>
      <c r="M617" s="63" t="s">
        <v>249</v>
      </c>
      <c r="N617" s="61" t="s">
        <v>2960</v>
      </c>
      <c r="O617" s="27"/>
      <c r="P617" s="61">
        <v>1.0</v>
      </c>
      <c r="Q617" s="66" t="s">
        <v>3004</v>
      </c>
      <c r="R617" s="27" t="str">
        <f>IFERROR(__xludf.DUMMYFUNCTION("IF(REGEXMATCH(N617, ""PRIORITY: Low""), ""Low"", IF(REGEXMATCH(N617, ""PRIORITY: Medium""), ""Medium"", IF(REGEXMATCH(N617, ""PRIORITY: High""), ""High"", """")))
"),"Medium")</f>
        <v>Medium</v>
      </c>
      <c r="S617" s="27" t="str">
        <f>IFERROR(__xludf.DUMMYFUNCTION("IF(REGEXMATCH(N617, ""SKILL: Low""), ""Low"", IF(REGEXMATCH(N617, ""SKILL: Medium""), ""Medium"", IF(REGEXMATCH(N617, ""SKILL: High""), ""High"", """")))"),"Low")</f>
        <v>Low</v>
      </c>
      <c r="T617" s="27" t="str">
        <f>IFERROR(__xludf.DUMMYFUNCTION("IF(REGEXMATCH(N617, ""STATUS: Dev Complete - Awaiting QA""), ""Dev Complete - Awaiting QA"", IF(REGEXMATCH(N617, ""STATUS: Follow-Up Required""), ""Follow-Up Required"", IF(REGEXMATCH(N617, ""STATUS: In Progress""), ""In Progress"", IF(REGEXMATCH(N617, """&amp;"STATUS: In QA""), ""In QA"", IF(REGEXMATCH(N617, ""STATUS: Needs Customer Feedback""), ""Needs Customer Feedback"", IF(REGEXMATCH(N617, ""STATUS: QA Passed - Awaiting Release""), ""QA Passed - Awaiting Release"", IF(REGEXMATCH(N617, ""STATUS: Release to P"&amp;"rod""), ""Release to Prod"", """")))))))"),"")</f>
        <v/>
      </c>
    </row>
    <row r="618" hidden="1">
      <c r="A618" s="61" t="s">
        <v>35</v>
      </c>
      <c r="B618" s="16" t="s">
        <v>36</v>
      </c>
      <c r="C618" s="61">
        <v>106.0</v>
      </c>
      <c r="D618" s="62" t="s">
        <v>3005</v>
      </c>
      <c r="E618" s="56" t="s">
        <v>173</v>
      </c>
      <c r="F618" s="61" t="s">
        <v>3006</v>
      </c>
      <c r="G618" s="57" t="str">
        <f t="shared" si="1"/>
        <v>06-Aug-2025</v>
      </c>
      <c r="H618" s="61" t="s">
        <v>41</v>
      </c>
      <c r="I618" s="61" t="s">
        <v>1901</v>
      </c>
      <c r="J618" s="27" t="str">
        <f t="shared" si="4"/>
        <v>19-Sep-2025</v>
      </c>
      <c r="K618" s="61" t="s">
        <v>3007</v>
      </c>
      <c r="L618" s="27" t="str">
        <f t="shared" si="5"/>
        <v>05-Sep-2025</v>
      </c>
      <c r="M618" s="63" t="s">
        <v>249</v>
      </c>
      <c r="N618" s="61" t="s">
        <v>2999</v>
      </c>
      <c r="O618" s="61" t="s">
        <v>51</v>
      </c>
      <c r="P618" s="61">
        <v>1.0</v>
      </c>
      <c r="Q618" s="66" t="s">
        <v>3008</v>
      </c>
      <c r="R618" s="27" t="str">
        <f>IFERROR(__xludf.DUMMYFUNCTION("IF(REGEXMATCH(N618, ""PRIORITY: Low""), ""Low"", IF(REGEXMATCH(N618, ""PRIORITY: Medium""), ""Medium"", IF(REGEXMATCH(N618, ""PRIORITY: High""), ""High"", """")))
"),"Low")</f>
        <v>Low</v>
      </c>
      <c r="S618" s="27" t="str">
        <f>IFERROR(__xludf.DUMMYFUNCTION("IF(REGEXMATCH(N618, ""SKILL: Low""), ""Low"", IF(REGEXMATCH(N618, ""SKILL: Medium""), ""Medium"", IF(REGEXMATCH(N618, ""SKILL: High""), ""High"", """")))"),"Medium")</f>
        <v>Medium</v>
      </c>
      <c r="T618" s="27" t="str">
        <f>IFERROR(__xludf.DUMMYFUNCTION("IF(REGEXMATCH(N618, ""STATUS: Dev Complete - Awaiting QA""), ""Dev Complete - Awaiting QA"", IF(REGEXMATCH(N618, ""STATUS: Follow-Up Required""), ""Follow-Up Required"", IF(REGEXMATCH(N618, ""STATUS: In Progress""), ""In Progress"", IF(REGEXMATCH(N618, """&amp;"STATUS: In QA""), ""In QA"", IF(REGEXMATCH(N618, ""STATUS: Needs Customer Feedback""), ""Needs Customer Feedback"", IF(REGEXMATCH(N618, ""STATUS: QA Passed - Awaiting Release""), ""QA Passed - Awaiting Release"", IF(REGEXMATCH(N618, ""STATUS: Release to P"&amp;"rod""), ""Release to Prod"", """")))))))"),"")</f>
        <v/>
      </c>
    </row>
    <row r="619" hidden="1">
      <c r="A619" s="61" t="s">
        <v>35</v>
      </c>
      <c r="B619" s="16" t="s">
        <v>36</v>
      </c>
      <c r="C619" s="61">
        <v>101.0</v>
      </c>
      <c r="D619" s="62" t="s">
        <v>3009</v>
      </c>
      <c r="E619" s="56" t="s">
        <v>173</v>
      </c>
      <c r="F619" s="61" t="s">
        <v>3010</v>
      </c>
      <c r="G619" s="57" t="str">
        <f t="shared" si="1"/>
        <v>01-Aug-2025</v>
      </c>
      <c r="H619" s="61" t="s">
        <v>51</v>
      </c>
      <c r="I619" s="61" t="s">
        <v>3011</v>
      </c>
      <c r="J619" s="27" t="str">
        <f t="shared" si="4"/>
        <v>06-Aug-2025</v>
      </c>
      <c r="K619" s="61" t="s">
        <v>3012</v>
      </c>
      <c r="L619" s="27" t="str">
        <f t="shared" si="5"/>
        <v>06-Aug-2025</v>
      </c>
      <c r="M619" s="63" t="s">
        <v>285</v>
      </c>
      <c r="N619" s="61" t="s">
        <v>3013</v>
      </c>
      <c r="O619" s="61" t="s">
        <v>51</v>
      </c>
      <c r="P619" s="61">
        <v>0.0</v>
      </c>
      <c r="Q619" s="66" t="s">
        <v>3014</v>
      </c>
      <c r="R619" s="27" t="str">
        <f>IFERROR(__xludf.DUMMYFUNCTION("IF(REGEXMATCH(N619, ""PRIORITY: Low""), ""Low"", IF(REGEXMATCH(N619, ""PRIORITY: Medium""), ""Medium"", IF(REGEXMATCH(N619, ""PRIORITY: High""), ""High"", """")))
"),"Medium")</f>
        <v>Medium</v>
      </c>
      <c r="S619" s="27" t="str">
        <f>IFERROR(__xludf.DUMMYFUNCTION("IF(REGEXMATCH(N619, ""SKILL: Low""), ""Low"", IF(REGEXMATCH(N619, ""SKILL: Medium""), ""Medium"", IF(REGEXMATCH(N619, ""SKILL: High""), ""High"", """")))"),"Low")</f>
        <v>Low</v>
      </c>
      <c r="T619" s="27" t="str">
        <f>IFERROR(__xludf.DUMMYFUNCTION("IF(REGEXMATCH(N619, ""STATUS: Dev Complete - Awaiting QA""), ""Dev Complete - Awaiting QA"", IF(REGEXMATCH(N619, ""STATUS: Follow-Up Required""), ""Follow-Up Required"", IF(REGEXMATCH(N619, ""STATUS: In Progress""), ""In Progress"", IF(REGEXMATCH(N619, """&amp;"STATUS: In QA""), ""In QA"", IF(REGEXMATCH(N619, ""STATUS: Needs Customer Feedback""), ""Needs Customer Feedback"", IF(REGEXMATCH(N619, ""STATUS: QA Passed - Awaiting Release""), ""QA Passed - Awaiting Release"", IF(REGEXMATCH(N619, ""STATUS: Release to P"&amp;"rod""), ""Release to Prod"", """")))))))"),"")</f>
        <v/>
      </c>
    </row>
    <row r="620" hidden="1">
      <c r="A620" s="61" t="s">
        <v>35</v>
      </c>
      <c r="B620" s="16" t="s">
        <v>36</v>
      </c>
      <c r="C620" s="61">
        <v>96.0</v>
      </c>
      <c r="D620" s="62" t="s">
        <v>3015</v>
      </c>
      <c r="E620" s="56" t="s">
        <v>173</v>
      </c>
      <c r="F620" s="61" t="s">
        <v>3016</v>
      </c>
      <c r="G620" s="57" t="str">
        <f t="shared" si="1"/>
        <v>01-Aug-2025</v>
      </c>
      <c r="H620" s="61" t="s">
        <v>51</v>
      </c>
      <c r="I620" s="61" t="s">
        <v>3017</v>
      </c>
      <c r="J620" s="27" t="str">
        <f t="shared" si="4"/>
        <v>06-Aug-2025</v>
      </c>
      <c r="K620" s="61" t="s">
        <v>3018</v>
      </c>
      <c r="L620" s="27" t="str">
        <f t="shared" si="5"/>
        <v>06-Aug-2025</v>
      </c>
      <c r="M620" s="63" t="s">
        <v>285</v>
      </c>
      <c r="N620" s="61" t="s">
        <v>3019</v>
      </c>
      <c r="O620" s="61" t="s">
        <v>51</v>
      </c>
      <c r="P620" s="61">
        <v>0.0</v>
      </c>
      <c r="Q620" s="66" t="s">
        <v>3020</v>
      </c>
      <c r="R620" s="27" t="str">
        <f>IFERROR(__xludf.DUMMYFUNCTION("IF(REGEXMATCH(N620, ""PRIORITY: Low""), ""Low"", IF(REGEXMATCH(N620, ""PRIORITY: Medium""), ""Medium"", IF(REGEXMATCH(N620, ""PRIORITY: High""), ""High"", """")))
"),"Low")</f>
        <v>Low</v>
      </c>
      <c r="S620" s="27" t="str">
        <f>IFERROR(__xludf.DUMMYFUNCTION("IF(REGEXMATCH(N620, ""SKILL: Low""), ""Low"", IF(REGEXMATCH(N620, ""SKILL: Medium""), ""Medium"", IF(REGEXMATCH(N620, ""SKILL: High""), ""High"", """")))"),"Low")</f>
        <v>Low</v>
      </c>
      <c r="T620" s="27" t="str">
        <f>IFERROR(__xludf.DUMMYFUNCTION("IF(REGEXMATCH(N620, ""STATUS: Dev Complete - Awaiting QA""), ""Dev Complete - Awaiting QA"", IF(REGEXMATCH(N620, ""STATUS: Follow-Up Required""), ""Follow-Up Required"", IF(REGEXMATCH(N620, ""STATUS: In Progress""), ""In Progress"", IF(REGEXMATCH(N620, """&amp;"STATUS: In QA""), ""In QA"", IF(REGEXMATCH(N620, ""STATUS: Needs Customer Feedback""), ""Needs Customer Feedback"", IF(REGEXMATCH(N620, ""STATUS: QA Passed - Awaiting Release""), ""QA Passed - Awaiting Release"", IF(REGEXMATCH(N620, ""STATUS: Release to P"&amp;"rod""), ""Release to Prod"", """")))))))"),"")</f>
        <v/>
      </c>
    </row>
    <row r="621" hidden="1">
      <c r="A621" s="61" t="s">
        <v>35</v>
      </c>
      <c r="B621" s="16" t="s">
        <v>36</v>
      </c>
      <c r="C621" s="61">
        <v>94.0</v>
      </c>
      <c r="D621" s="62" t="s">
        <v>3021</v>
      </c>
      <c r="E621" s="56" t="s">
        <v>173</v>
      </c>
      <c r="F621" s="61" t="s">
        <v>3022</v>
      </c>
      <c r="G621" s="57" t="str">
        <f t="shared" si="1"/>
        <v>01-Aug-2025</v>
      </c>
      <c r="H621" s="61" t="s">
        <v>51</v>
      </c>
      <c r="I621" s="61" t="s">
        <v>3023</v>
      </c>
      <c r="J621" s="27" t="str">
        <f t="shared" si="4"/>
        <v>06-Aug-2025</v>
      </c>
      <c r="K621" s="61" t="s">
        <v>3024</v>
      </c>
      <c r="L621" s="27" t="str">
        <f t="shared" si="5"/>
        <v>06-Aug-2025</v>
      </c>
      <c r="M621" s="63" t="s">
        <v>285</v>
      </c>
      <c r="N621" s="61" t="s">
        <v>3013</v>
      </c>
      <c r="O621" s="61" t="s">
        <v>51</v>
      </c>
      <c r="P621" s="61">
        <v>0.0</v>
      </c>
      <c r="Q621" s="66" t="s">
        <v>3025</v>
      </c>
      <c r="R621" s="27" t="str">
        <f>IFERROR(__xludf.DUMMYFUNCTION("IF(REGEXMATCH(N621, ""PRIORITY: Low""), ""Low"", IF(REGEXMATCH(N621, ""PRIORITY: Medium""), ""Medium"", IF(REGEXMATCH(N621, ""PRIORITY: High""), ""High"", """")))
"),"Medium")</f>
        <v>Medium</v>
      </c>
      <c r="S621" s="27" t="str">
        <f>IFERROR(__xludf.DUMMYFUNCTION("IF(REGEXMATCH(N621, ""SKILL: Low""), ""Low"", IF(REGEXMATCH(N621, ""SKILL: Medium""), ""Medium"", IF(REGEXMATCH(N621, ""SKILL: High""), ""High"", """")))"),"Low")</f>
        <v>Low</v>
      </c>
      <c r="T621" s="27" t="str">
        <f>IFERROR(__xludf.DUMMYFUNCTION("IF(REGEXMATCH(N621, ""STATUS: Dev Complete - Awaiting QA""), ""Dev Complete - Awaiting QA"", IF(REGEXMATCH(N621, ""STATUS: Follow-Up Required""), ""Follow-Up Required"", IF(REGEXMATCH(N621, ""STATUS: In Progress""), ""In Progress"", IF(REGEXMATCH(N621, """&amp;"STATUS: In QA""), ""In QA"", IF(REGEXMATCH(N621, ""STATUS: Needs Customer Feedback""), ""Needs Customer Feedback"", IF(REGEXMATCH(N621, ""STATUS: QA Passed - Awaiting Release""), ""QA Passed - Awaiting Release"", IF(REGEXMATCH(N621, ""STATUS: Release to P"&amp;"rod""), ""Release to Prod"", """")))))))"),"")</f>
        <v/>
      </c>
    </row>
    <row r="622" hidden="1">
      <c r="A622" s="61" t="s">
        <v>35</v>
      </c>
      <c r="B622" s="16" t="s">
        <v>36</v>
      </c>
      <c r="C622" s="61">
        <v>90.0</v>
      </c>
      <c r="D622" s="62" t="s">
        <v>3026</v>
      </c>
      <c r="E622" s="56" t="s">
        <v>173</v>
      </c>
      <c r="F622" s="61" t="s">
        <v>3027</v>
      </c>
      <c r="G622" s="57" t="str">
        <f t="shared" si="1"/>
        <v>30-Jul-2025</v>
      </c>
      <c r="H622" s="61" t="s">
        <v>51</v>
      </c>
      <c r="I622" s="61" t="s">
        <v>3028</v>
      </c>
      <c r="J622" s="27" t="str">
        <f t="shared" si="4"/>
        <v>06-Aug-2025</v>
      </c>
      <c r="K622" s="61" t="s">
        <v>3029</v>
      </c>
      <c r="L622" s="27" t="str">
        <f t="shared" si="5"/>
        <v>06-Aug-2025</v>
      </c>
      <c r="M622" s="63" t="s">
        <v>249</v>
      </c>
      <c r="N622" s="61" t="s">
        <v>3013</v>
      </c>
      <c r="O622" s="61" t="s">
        <v>51</v>
      </c>
      <c r="P622" s="61">
        <v>0.0</v>
      </c>
      <c r="Q622" s="66" t="s">
        <v>3030</v>
      </c>
      <c r="R622" s="27" t="str">
        <f>IFERROR(__xludf.DUMMYFUNCTION("IF(REGEXMATCH(N622, ""PRIORITY: Low""), ""Low"", IF(REGEXMATCH(N622, ""PRIORITY: Medium""), ""Medium"", IF(REGEXMATCH(N622, ""PRIORITY: High""), ""High"", """")))
"),"Medium")</f>
        <v>Medium</v>
      </c>
      <c r="S622" s="27" t="str">
        <f>IFERROR(__xludf.DUMMYFUNCTION("IF(REGEXMATCH(N622, ""SKILL: Low""), ""Low"", IF(REGEXMATCH(N622, ""SKILL: Medium""), ""Medium"", IF(REGEXMATCH(N622, ""SKILL: High""), ""High"", """")))"),"Low")</f>
        <v>Low</v>
      </c>
      <c r="T622" s="27" t="str">
        <f>IFERROR(__xludf.DUMMYFUNCTION("IF(REGEXMATCH(N622, ""STATUS: Dev Complete - Awaiting QA""), ""Dev Complete - Awaiting QA"", IF(REGEXMATCH(N622, ""STATUS: Follow-Up Required""), ""Follow-Up Required"", IF(REGEXMATCH(N622, ""STATUS: In Progress""), ""In Progress"", IF(REGEXMATCH(N622, """&amp;"STATUS: In QA""), ""In QA"", IF(REGEXMATCH(N622, ""STATUS: Needs Customer Feedback""), ""Needs Customer Feedback"", IF(REGEXMATCH(N622, ""STATUS: QA Passed - Awaiting Release""), ""QA Passed - Awaiting Release"", IF(REGEXMATCH(N622, ""STATUS: Release to P"&amp;"rod""), ""Release to Prod"", """")))))))"),"")</f>
        <v/>
      </c>
    </row>
    <row r="623">
      <c r="A623" s="61" t="s">
        <v>35</v>
      </c>
      <c r="B623" s="16" t="s">
        <v>36</v>
      </c>
      <c r="C623" s="61">
        <v>89.0</v>
      </c>
      <c r="D623" s="62" t="s">
        <v>3031</v>
      </c>
      <c r="E623" s="56" t="s">
        <v>246</v>
      </c>
      <c r="F623" s="61" t="s">
        <v>3032</v>
      </c>
      <c r="G623" s="57" t="str">
        <f t="shared" si="1"/>
        <v>30-Jul-2025</v>
      </c>
      <c r="H623" s="61" t="s">
        <v>57</v>
      </c>
      <c r="I623" s="61" t="s">
        <v>3033</v>
      </c>
      <c r="J623" s="27" t="str">
        <f t="shared" si="4"/>
        <v>18-Nov-2025</v>
      </c>
      <c r="K623" s="27"/>
      <c r="L623" s="27" t="str">
        <f t="shared" si="5"/>
        <v/>
      </c>
      <c r="M623" s="63" t="s">
        <v>285</v>
      </c>
      <c r="N623" s="61" t="s">
        <v>3034</v>
      </c>
      <c r="O623" s="67" t="s">
        <v>51</v>
      </c>
      <c r="P623" s="61">
        <v>6.0</v>
      </c>
      <c r="Q623" s="66" t="s">
        <v>3035</v>
      </c>
      <c r="R623" s="27" t="str">
        <f>IFERROR(__xludf.DUMMYFUNCTION("IF(REGEXMATCH(N623, ""PRIORITY: Low""), ""Low"", IF(REGEXMATCH(N623, ""PRIORITY: Medium""), ""Medium"", IF(REGEXMATCH(N623, ""PRIORITY: High""), ""High"", """")))
"),"Medium")</f>
        <v>Medium</v>
      </c>
      <c r="S623" s="27" t="str">
        <f>IFERROR(__xludf.DUMMYFUNCTION("IF(REGEXMATCH(N623, ""SKILL: Low""), ""Low"", IF(REGEXMATCH(N623, ""SKILL: Medium""), ""Medium"", IF(REGEXMATCH(N623, ""SKILL: High""), ""High"", """")))"),"Medium")</f>
        <v>Medium</v>
      </c>
      <c r="T623" s="27" t="str">
        <f>IFERROR(__xludf.DUMMYFUNCTION("IF(REGEXMATCH(N623, ""STATUS: Dev Complete - Awaiting QA""), ""Dev Complete - Awaiting QA"", IF(REGEXMATCH(N623, ""STATUS: Follow-Up Required""), ""Follow-Up Required"", IF(REGEXMATCH(N623, ""STATUS: In Progress""), ""In Progress"", IF(REGEXMATCH(N623, """&amp;"STATUS: In QA""), ""In QA"", IF(REGEXMATCH(N623, ""STATUS: Needs Customer Feedback""), ""Needs Customer Feedback"", IF(REGEXMATCH(N623, ""STATUS: QA Passed - Awaiting Release""), ""QA Passed - Awaiting Release"", IF(REGEXMATCH(N623, ""STATUS: Release to P"&amp;"rod""), ""Release to Prod"", """")))))))"),"Follow-Up Required")</f>
        <v>Follow-Up Required</v>
      </c>
    </row>
    <row r="624" hidden="1">
      <c r="A624" s="61" t="s">
        <v>35</v>
      </c>
      <c r="B624" s="16" t="s">
        <v>36</v>
      </c>
      <c r="C624" s="61">
        <v>88.0</v>
      </c>
      <c r="D624" s="62" t="s">
        <v>3036</v>
      </c>
      <c r="E624" s="56" t="s">
        <v>173</v>
      </c>
      <c r="F624" s="61" t="s">
        <v>3037</v>
      </c>
      <c r="G624" s="57" t="str">
        <f t="shared" si="1"/>
        <v>30-Jul-2025</v>
      </c>
      <c r="H624" s="61" t="s">
        <v>57</v>
      </c>
      <c r="I624" s="61" t="s">
        <v>3038</v>
      </c>
      <c r="J624" s="27" t="str">
        <f t="shared" si="4"/>
        <v>06-Aug-2025</v>
      </c>
      <c r="K624" s="61" t="s">
        <v>3039</v>
      </c>
      <c r="L624" s="27" t="str">
        <f t="shared" si="5"/>
        <v>06-Aug-2025</v>
      </c>
      <c r="M624" s="63" t="s">
        <v>285</v>
      </c>
      <c r="N624" s="61" t="s">
        <v>3013</v>
      </c>
      <c r="O624" s="61" t="s">
        <v>51</v>
      </c>
      <c r="P624" s="61">
        <v>1.0</v>
      </c>
      <c r="Q624" s="66" t="s">
        <v>3040</v>
      </c>
      <c r="R624" s="27" t="str">
        <f>IFERROR(__xludf.DUMMYFUNCTION("IF(REGEXMATCH(N624, ""PRIORITY: Low""), ""Low"", IF(REGEXMATCH(N624, ""PRIORITY: Medium""), ""Medium"", IF(REGEXMATCH(N624, ""PRIORITY: High""), ""High"", """")))
"),"Medium")</f>
        <v>Medium</v>
      </c>
      <c r="S624" s="27" t="str">
        <f>IFERROR(__xludf.DUMMYFUNCTION("IF(REGEXMATCH(N624, ""SKILL: Low""), ""Low"", IF(REGEXMATCH(N624, ""SKILL: Medium""), ""Medium"", IF(REGEXMATCH(N624, ""SKILL: High""), ""High"", """")))"),"Low")</f>
        <v>Low</v>
      </c>
      <c r="T624" s="27" t="str">
        <f>IFERROR(__xludf.DUMMYFUNCTION("IF(REGEXMATCH(N624, ""STATUS: Dev Complete - Awaiting QA""), ""Dev Complete - Awaiting QA"", IF(REGEXMATCH(N624, ""STATUS: Follow-Up Required""), ""Follow-Up Required"", IF(REGEXMATCH(N624, ""STATUS: In Progress""), ""In Progress"", IF(REGEXMATCH(N624, """&amp;"STATUS: In QA""), ""In QA"", IF(REGEXMATCH(N624, ""STATUS: Needs Customer Feedback""), ""Needs Customer Feedback"", IF(REGEXMATCH(N624, ""STATUS: QA Passed - Awaiting Release""), ""QA Passed - Awaiting Release"", IF(REGEXMATCH(N624, ""STATUS: Release to P"&amp;"rod""), ""Release to Prod"", """")))))))"),"")</f>
        <v/>
      </c>
    </row>
    <row r="625" hidden="1">
      <c r="A625" s="61" t="s">
        <v>35</v>
      </c>
      <c r="B625" s="16" t="s">
        <v>36</v>
      </c>
      <c r="C625" s="61">
        <v>87.0</v>
      </c>
      <c r="D625" s="62" t="s">
        <v>3041</v>
      </c>
      <c r="E625" s="56" t="s">
        <v>173</v>
      </c>
      <c r="F625" s="61" t="s">
        <v>3042</v>
      </c>
      <c r="G625" s="57" t="str">
        <f t="shared" si="1"/>
        <v>30-Jul-2025</v>
      </c>
      <c r="H625" s="61" t="s">
        <v>57</v>
      </c>
      <c r="I625" s="61" t="s">
        <v>3043</v>
      </c>
      <c r="J625" s="27" t="str">
        <f t="shared" si="4"/>
        <v>18-Sep-2025</v>
      </c>
      <c r="K625" s="61" t="s">
        <v>3044</v>
      </c>
      <c r="L625" s="27" t="str">
        <f t="shared" si="5"/>
        <v>18-Sep-2025</v>
      </c>
      <c r="M625" s="63" t="s">
        <v>285</v>
      </c>
      <c r="N625" s="61" t="s">
        <v>3045</v>
      </c>
      <c r="O625" s="61" t="s">
        <v>3046</v>
      </c>
      <c r="P625" s="61">
        <v>4.0</v>
      </c>
      <c r="Q625" s="66" t="s">
        <v>3047</v>
      </c>
      <c r="R625" s="27" t="str">
        <f>IFERROR(__xludf.DUMMYFUNCTION("IF(REGEXMATCH(N625, ""PRIORITY: Low""), ""Low"", IF(REGEXMATCH(N625, ""PRIORITY: Medium""), ""Medium"", IF(REGEXMATCH(N625, ""PRIORITY: High""), ""High"", """")))
"),"High")</f>
        <v>High</v>
      </c>
      <c r="S625" s="27" t="str">
        <f>IFERROR(__xludf.DUMMYFUNCTION("IF(REGEXMATCH(N625, ""SKILL: Low""), ""Low"", IF(REGEXMATCH(N625, ""SKILL: Medium""), ""Medium"", IF(REGEXMATCH(N625, ""SKILL: High""), ""High"", """")))"),"Medium")</f>
        <v>Medium</v>
      </c>
      <c r="T625" s="27" t="str">
        <f>IFERROR(__xludf.DUMMYFUNCTION("IF(REGEXMATCH(N625, ""STATUS: Dev Complete - Awaiting QA""), ""Dev Complete - Awaiting QA"", IF(REGEXMATCH(N625, ""STATUS: Follow-Up Required""), ""Follow-Up Required"", IF(REGEXMATCH(N625, ""STATUS: In Progress""), ""In Progress"", IF(REGEXMATCH(N625, """&amp;"STATUS: In QA""), ""In QA"", IF(REGEXMATCH(N625, ""STATUS: Needs Customer Feedback""), ""Needs Customer Feedback"", IF(REGEXMATCH(N625, ""STATUS: QA Passed - Awaiting Release""), ""QA Passed - Awaiting Release"", IF(REGEXMATCH(N625, ""STATUS: Release to P"&amp;"rod""), ""Release to Prod"", """")))))))"),"Follow-Up Required")</f>
        <v>Follow-Up Required</v>
      </c>
    </row>
    <row r="626" hidden="1">
      <c r="A626" s="61" t="s">
        <v>35</v>
      </c>
      <c r="B626" s="16" t="s">
        <v>36</v>
      </c>
      <c r="C626" s="61">
        <v>85.0</v>
      </c>
      <c r="D626" s="62" t="s">
        <v>3048</v>
      </c>
      <c r="E626" s="56" t="s">
        <v>173</v>
      </c>
      <c r="F626" s="61" t="s">
        <v>3049</v>
      </c>
      <c r="G626" s="57" t="str">
        <f t="shared" si="1"/>
        <v>28-Jul-2025</v>
      </c>
      <c r="H626" s="61" t="s">
        <v>51</v>
      </c>
      <c r="I626" s="61" t="s">
        <v>3050</v>
      </c>
      <c r="J626" s="27" t="str">
        <f t="shared" si="4"/>
        <v>06-Aug-2025</v>
      </c>
      <c r="K626" s="61" t="s">
        <v>3050</v>
      </c>
      <c r="L626" s="27" t="str">
        <f t="shared" si="5"/>
        <v>06-Aug-2025</v>
      </c>
      <c r="M626" s="63" t="s">
        <v>285</v>
      </c>
      <c r="N626" s="61" t="s">
        <v>3051</v>
      </c>
      <c r="O626" s="61" t="s">
        <v>51</v>
      </c>
      <c r="P626" s="61">
        <v>0.0</v>
      </c>
      <c r="Q626" s="66" t="s">
        <v>3052</v>
      </c>
      <c r="R626" s="27" t="str">
        <f>IFERROR(__xludf.DUMMYFUNCTION("IF(REGEXMATCH(N626, ""PRIORITY: Low""), ""Low"", IF(REGEXMATCH(N626, ""PRIORITY: Medium""), ""Medium"", IF(REGEXMATCH(N626, ""PRIORITY: High""), ""High"", """")))
"),"Low")</f>
        <v>Low</v>
      </c>
      <c r="S626" s="27" t="str">
        <f>IFERROR(__xludf.DUMMYFUNCTION("IF(REGEXMATCH(N626, ""SKILL: Low""), ""Low"", IF(REGEXMATCH(N626, ""SKILL: Medium""), ""Medium"", IF(REGEXMATCH(N626, ""SKILL: High""), ""High"", """")))"),"Low")</f>
        <v>Low</v>
      </c>
      <c r="T626" s="27" t="str">
        <f>IFERROR(__xludf.DUMMYFUNCTION("IF(REGEXMATCH(N626, ""STATUS: Dev Complete - Awaiting QA""), ""Dev Complete - Awaiting QA"", IF(REGEXMATCH(N626, ""STATUS: Follow-Up Required""), ""Follow-Up Required"", IF(REGEXMATCH(N626, ""STATUS: In Progress""), ""In Progress"", IF(REGEXMATCH(N626, """&amp;"STATUS: In QA""), ""In QA"", IF(REGEXMATCH(N626, ""STATUS: Needs Customer Feedback""), ""Needs Customer Feedback"", IF(REGEXMATCH(N626, ""STATUS: QA Passed - Awaiting Release""), ""QA Passed - Awaiting Release"", IF(REGEXMATCH(N626, ""STATUS: Release to P"&amp;"rod""), ""Release to Prod"", """")))))))"),"")</f>
        <v/>
      </c>
    </row>
    <row r="627" hidden="1">
      <c r="A627" s="61" t="s">
        <v>35</v>
      </c>
      <c r="B627" s="16" t="s">
        <v>36</v>
      </c>
      <c r="C627" s="61">
        <v>82.0</v>
      </c>
      <c r="D627" s="62" t="s">
        <v>3053</v>
      </c>
      <c r="E627" s="56" t="s">
        <v>173</v>
      </c>
      <c r="F627" s="61" t="s">
        <v>3054</v>
      </c>
      <c r="G627" s="57" t="str">
        <f t="shared" si="1"/>
        <v>25-Jul-2025</v>
      </c>
      <c r="H627" s="61" t="s">
        <v>51</v>
      </c>
      <c r="I627" s="61" t="s">
        <v>3055</v>
      </c>
      <c r="J627" s="27" t="str">
        <f t="shared" si="4"/>
        <v>25-Jul-2025</v>
      </c>
      <c r="K627" s="61" t="s">
        <v>3055</v>
      </c>
      <c r="L627" s="27" t="str">
        <f t="shared" si="5"/>
        <v>25-Jul-2025</v>
      </c>
      <c r="M627" s="63" t="s">
        <v>15</v>
      </c>
      <c r="N627" s="61" t="s">
        <v>3056</v>
      </c>
      <c r="O627" s="61" t="s">
        <v>51</v>
      </c>
      <c r="P627" s="61">
        <v>0.0</v>
      </c>
      <c r="Q627" s="66" t="s">
        <v>3057</v>
      </c>
      <c r="R627" s="27" t="str">
        <f>IFERROR(__xludf.DUMMYFUNCTION("IF(REGEXMATCH(N627, ""PRIORITY: Low""), ""Low"", IF(REGEXMATCH(N627, ""PRIORITY: Medium""), ""Medium"", IF(REGEXMATCH(N627, ""PRIORITY: High""), ""High"", """")))
"),"Medium")</f>
        <v>Medium</v>
      </c>
      <c r="S627" s="27" t="str">
        <f>IFERROR(__xludf.DUMMYFUNCTION("IF(REGEXMATCH(N627, ""SKILL: Low""), ""Low"", IF(REGEXMATCH(N627, ""SKILL: Medium""), ""Medium"", IF(REGEXMATCH(N627, ""SKILL: High""), ""High"", """")))"),"Medium")</f>
        <v>Medium</v>
      </c>
      <c r="T627" s="27" t="str">
        <f>IFERROR(__xludf.DUMMYFUNCTION("IF(REGEXMATCH(N627, ""STATUS: Dev Complete - Awaiting QA""), ""Dev Complete - Awaiting QA"", IF(REGEXMATCH(N627, ""STATUS: Follow-Up Required""), ""Follow-Up Required"", IF(REGEXMATCH(N627, ""STATUS: In Progress""), ""In Progress"", IF(REGEXMATCH(N627, """&amp;"STATUS: In QA""), ""In QA"", IF(REGEXMATCH(N627, ""STATUS: Needs Customer Feedback""), ""Needs Customer Feedback"", IF(REGEXMATCH(N627, ""STATUS: QA Passed - Awaiting Release""), ""QA Passed - Awaiting Release"", IF(REGEXMATCH(N627, ""STATUS: Release to P"&amp;"rod""), ""Release to Prod"", """")))))))"),"")</f>
        <v/>
      </c>
    </row>
    <row r="628" hidden="1">
      <c r="A628" s="61" t="s">
        <v>35</v>
      </c>
      <c r="B628" s="16" t="s">
        <v>36</v>
      </c>
      <c r="C628" s="61">
        <v>72.0</v>
      </c>
      <c r="D628" s="62" t="s">
        <v>3058</v>
      </c>
      <c r="E628" s="56" t="s">
        <v>173</v>
      </c>
      <c r="F628" s="61" t="s">
        <v>3059</v>
      </c>
      <c r="G628" s="57" t="str">
        <f t="shared" si="1"/>
        <v>23-Jul-2025</v>
      </c>
      <c r="H628" s="61" t="s">
        <v>98</v>
      </c>
      <c r="I628" s="61" t="s">
        <v>3060</v>
      </c>
      <c r="J628" s="27" t="str">
        <f t="shared" si="4"/>
        <v>24-Jul-2025</v>
      </c>
      <c r="K628" s="61" t="s">
        <v>3060</v>
      </c>
      <c r="L628" s="27" t="str">
        <f t="shared" si="5"/>
        <v>24-Jul-2025</v>
      </c>
      <c r="M628" s="63" t="s">
        <v>15</v>
      </c>
      <c r="N628" s="61" t="s">
        <v>2586</v>
      </c>
      <c r="O628" s="61" t="s">
        <v>51</v>
      </c>
      <c r="P628" s="61">
        <v>0.0</v>
      </c>
      <c r="Q628" s="66" t="s">
        <v>3061</v>
      </c>
      <c r="R628" s="27" t="str">
        <f>IFERROR(__xludf.DUMMYFUNCTION("IF(REGEXMATCH(N628, ""PRIORITY: Low""), ""Low"", IF(REGEXMATCH(N628, ""PRIORITY: Medium""), ""Medium"", IF(REGEXMATCH(N628, ""PRIORITY: High""), ""High"", """")))
"),"")</f>
        <v/>
      </c>
      <c r="S628" s="27" t="str">
        <f>IFERROR(__xludf.DUMMYFUNCTION("IF(REGEXMATCH(N628, ""SKILL: Low""), ""Low"", IF(REGEXMATCH(N628, ""SKILL: Medium""), ""Medium"", IF(REGEXMATCH(N628, ""SKILL: High""), ""High"", """")))"),"")</f>
        <v/>
      </c>
      <c r="T628" s="27" t="str">
        <f>IFERROR(__xludf.DUMMYFUNCTION("IF(REGEXMATCH(N628, ""STATUS: Dev Complete - Awaiting QA""), ""Dev Complete - Awaiting QA"", IF(REGEXMATCH(N628, ""STATUS: Follow-Up Required""), ""Follow-Up Required"", IF(REGEXMATCH(N628, ""STATUS: In Progress""), ""In Progress"", IF(REGEXMATCH(N628, """&amp;"STATUS: In QA""), ""In QA"", IF(REGEXMATCH(N628, ""STATUS: Needs Customer Feedback""), ""Needs Customer Feedback"", IF(REGEXMATCH(N628, ""STATUS: QA Passed - Awaiting Release""), ""QA Passed - Awaiting Release"", IF(REGEXMATCH(N628, ""STATUS: Release to P"&amp;"rod""), ""Release to Prod"", """")))))))"),"In Progress")</f>
        <v>In Progress</v>
      </c>
    </row>
    <row r="629" hidden="1">
      <c r="A629" s="61" t="s">
        <v>35</v>
      </c>
      <c r="B629" s="16" t="s">
        <v>36</v>
      </c>
      <c r="C629" s="61">
        <v>71.0</v>
      </c>
      <c r="D629" s="62" t="s">
        <v>3062</v>
      </c>
      <c r="E629" s="56" t="s">
        <v>173</v>
      </c>
      <c r="F629" s="61" t="s">
        <v>3063</v>
      </c>
      <c r="G629" s="57" t="str">
        <f t="shared" si="1"/>
        <v>23-Jul-2025</v>
      </c>
      <c r="H629" s="61" t="s">
        <v>98</v>
      </c>
      <c r="I629" s="61" t="s">
        <v>3064</v>
      </c>
      <c r="J629" s="27" t="str">
        <f t="shared" si="4"/>
        <v>25-Jul-2025</v>
      </c>
      <c r="K629" s="61" t="s">
        <v>3064</v>
      </c>
      <c r="L629" s="27" t="str">
        <f t="shared" si="5"/>
        <v>25-Jul-2025</v>
      </c>
      <c r="M629" s="63" t="s">
        <v>15</v>
      </c>
      <c r="N629" s="61" t="s">
        <v>2586</v>
      </c>
      <c r="O629" s="61" t="s">
        <v>51</v>
      </c>
      <c r="P629" s="61">
        <v>1.0</v>
      </c>
      <c r="Q629" s="66" t="s">
        <v>3065</v>
      </c>
      <c r="R629" s="27" t="str">
        <f>IFERROR(__xludf.DUMMYFUNCTION("IF(REGEXMATCH(N629, ""PRIORITY: Low""), ""Low"", IF(REGEXMATCH(N629, ""PRIORITY: Medium""), ""Medium"", IF(REGEXMATCH(N629, ""PRIORITY: High""), ""High"", """")))
"),"")</f>
        <v/>
      </c>
      <c r="S629" s="27" t="str">
        <f>IFERROR(__xludf.DUMMYFUNCTION("IF(REGEXMATCH(N629, ""SKILL: Low""), ""Low"", IF(REGEXMATCH(N629, ""SKILL: Medium""), ""Medium"", IF(REGEXMATCH(N629, ""SKILL: High""), ""High"", """")))"),"")</f>
        <v/>
      </c>
      <c r="T629" s="27" t="str">
        <f>IFERROR(__xludf.DUMMYFUNCTION("IF(REGEXMATCH(N629, ""STATUS: Dev Complete - Awaiting QA""), ""Dev Complete - Awaiting QA"", IF(REGEXMATCH(N629, ""STATUS: Follow-Up Required""), ""Follow-Up Required"", IF(REGEXMATCH(N629, ""STATUS: In Progress""), ""In Progress"", IF(REGEXMATCH(N629, """&amp;"STATUS: In QA""), ""In QA"", IF(REGEXMATCH(N629, ""STATUS: Needs Customer Feedback""), ""Needs Customer Feedback"", IF(REGEXMATCH(N629, ""STATUS: QA Passed - Awaiting Release""), ""QA Passed - Awaiting Release"", IF(REGEXMATCH(N629, ""STATUS: Release to P"&amp;"rod""), ""Release to Prod"", """")))))))"),"In Progress")</f>
        <v>In Progress</v>
      </c>
    </row>
    <row r="630" hidden="1">
      <c r="A630" s="61" t="s">
        <v>35</v>
      </c>
      <c r="B630" s="16" t="s">
        <v>36</v>
      </c>
      <c r="C630" s="61">
        <v>70.0</v>
      </c>
      <c r="D630" s="62" t="s">
        <v>3066</v>
      </c>
      <c r="E630" s="56" t="s">
        <v>173</v>
      </c>
      <c r="F630" s="61" t="s">
        <v>3067</v>
      </c>
      <c r="G630" s="57" t="str">
        <f t="shared" si="1"/>
        <v>23-Jul-2025</v>
      </c>
      <c r="H630" s="61" t="s">
        <v>98</v>
      </c>
      <c r="I630" s="61" t="s">
        <v>3068</v>
      </c>
      <c r="J630" s="27" t="str">
        <f t="shared" si="4"/>
        <v>24-Jul-2025</v>
      </c>
      <c r="K630" s="61" t="s">
        <v>3068</v>
      </c>
      <c r="L630" s="27" t="str">
        <f t="shared" si="5"/>
        <v>24-Jul-2025</v>
      </c>
      <c r="M630" s="63" t="s">
        <v>15</v>
      </c>
      <c r="N630" s="61" t="s">
        <v>2586</v>
      </c>
      <c r="O630" s="61" t="s">
        <v>51</v>
      </c>
      <c r="P630" s="61">
        <v>0.0</v>
      </c>
      <c r="Q630" s="66" t="s">
        <v>3069</v>
      </c>
      <c r="R630" s="27" t="str">
        <f>IFERROR(__xludf.DUMMYFUNCTION("IF(REGEXMATCH(N630, ""PRIORITY: Low""), ""Low"", IF(REGEXMATCH(N630, ""PRIORITY: Medium""), ""Medium"", IF(REGEXMATCH(N630, ""PRIORITY: High""), ""High"", """")))
"),"")</f>
        <v/>
      </c>
      <c r="S630" s="27" t="str">
        <f>IFERROR(__xludf.DUMMYFUNCTION("IF(REGEXMATCH(N630, ""SKILL: Low""), ""Low"", IF(REGEXMATCH(N630, ""SKILL: Medium""), ""Medium"", IF(REGEXMATCH(N630, ""SKILL: High""), ""High"", """")))"),"")</f>
        <v/>
      </c>
      <c r="T630" s="27" t="str">
        <f>IFERROR(__xludf.DUMMYFUNCTION("IF(REGEXMATCH(N630, ""STATUS: Dev Complete - Awaiting QA""), ""Dev Complete - Awaiting QA"", IF(REGEXMATCH(N630, ""STATUS: Follow-Up Required""), ""Follow-Up Required"", IF(REGEXMATCH(N630, ""STATUS: In Progress""), ""In Progress"", IF(REGEXMATCH(N630, """&amp;"STATUS: In QA""), ""In QA"", IF(REGEXMATCH(N630, ""STATUS: Needs Customer Feedback""), ""Needs Customer Feedback"", IF(REGEXMATCH(N630, ""STATUS: QA Passed - Awaiting Release""), ""QA Passed - Awaiting Release"", IF(REGEXMATCH(N630, ""STATUS: Release to P"&amp;"rod""), ""Release to Prod"", """")))))))"),"In Progress")</f>
        <v>In Progress</v>
      </c>
    </row>
    <row r="631" hidden="1">
      <c r="A631" s="61" t="s">
        <v>35</v>
      </c>
      <c r="B631" s="16" t="s">
        <v>36</v>
      </c>
      <c r="C631" s="61">
        <v>69.0</v>
      </c>
      <c r="D631" s="62" t="s">
        <v>3070</v>
      </c>
      <c r="E631" s="56" t="s">
        <v>173</v>
      </c>
      <c r="F631" s="61" t="s">
        <v>3071</v>
      </c>
      <c r="G631" s="57" t="str">
        <f t="shared" si="1"/>
        <v>23-Jul-2025</v>
      </c>
      <c r="H631" s="61" t="s">
        <v>98</v>
      </c>
      <c r="I631" s="61" t="s">
        <v>3072</v>
      </c>
      <c r="J631" s="27" t="str">
        <f t="shared" si="4"/>
        <v>24-Jul-2025</v>
      </c>
      <c r="K631" s="61" t="s">
        <v>3072</v>
      </c>
      <c r="L631" s="27" t="str">
        <f t="shared" si="5"/>
        <v>24-Jul-2025</v>
      </c>
      <c r="M631" s="63" t="s">
        <v>15</v>
      </c>
      <c r="N631" s="61" t="s">
        <v>2586</v>
      </c>
      <c r="O631" s="61" t="s">
        <v>51</v>
      </c>
      <c r="P631" s="61">
        <v>0.0</v>
      </c>
      <c r="Q631" s="66" t="s">
        <v>3073</v>
      </c>
      <c r="R631" s="27" t="str">
        <f>IFERROR(__xludf.DUMMYFUNCTION("IF(REGEXMATCH(N631, ""PRIORITY: Low""), ""Low"", IF(REGEXMATCH(N631, ""PRIORITY: Medium""), ""Medium"", IF(REGEXMATCH(N631, ""PRIORITY: High""), ""High"", """")))
"),"")</f>
        <v/>
      </c>
      <c r="S631" s="27" t="str">
        <f>IFERROR(__xludf.DUMMYFUNCTION("IF(REGEXMATCH(N631, ""SKILL: Low""), ""Low"", IF(REGEXMATCH(N631, ""SKILL: Medium""), ""Medium"", IF(REGEXMATCH(N631, ""SKILL: High""), ""High"", """")))"),"")</f>
        <v/>
      </c>
      <c r="T631" s="27" t="str">
        <f>IFERROR(__xludf.DUMMYFUNCTION("IF(REGEXMATCH(N631, ""STATUS: Dev Complete - Awaiting QA""), ""Dev Complete - Awaiting QA"", IF(REGEXMATCH(N631, ""STATUS: Follow-Up Required""), ""Follow-Up Required"", IF(REGEXMATCH(N631, ""STATUS: In Progress""), ""In Progress"", IF(REGEXMATCH(N631, """&amp;"STATUS: In QA""), ""In QA"", IF(REGEXMATCH(N631, ""STATUS: Needs Customer Feedback""), ""Needs Customer Feedback"", IF(REGEXMATCH(N631, ""STATUS: QA Passed - Awaiting Release""), ""QA Passed - Awaiting Release"", IF(REGEXMATCH(N631, ""STATUS: Release to P"&amp;"rod""), ""Release to Prod"", """")))))))"),"In Progress")</f>
        <v>In Progress</v>
      </c>
    </row>
    <row r="632" hidden="1">
      <c r="A632" s="61" t="s">
        <v>35</v>
      </c>
      <c r="B632" s="16" t="s">
        <v>36</v>
      </c>
      <c r="C632" s="61">
        <v>63.0</v>
      </c>
      <c r="D632" s="62" t="s">
        <v>3074</v>
      </c>
      <c r="E632" s="56" t="s">
        <v>173</v>
      </c>
      <c r="F632" s="61" t="s">
        <v>3075</v>
      </c>
      <c r="G632" s="57" t="str">
        <f t="shared" si="1"/>
        <v>23-Jul-2025</v>
      </c>
      <c r="H632" s="61" t="s">
        <v>51</v>
      </c>
      <c r="I632" s="61" t="s">
        <v>3076</v>
      </c>
      <c r="J632" s="27" t="str">
        <f t="shared" si="4"/>
        <v>23-Jul-2025</v>
      </c>
      <c r="K632" s="61" t="s">
        <v>3076</v>
      </c>
      <c r="L632" s="27" t="str">
        <f t="shared" si="5"/>
        <v>23-Jul-2025</v>
      </c>
      <c r="M632" s="63" t="s">
        <v>15</v>
      </c>
      <c r="N632" s="61" t="s">
        <v>177</v>
      </c>
      <c r="O632" s="61" t="s">
        <v>51</v>
      </c>
      <c r="P632" s="61">
        <v>0.0</v>
      </c>
      <c r="Q632" s="66" t="s">
        <v>3077</v>
      </c>
      <c r="R632" s="27" t="str">
        <f>IFERROR(__xludf.DUMMYFUNCTION("IF(REGEXMATCH(N632, ""PRIORITY: Low""), ""Low"", IF(REGEXMATCH(N632, ""PRIORITY: Medium""), ""Medium"", IF(REGEXMATCH(N632, ""PRIORITY: High""), ""High"", """")))
"),"")</f>
        <v/>
      </c>
      <c r="S632" s="27" t="str">
        <f>IFERROR(__xludf.DUMMYFUNCTION("IF(REGEXMATCH(N632, ""SKILL: Low""), ""Low"", IF(REGEXMATCH(N632, ""SKILL: Medium""), ""Medium"", IF(REGEXMATCH(N632, ""SKILL: High""), ""High"", """")))"),"")</f>
        <v/>
      </c>
      <c r="T632" s="27" t="str">
        <f>IFERROR(__xludf.DUMMYFUNCTION("IF(REGEXMATCH(N632, ""STATUS: Dev Complete - Awaiting QA""), ""Dev Complete - Awaiting QA"", IF(REGEXMATCH(N632, ""STATUS: Follow-Up Required""), ""Follow-Up Required"", IF(REGEXMATCH(N632, ""STATUS: In Progress""), ""In Progress"", IF(REGEXMATCH(N632, """&amp;"STATUS: In QA""), ""In QA"", IF(REGEXMATCH(N632, ""STATUS: Needs Customer Feedback""), ""Needs Customer Feedback"", IF(REGEXMATCH(N632, ""STATUS: QA Passed - Awaiting Release""), ""QA Passed - Awaiting Release"", IF(REGEXMATCH(N632, ""STATUS: Release to P"&amp;"rod""), ""Release to Prod"", """")))))))"),"")</f>
        <v/>
      </c>
    </row>
    <row r="633" hidden="1">
      <c r="A633" s="61" t="s">
        <v>35</v>
      </c>
      <c r="B633" s="16" t="s">
        <v>36</v>
      </c>
      <c r="C633" s="61">
        <v>62.0</v>
      </c>
      <c r="D633" s="62" t="s">
        <v>3078</v>
      </c>
      <c r="E633" s="56" t="s">
        <v>173</v>
      </c>
      <c r="F633" s="61" t="s">
        <v>3079</v>
      </c>
      <c r="G633" s="57" t="str">
        <f t="shared" si="1"/>
        <v>23-Jul-2025</v>
      </c>
      <c r="H633" s="61" t="s">
        <v>51</v>
      </c>
      <c r="I633" s="61" t="s">
        <v>3080</v>
      </c>
      <c r="J633" s="27" t="str">
        <f t="shared" si="4"/>
        <v>23-Jul-2025</v>
      </c>
      <c r="K633" s="61" t="s">
        <v>3080</v>
      </c>
      <c r="L633" s="27" t="str">
        <f t="shared" si="5"/>
        <v>23-Jul-2025</v>
      </c>
      <c r="M633" s="63" t="s">
        <v>15</v>
      </c>
      <c r="N633" s="61" t="s">
        <v>3051</v>
      </c>
      <c r="O633" s="61" t="s">
        <v>51</v>
      </c>
      <c r="P633" s="61">
        <v>0.0</v>
      </c>
      <c r="Q633" s="66" t="s">
        <v>3081</v>
      </c>
      <c r="R633" s="27" t="str">
        <f>IFERROR(__xludf.DUMMYFUNCTION("IF(REGEXMATCH(N633, ""PRIORITY: Low""), ""Low"", IF(REGEXMATCH(N633, ""PRIORITY: Medium""), ""Medium"", IF(REGEXMATCH(N633, ""PRIORITY: High""), ""High"", """")))
"),"Low")</f>
        <v>Low</v>
      </c>
      <c r="S633" s="27" t="str">
        <f>IFERROR(__xludf.DUMMYFUNCTION("IF(REGEXMATCH(N633, ""SKILL: Low""), ""Low"", IF(REGEXMATCH(N633, ""SKILL: Medium""), ""Medium"", IF(REGEXMATCH(N633, ""SKILL: High""), ""High"", """")))"),"Low")</f>
        <v>Low</v>
      </c>
      <c r="T633" s="27" t="str">
        <f>IFERROR(__xludf.DUMMYFUNCTION("IF(REGEXMATCH(N633, ""STATUS: Dev Complete - Awaiting QA""), ""Dev Complete - Awaiting QA"", IF(REGEXMATCH(N633, ""STATUS: Follow-Up Required""), ""Follow-Up Required"", IF(REGEXMATCH(N633, ""STATUS: In Progress""), ""In Progress"", IF(REGEXMATCH(N633, """&amp;"STATUS: In QA""), ""In QA"", IF(REGEXMATCH(N633, ""STATUS: Needs Customer Feedback""), ""Needs Customer Feedback"", IF(REGEXMATCH(N633, ""STATUS: QA Passed - Awaiting Release""), ""QA Passed - Awaiting Release"", IF(REGEXMATCH(N633, ""STATUS: Release to P"&amp;"rod""), ""Release to Prod"", """")))))))"),"")</f>
        <v/>
      </c>
    </row>
    <row r="634" hidden="1">
      <c r="A634" s="61" t="s">
        <v>35</v>
      </c>
      <c r="B634" s="16" t="s">
        <v>36</v>
      </c>
      <c r="C634" s="61">
        <v>55.0</v>
      </c>
      <c r="D634" s="62" t="s">
        <v>3082</v>
      </c>
      <c r="E634" s="56" t="s">
        <v>173</v>
      </c>
      <c r="F634" s="61" t="s">
        <v>3083</v>
      </c>
      <c r="G634" s="57" t="str">
        <f t="shared" si="1"/>
        <v>22-Jul-2025</v>
      </c>
      <c r="H634" s="61" t="s">
        <v>51</v>
      </c>
      <c r="I634" s="61" t="s">
        <v>3084</v>
      </c>
      <c r="J634" s="27" t="str">
        <f t="shared" si="4"/>
        <v>24-Jul-2025</v>
      </c>
      <c r="K634" s="61" t="s">
        <v>3084</v>
      </c>
      <c r="L634" s="27" t="str">
        <f t="shared" si="5"/>
        <v>24-Jul-2025</v>
      </c>
      <c r="M634" s="63" t="s">
        <v>15</v>
      </c>
      <c r="N634" s="61" t="s">
        <v>3051</v>
      </c>
      <c r="O634" s="61" t="s">
        <v>51</v>
      </c>
      <c r="P634" s="61">
        <v>1.0</v>
      </c>
      <c r="Q634" s="66" t="s">
        <v>3085</v>
      </c>
      <c r="R634" s="27" t="str">
        <f>IFERROR(__xludf.DUMMYFUNCTION("IF(REGEXMATCH(N634, ""PRIORITY: Low""), ""Low"", IF(REGEXMATCH(N634, ""PRIORITY: Medium""), ""Medium"", IF(REGEXMATCH(N634, ""PRIORITY: High""), ""High"", """")))
"),"Low")</f>
        <v>Low</v>
      </c>
      <c r="S634" s="27" t="str">
        <f>IFERROR(__xludf.DUMMYFUNCTION("IF(REGEXMATCH(N634, ""SKILL: Low""), ""Low"", IF(REGEXMATCH(N634, ""SKILL: Medium""), ""Medium"", IF(REGEXMATCH(N634, ""SKILL: High""), ""High"", """")))"),"Low")</f>
        <v>Low</v>
      </c>
      <c r="T634" s="27" t="str">
        <f>IFERROR(__xludf.DUMMYFUNCTION("IF(REGEXMATCH(N634, ""STATUS: Dev Complete - Awaiting QA""), ""Dev Complete - Awaiting QA"", IF(REGEXMATCH(N634, ""STATUS: Follow-Up Required""), ""Follow-Up Required"", IF(REGEXMATCH(N634, ""STATUS: In Progress""), ""In Progress"", IF(REGEXMATCH(N634, """&amp;"STATUS: In QA""), ""In QA"", IF(REGEXMATCH(N634, ""STATUS: Needs Customer Feedback""), ""Needs Customer Feedback"", IF(REGEXMATCH(N634, ""STATUS: QA Passed - Awaiting Release""), ""QA Passed - Awaiting Release"", IF(REGEXMATCH(N634, ""STATUS: Release to P"&amp;"rod""), ""Release to Prod"", """")))))))"),"")</f>
        <v/>
      </c>
    </row>
    <row r="635" hidden="1">
      <c r="A635" s="61" t="s">
        <v>35</v>
      </c>
      <c r="B635" s="16" t="s">
        <v>36</v>
      </c>
      <c r="C635" s="61">
        <v>54.0</v>
      </c>
      <c r="D635" s="62" t="s">
        <v>3086</v>
      </c>
      <c r="E635" s="56" t="s">
        <v>173</v>
      </c>
      <c r="F635" s="61" t="s">
        <v>3087</v>
      </c>
      <c r="G635" s="57" t="str">
        <f t="shared" si="1"/>
        <v>22-Jul-2025</v>
      </c>
      <c r="H635" s="61" t="s">
        <v>98</v>
      </c>
      <c r="I635" s="61" t="s">
        <v>3088</v>
      </c>
      <c r="J635" s="27" t="str">
        <f t="shared" si="4"/>
        <v>24-Jul-2025</v>
      </c>
      <c r="K635" s="61" t="s">
        <v>3089</v>
      </c>
      <c r="L635" s="27" t="str">
        <f t="shared" si="5"/>
        <v>23-Jul-2025</v>
      </c>
      <c r="M635" s="63" t="s">
        <v>15</v>
      </c>
      <c r="N635" s="61" t="s">
        <v>3090</v>
      </c>
      <c r="O635" s="61" t="s">
        <v>51</v>
      </c>
      <c r="P635" s="61">
        <v>0.0</v>
      </c>
      <c r="Q635" s="66" t="s">
        <v>3091</v>
      </c>
      <c r="R635" s="27" t="str">
        <f>IFERROR(__xludf.DUMMYFUNCTION("IF(REGEXMATCH(N635, ""PRIORITY: Low""), ""Low"", IF(REGEXMATCH(N635, ""PRIORITY: Medium""), ""Medium"", IF(REGEXMATCH(N635, ""PRIORITY: High""), ""High"", """")))
"),"")</f>
        <v/>
      </c>
      <c r="S635" s="27" t="str">
        <f>IFERROR(__xludf.DUMMYFUNCTION("IF(REGEXMATCH(N635, ""SKILL: Low""), ""Low"", IF(REGEXMATCH(N635, ""SKILL: Medium""), ""Medium"", IF(REGEXMATCH(N635, ""SKILL: High""), ""High"", """")))"),"Low")</f>
        <v>Low</v>
      </c>
      <c r="T635" s="27" t="str">
        <f>IFERROR(__xludf.DUMMYFUNCTION("IF(REGEXMATCH(N635, ""STATUS: Dev Complete - Awaiting QA""), ""Dev Complete - Awaiting QA"", IF(REGEXMATCH(N635, ""STATUS: Follow-Up Required""), ""Follow-Up Required"", IF(REGEXMATCH(N635, ""STATUS: In Progress""), ""In Progress"", IF(REGEXMATCH(N635, """&amp;"STATUS: In QA""), ""In QA"", IF(REGEXMATCH(N635, ""STATUS: Needs Customer Feedback""), ""Needs Customer Feedback"", IF(REGEXMATCH(N635, ""STATUS: QA Passed - Awaiting Release""), ""QA Passed - Awaiting Release"", IF(REGEXMATCH(N635, ""STATUS: Release to P"&amp;"rod""), ""Release to Prod"", """")))))))"),"")</f>
        <v/>
      </c>
    </row>
    <row r="636" hidden="1">
      <c r="A636" s="61" t="s">
        <v>35</v>
      </c>
      <c r="B636" s="16" t="s">
        <v>36</v>
      </c>
      <c r="C636" s="61">
        <v>52.0</v>
      </c>
      <c r="D636" s="62" t="s">
        <v>3092</v>
      </c>
      <c r="E636" s="56" t="s">
        <v>173</v>
      </c>
      <c r="F636" s="61" t="s">
        <v>3093</v>
      </c>
      <c r="G636" s="57" t="str">
        <f t="shared" si="1"/>
        <v>22-Jul-2025</v>
      </c>
      <c r="H636" s="61" t="s">
        <v>98</v>
      </c>
      <c r="I636" s="61" t="s">
        <v>3094</v>
      </c>
      <c r="J636" s="27" t="str">
        <f t="shared" si="4"/>
        <v>23-Jul-2025</v>
      </c>
      <c r="K636" s="61" t="s">
        <v>3094</v>
      </c>
      <c r="L636" s="27" t="str">
        <f t="shared" si="5"/>
        <v>23-Jul-2025</v>
      </c>
      <c r="M636" s="63" t="s">
        <v>15</v>
      </c>
      <c r="N636" s="61" t="s">
        <v>3095</v>
      </c>
      <c r="O636" s="61" t="s">
        <v>51</v>
      </c>
      <c r="P636" s="61">
        <v>0.0</v>
      </c>
      <c r="Q636" s="66" t="s">
        <v>3096</v>
      </c>
      <c r="R636" s="27" t="str">
        <f>IFERROR(__xludf.DUMMYFUNCTION("IF(REGEXMATCH(N636, ""PRIORITY: Low""), ""Low"", IF(REGEXMATCH(N636, ""PRIORITY: Medium""), ""Medium"", IF(REGEXMATCH(N636, ""PRIORITY: High""), ""High"", """")))
"),"")</f>
        <v/>
      </c>
      <c r="S636" s="27" t="str">
        <f>IFERROR(__xludf.DUMMYFUNCTION("IF(REGEXMATCH(N636, ""SKILL: Low""), ""Low"", IF(REGEXMATCH(N636, ""SKILL: Medium""), ""Medium"", IF(REGEXMATCH(N636, ""SKILL: High""), ""High"", """")))"),"Medium")</f>
        <v>Medium</v>
      </c>
      <c r="T636" s="27" t="str">
        <f>IFERROR(__xludf.DUMMYFUNCTION("IF(REGEXMATCH(N636, ""STATUS: Dev Complete - Awaiting QA""), ""Dev Complete - Awaiting QA"", IF(REGEXMATCH(N636, ""STATUS: Follow-Up Required""), ""Follow-Up Required"", IF(REGEXMATCH(N636, ""STATUS: In Progress""), ""In Progress"", IF(REGEXMATCH(N636, """&amp;"STATUS: In QA""), ""In QA"", IF(REGEXMATCH(N636, ""STATUS: Needs Customer Feedback""), ""Needs Customer Feedback"", IF(REGEXMATCH(N636, ""STATUS: QA Passed - Awaiting Release""), ""QA Passed - Awaiting Release"", IF(REGEXMATCH(N636, ""STATUS: Release to P"&amp;"rod""), ""Release to Prod"", """")))))))"),"Follow-Up Required")</f>
        <v>Follow-Up Required</v>
      </c>
    </row>
    <row r="637" hidden="1">
      <c r="A637" s="61" t="s">
        <v>35</v>
      </c>
      <c r="B637" s="16" t="s">
        <v>36</v>
      </c>
      <c r="C637" s="61">
        <v>51.0</v>
      </c>
      <c r="D637" s="62" t="s">
        <v>3097</v>
      </c>
      <c r="E637" s="56" t="s">
        <v>173</v>
      </c>
      <c r="F637" s="61" t="s">
        <v>3098</v>
      </c>
      <c r="G637" s="57" t="str">
        <f t="shared" si="1"/>
        <v>22-Jul-2025</v>
      </c>
      <c r="H637" s="61" t="s">
        <v>98</v>
      </c>
      <c r="I637" s="61" t="s">
        <v>3099</v>
      </c>
      <c r="J637" s="27" t="str">
        <f t="shared" si="4"/>
        <v>23-Jul-2025</v>
      </c>
      <c r="K637" s="61" t="s">
        <v>3099</v>
      </c>
      <c r="L637" s="27" t="str">
        <f t="shared" si="5"/>
        <v>23-Jul-2025</v>
      </c>
      <c r="M637" s="63" t="s">
        <v>15</v>
      </c>
      <c r="N637" s="61" t="s">
        <v>3100</v>
      </c>
      <c r="O637" s="61" t="s">
        <v>51</v>
      </c>
      <c r="P637" s="61">
        <v>0.0</v>
      </c>
      <c r="Q637" s="66" t="s">
        <v>3101</v>
      </c>
      <c r="R637" s="27" t="str">
        <f>IFERROR(__xludf.DUMMYFUNCTION("IF(REGEXMATCH(N637, ""PRIORITY: Low""), ""Low"", IF(REGEXMATCH(N637, ""PRIORITY: Medium""), ""Medium"", IF(REGEXMATCH(N637, ""PRIORITY: High""), ""High"", """")))
"),"")</f>
        <v/>
      </c>
      <c r="S637" s="27" t="str">
        <f>IFERROR(__xludf.DUMMYFUNCTION("IF(REGEXMATCH(N637, ""SKILL: Low""), ""Low"", IF(REGEXMATCH(N637, ""SKILL: Medium""), ""Medium"", IF(REGEXMATCH(N637, ""SKILL: High""), ""High"", """")))"),"Low")</f>
        <v>Low</v>
      </c>
      <c r="T637" s="27" t="str">
        <f>IFERROR(__xludf.DUMMYFUNCTION("IF(REGEXMATCH(N637, ""STATUS: Dev Complete - Awaiting QA""), ""Dev Complete - Awaiting QA"", IF(REGEXMATCH(N637, ""STATUS: Follow-Up Required""), ""Follow-Up Required"", IF(REGEXMATCH(N637, ""STATUS: In Progress""), ""In Progress"", IF(REGEXMATCH(N637, """&amp;"STATUS: In QA""), ""In QA"", IF(REGEXMATCH(N637, ""STATUS: Needs Customer Feedback""), ""Needs Customer Feedback"", IF(REGEXMATCH(N637, ""STATUS: QA Passed - Awaiting Release""), ""QA Passed - Awaiting Release"", IF(REGEXMATCH(N637, ""STATUS: Release to P"&amp;"rod""), ""Release to Prod"", """")))))))"),"In Progress")</f>
        <v>In Progress</v>
      </c>
    </row>
    <row r="638" hidden="1">
      <c r="A638" s="61" t="s">
        <v>35</v>
      </c>
      <c r="B638" s="16" t="s">
        <v>36</v>
      </c>
      <c r="C638" s="61">
        <v>36.0</v>
      </c>
      <c r="D638" s="62" t="s">
        <v>3102</v>
      </c>
      <c r="E638" s="56" t="s">
        <v>173</v>
      </c>
      <c r="F638" s="61" t="s">
        <v>3103</v>
      </c>
      <c r="G638" s="57" t="str">
        <f t="shared" si="1"/>
        <v>18-Jul-2025</v>
      </c>
      <c r="H638" s="61" t="s">
        <v>57</v>
      </c>
      <c r="I638" s="61" t="s">
        <v>3104</v>
      </c>
      <c r="J638" s="27" t="str">
        <f t="shared" si="4"/>
        <v>22-Jul-2025</v>
      </c>
      <c r="K638" s="61" t="s">
        <v>3105</v>
      </c>
      <c r="L638" s="27" t="str">
        <f t="shared" si="5"/>
        <v>22-Jul-2025</v>
      </c>
      <c r="M638" s="63" t="s">
        <v>285</v>
      </c>
      <c r="N638" s="61" t="s">
        <v>3106</v>
      </c>
      <c r="O638" s="61" t="s">
        <v>51</v>
      </c>
      <c r="P638" s="61">
        <v>0.0</v>
      </c>
      <c r="Q638" s="66" t="s">
        <v>3107</v>
      </c>
      <c r="R638" s="27" t="str">
        <f>IFERROR(__xludf.DUMMYFUNCTION("IF(REGEXMATCH(N638, ""PRIORITY: Low""), ""Low"", IF(REGEXMATCH(N638, ""PRIORITY: Medium""), ""Medium"", IF(REGEXMATCH(N638, ""PRIORITY: High""), ""High"", """")))
"),"Low")</f>
        <v>Low</v>
      </c>
      <c r="S638" s="27" t="str">
        <f>IFERROR(__xludf.DUMMYFUNCTION("IF(REGEXMATCH(N638, ""SKILL: Low""), ""Low"", IF(REGEXMATCH(N638, ""SKILL: Medium""), ""Medium"", IF(REGEXMATCH(N638, ""SKILL: High""), ""High"", """")))"),"")</f>
        <v/>
      </c>
      <c r="T638" s="27" t="str">
        <f>IFERROR(__xludf.DUMMYFUNCTION("IF(REGEXMATCH(N638, ""STATUS: Dev Complete - Awaiting QA""), ""Dev Complete - Awaiting QA"", IF(REGEXMATCH(N638, ""STATUS: Follow-Up Required""), ""Follow-Up Required"", IF(REGEXMATCH(N638, ""STATUS: In Progress""), ""In Progress"", IF(REGEXMATCH(N638, """&amp;"STATUS: In QA""), ""In QA"", IF(REGEXMATCH(N638, ""STATUS: Needs Customer Feedback""), ""Needs Customer Feedback"", IF(REGEXMATCH(N638, ""STATUS: QA Passed - Awaiting Release""), ""QA Passed - Awaiting Release"", IF(REGEXMATCH(N638, ""STATUS: Release to P"&amp;"rod""), ""Release to Prod"", """")))))))"),"")</f>
        <v/>
      </c>
    </row>
    <row r="639" hidden="1">
      <c r="A639" s="61" t="s">
        <v>35</v>
      </c>
      <c r="B639" s="16" t="s">
        <v>36</v>
      </c>
      <c r="C639" s="61">
        <v>34.0</v>
      </c>
      <c r="D639" s="62" t="s">
        <v>3108</v>
      </c>
      <c r="E639" s="56" t="s">
        <v>173</v>
      </c>
      <c r="F639" s="61" t="s">
        <v>3109</v>
      </c>
      <c r="G639" s="57" t="str">
        <f t="shared" si="1"/>
        <v>18-Jul-2025</v>
      </c>
      <c r="H639" s="61" t="s">
        <v>57</v>
      </c>
      <c r="I639" s="61" t="s">
        <v>1901</v>
      </c>
      <c r="J639" s="27" t="str">
        <f t="shared" si="4"/>
        <v>19-Sep-2025</v>
      </c>
      <c r="K639" s="61" t="s">
        <v>3110</v>
      </c>
      <c r="L639" s="27" t="str">
        <f t="shared" si="5"/>
        <v>22-Jul-2025</v>
      </c>
      <c r="M639" s="63" t="s">
        <v>285</v>
      </c>
      <c r="N639" s="61" t="s">
        <v>3111</v>
      </c>
      <c r="O639" s="27"/>
      <c r="P639" s="61">
        <v>6.0</v>
      </c>
      <c r="Q639" s="66" t="s">
        <v>3112</v>
      </c>
      <c r="R639" s="27" t="str">
        <f>IFERROR(__xludf.DUMMYFUNCTION("IF(REGEXMATCH(N639, ""PRIORITY: Low""), ""Low"", IF(REGEXMATCH(N639, ""PRIORITY: Medium""), ""Medium"", IF(REGEXMATCH(N639, ""PRIORITY: High""), ""High"", """")))
"),"Medium")</f>
        <v>Medium</v>
      </c>
      <c r="S639" s="27" t="str">
        <f>IFERROR(__xludf.DUMMYFUNCTION("IF(REGEXMATCH(N639, ""SKILL: Low""), ""Low"", IF(REGEXMATCH(N639, ""SKILL: Medium""), ""Medium"", IF(REGEXMATCH(N639, ""SKILL: High""), ""High"", """")))"),"")</f>
        <v/>
      </c>
      <c r="T639" s="27" t="str">
        <f>IFERROR(__xludf.DUMMYFUNCTION("IF(REGEXMATCH(N639, ""STATUS: Dev Complete - Awaiting QA""), ""Dev Complete - Awaiting QA"", IF(REGEXMATCH(N639, ""STATUS: Follow-Up Required""), ""Follow-Up Required"", IF(REGEXMATCH(N639, ""STATUS: In Progress""), ""In Progress"", IF(REGEXMATCH(N639, """&amp;"STATUS: In QA""), ""In QA"", IF(REGEXMATCH(N639, ""STATUS: Needs Customer Feedback""), ""Needs Customer Feedback"", IF(REGEXMATCH(N639, ""STATUS: QA Passed - Awaiting Release""), ""QA Passed - Awaiting Release"", IF(REGEXMATCH(N639, ""STATUS: Release to P"&amp;"rod""), ""Release to Prod"", """")))))))"),"")</f>
        <v/>
      </c>
    </row>
    <row r="640" hidden="1">
      <c r="A640" s="61" t="s">
        <v>35</v>
      </c>
      <c r="B640" s="16" t="s">
        <v>36</v>
      </c>
      <c r="C640" s="61">
        <v>33.0</v>
      </c>
      <c r="D640" s="62" t="s">
        <v>3113</v>
      </c>
      <c r="E640" s="56" t="s">
        <v>173</v>
      </c>
      <c r="F640" s="61" t="s">
        <v>3114</v>
      </c>
      <c r="G640" s="57" t="str">
        <f t="shared" si="1"/>
        <v>18-Jul-2025</v>
      </c>
      <c r="H640" s="61" t="s">
        <v>57</v>
      </c>
      <c r="I640" s="61" t="s">
        <v>3115</v>
      </c>
      <c r="J640" s="27" t="str">
        <f t="shared" si="4"/>
        <v>23-Jul-2025</v>
      </c>
      <c r="K640" s="61" t="s">
        <v>3116</v>
      </c>
      <c r="L640" s="27" t="str">
        <f t="shared" si="5"/>
        <v>22-Jul-2025</v>
      </c>
      <c r="M640" s="63" t="s">
        <v>249</v>
      </c>
      <c r="N640" s="61" t="s">
        <v>3106</v>
      </c>
      <c r="O640" s="61" t="s">
        <v>51</v>
      </c>
      <c r="P640" s="61">
        <v>2.0</v>
      </c>
      <c r="Q640" s="66" t="s">
        <v>3117</v>
      </c>
      <c r="R640" s="27" t="str">
        <f>IFERROR(__xludf.DUMMYFUNCTION("IF(REGEXMATCH(N640, ""PRIORITY: Low""), ""Low"", IF(REGEXMATCH(N640, ""PRIORITY: Medium""), ""Medium"", IF(REGEXMATCH(N640, ""PRIORITY: High""), ""High"", """")))
"),"Low")</f>
        <v>Low</v>
      </c>
      <c r="S640" s="27" t="str">
        <f>IFERROR(__xludf.DUMMYFUNCTION("IF(REGEXMATCH(N640, ""SKILL: Low""), ""Low"", IF(REGEXMATCH(N640, ""SKILL: Medium""), ""Medium"", IF(REGEXMATCH(N640, ""SKILL: High""), ""High"", """")))"),"")</f>
        <v/>
      </c>
      <c r="T640" s="27" t="str">
        <f>IFERROR(__xludf.DUMMYFUNCTION("IF(REGEXMATCH(N640, ""STATUS: Dev Complete - Awaiting QA""), ""Dev Complete - Awaiting QA"", IF(REGEXMATCH(N640, ""STATUS: Follow-Up Required""), ""Follow-Up Required"", IF(REGEXMATCH(N640, ""STATUS: In Progress""), ""In Progress"", IF(REGEXMATCH(N640, """&amp;"STATUS: In QA""), ""In QA"", IF(REGEXMATCH(N640, ""STATUS: Needs Customer Feedback""), ""Needs Customer Feedback"", IF(REGEXMATCH(N640, ""STATUS: QA Passed - Awaiting Release""), ""QA Passed - Awaiting Release"", IF(REGEXMATCH(N640, ""STATUS: Release to P"&amp;"rod""), ""Release to Prod"", """")))))))"),"")</f>
        <v/>
      </c>
    </row>
    <row r="641" hidden="1">
      <c r="A641" s="61" t="s">
        <v>35</v>
      </c>
      <c r="B641" s="16" t="s">
        <v>36</v>
      </c>
      <c r="C641" s="61">
        <v>32.0</v>
      </c>
      <c r="D641" s="62" t="s">
        <v>3118</v>
      </c>
      <c r="E641" s="56" t="s">
        <v>173</v>
      </c>
      <c r="F641" s="61" t="s">
        <v>3119</v>
      </c>
      <c r="G641" s="57" t="str">
        <f t="shared" si="1"/>
        <v>18-Jul-2025</v>
      </c>
      <c r="H641" s="61" t="s">
        <v>51</v>
      </c>
      <c r="I641" s="61" t="s">
        <v>3120</v>
      </c>
      <c r="J641" s="27" t="str">
        <f t="shared" si="4"/>
        <v>23-Jul-2025</v>
      </c>
      <c r="K641" s="61" t="s">
        <v>3121</v>
      </c>
      <c r="L641" s="27" t="str">
        <f t="shared" si="5"/>
        <v>22-Jul-2025</v>
      </c>
      <c r="M641" s="63" t="s">
        <v>291</v>
      </c>
      <c r="N641" s="61" t="s">
        <v>3019</v>
      </c>
      <c r="O641" s="61" t="s">
        <v>51</v>
      </c>
      <c r="P641" s="61">
        <v>0.0</v>
      </c>
      <c r="Q641" s="66" t="s">
        <v>3122</v>
      </c>
      <c r="R641" s="27" t="str">
        <f>IFERROR(__xludf.DUMMYFUNCTION("IF(REGEXMATCH(N641, ""PRIORITY: Low""), ""Low"", IF(REGEXMATCH(N641, ""PRIORITY: Medium""), ""Medium"", IF(REGEXMATCH(N641, ""PRIORITY: High""), ""High"", """")))
"),"Low")</f>
        <v>Low</v>
      </c>
      <c r="S641" s="27" t="str">
        <f>IFERROR(__xludf.DUMMYFUNCTION("IF(REGEXMATCH(N641, ""SKILL: Low""), ""Low"", IF(REGEXMATCH(N641, ""SKILL: Medium""), ""Medium"", IF(REGEXMATCH(N641, ""SKILL: High""), ""High"", """")))"),"Low")</f>
        <v>Low</v>
      </c>
      <c r="T641" s="27" t="str">
        <f>IFERROR(__xludf.DUMMYFUNCTION("IF(REGEXMATCH(N641, ""STATUS: Dev Complete - Awaiting QA""), ""Dev Complete - Awaiting QA"", IF(REGEXMATCH(N641, ""STATUS: Follow-Up Required""), ""Follow-Up Required"", IF(REGEXMATCH(N641, ""STATUS: In Progress""), ""In Progress"", IF(REGEXMATCH(N641, """&amp;"STATUS: In QA""), ""In QA"", IF(REGEXMATCH(N641, ""STATUS: Needs Customer Feedback""), ""Needs Customer Feedback"", IF(REGEXMATCH(N641, ""STATUS: QA Passed - Awaiting Release""), ""QA Passed - Awaiting Release"", IF(REGEXMATCH(N641, ""STATUS: Release to P"&amp;"rod""), ""Release to Prod"", """")))))))"),"")</f>
        <v/>
      </c>
    </row>
    <row r="642" hidden="1">
      <c r="A642" s="61" t="s">
        <v>35</v>
      </c>
      <c r="B642" s="16" t="s">
        <v>36</v>
      </c>
      <c r="C642" s="61">
        <v>31.0</v>
      </c>
      <c r="D642" s="62" t="s">
        <v>3123</v>
      </c>
      <c r="E642" s="56" t="s">
        <v>173</v>
      </c>
      <c r="F642" s="61" t="s">
        <v>3124</v>
      </c>
      <c r="G642" s="57" t="str">
        <f t="shared" si="1"/>
        <v>18-Jul-2025</v>
      </c>
      <c r="H642" s="61" t="s">
        <v>57</v>
      </c>
      <c r="I642" s="61" t="s">
        <v>3125</v>
      </c>
      <c r="J642" s="27" t="str">
        <f t="shared" si="4"/>
        <v>23-Jul-2025</v>
      </c>
      <c r="K642" s="61" t="s">
        <v>3126</v>
      </c>
      <c r="L642" s="27" t="str">
        <f t="shared" si="5"/>
        <v>22-Jul-2025</v>
      </c>
      <c r="M642" s="63" t="s">
        <v>249</v>
      </c>
      <c r="N642" s="61" t="s">
        <v>3106</v>
      </c>
      <c r="O642" s="61" t="s">
        <v>51</v>
      </c>
      <c r="P642" s="61">
        <v>0.0</v>
      </c>
      <c r="Q642" s="66" t="s">
        <v>3127</v>
      </c>
      <c r="R642" s="27" t="str">
        <f>IFERROR(__xludf.DUMMYFUNCTION("IF(REGEXMATCH(N642, ""PRIORITY: Low""), ""Low"", IF(REGEXMATCH(N642, ""PRIORITY: Medium""), ""Medium"", IF(REGEXMATCH(N642, ""PRIORITY: High""), ""High"", """")))
"),"Low")</f>
        <v>Low</v>
      </c>
      <c r="S642" s="27" t="str">
        <f>IFERROR(__xludf.DUMMYFUNCTION("IF(REGEXMATCH(N642, ""SKILL: Low""), ""Low"", IF(REGEXMATCH(N642, ""SKILL: Medium""), ""Medium"", IF(REGEXMATCH(N642, ""SKILL: High""), ""High"", """")))"),"")</f>
        <v/>
      </c>
      <c r="T642" s="27" t="str">
        <f>IFERROR(__xludf.DUMMYFUNCTION("IF(REGEXMATCH(N642, ""STATUS: Dev Complete - Awaiting QA""), ""Dev Complete - Awaiting QA"", IF(REGEXMATCH(N642, ""STATUS: Follow-Up Required""), ""Follow-Up Required"", IF(REGEXMATCH(N642, ""STATUS: In Progress""), ""In Progress"", IF(REGEXMATCH(N642, """&amp;"STATUS: In QA""), ""In QA"", IF(REGEXMATCH(N642, ""STATUS: Needs Customer Feedback""), ""Needs Customer Feedback"", IF(REGEXMATCH(N642, ""STATUS: QA Passed - Awaiting Release""), ""QA Passed - Awaiting Release"", IF(REGEXMATCH(N642, ""STATUS: Release to P"&amp;"rod""), ""Release to Prod"", """")))))))"),"")</f>
        <v/>
      </c>
    </row>
    <row r="643" hidden="1">
      <c r="A643" s="61" t="s">
        <v>35</v>
      </c>
      <c r="B643" s="16" t="s">
        <v>36</v>
      </c>
      <c r="C643" s="61">
        <v>30.0</v>
      </c>
      <c r="D643" s="62" t="s">
        <v>3128</v>
      </c>
      <c r="E643" s="56" t="s">
        <v>173</v>
      </c>
      <c r="F643" s="61" t="s">
        <v>3129</v>
      </c>
      <c r="G643" s="57" t="str">
        <f t="shared" si="1"/>
        <v>18-Jul-2025</v>
      </c>
      <c r="H643" s="61" t="s">
        <v>57</v>
      </c>
      <c r="I643" s="61" t="s">
        <v>3130</v>
      </c>
      <c r="J643" s="27" t="str">
        <f t="shared" si="4"/>
        <v>03-Sep-2025</v>
      </c>
      <c r="K643" s="61" t="s">
        <v>3130</v>
      </c>
      <c r="L643" s="27" t="str">
        <f t="shared" si="5"/>
        <v>03-Sep-2025</v>
      </c>
      <c r="M643" s="63" t="s">
        <v>291</v>
      </c>
      <c r="N643" s="61" t="s">
        <v>3131</v>
      </c>
      <c r="O643" s="61" t="s">
        <v>57</v>
      </c>
      <c r="P643" s="61">
        <v>1.0</v>
      </c>
      <c r="Q643" s="66" t="s">
        <v>3132</v>
      </c>
      <c r="R643" s="27" t="str">
        <f>IFERROR(__xludf.DUMMYFUNCTION("IF(REGEXMATCH(N643, ""PRIORITY: Low""), ""Low"", IF(REGEXMATCH(N643, ""PRIORITY: Medium""), ""Medium"", IF(REGEXMATCH(N643, ""PRIORITY: High""), ""High"", """")))
"),"Low")</f>
        <v>Low</v>
      </c>
      <c r="S643" s="27" t="str">
        <f>IFERROR(__xludf.DUMMYFUNCTION("IF(REGEXMATCH(N643, ""SKILL: Low""), ""Low"", IF(REGEXMATCH(N643, ""SKILL: Medium""), ""Medium"", IF(REGEXMATCH(N643, ""SKILL: High""), ""High"", """")))"),"Medium")</f>
        <v>Medium</v>
      </c>
      <c r="T643" s="27" t="str">
        <f>IFERROR(__xludf.DUMMYFUNCTION("IF(REGEXMATCH(N643, ""STATUS: Dev Complete - Awaiting QA""), ""Dev Complete - Awaiting QA"", IF(REGEXMATCH(N643, ""STATUS: Follow-Up Required""), ""Follow-Up Required"", IF(REGEXMATCH(N643, ""STATUS: In Progress""), ""In Progress"", IF(REGEXMATCH(N643, """&amp;"STATUS: In QA""), ""In QA"", IF(REGEXMATCH(N643, ""STATUS: Needs Customer Feedback""), ""Needs Customer Feedback"", IF(REGEXMATCH(N643, ""STATUS: QA Passed - Awaiting Release""), ""QA Passed - Awaiting Release"", IF(REGEXMATCH(N643, ""STATUS: Release to P"&amp;"rod""), ""Release to Prod"", """")))))))"),"Needs Customer Feedback")</f>
        <v>Needs Customer Feedback</v>
      </c>
    </row>
    <row r="644" hidden="1">
      <c r="A644" s="61" t="s">
        <v>35</v>
      </c>
      <c r="B644" s="16" t="s">
        <v>36</v>
      </c>
      <c r="C644" s="61">
        <v>29.0</v>
      </c>
      <c r="D644" s="62" t="s">
        <v>3133</v>
      </c>
      <c r="E644" s="56" t="s">
        <v>173</v>
      </c>
      <c r="F644" s="61" t="s">
        <v>3134</v>
      </c>
      <c r="G644" s="57" t="str">
        <f t="shared" si="1"/>
        <v>18-Jul-2025</v>
      </c>
      <c r="H644" s="61" t="s">
        <v>51</v>
      </c>
      <c r="I644" s="61" t="s">
        <v>3135</v>
      </c>
      <c r="J644" s="27" t="str">
        <f t="shared" si="4"/>
        <v>23-Jul-2025</v>
      </c>
      <c r="K644" s="61" t="s">
        <v>3136</v>
      </c>
      <c r="L644" s="27" t="str">
        <f t="shared" si="5"/>
        <v>22-Jul-2025</v>
      </c>
      <c r="M644" s="63" t="s">
        <v>285</v>
      </c>
      <c r="N644" s="61" t="s">
        <v>3137</v>
      </c>
      <c r="O644" s="61" t="s">
        <v>51</v>
      </c>
      <c r="P644" s="61">
        <v>0.0</v>
      </c>
      <c r="Q644" s="66" t="s">
        <v>3138</v>
      </c>
      <c r="R644" s="27" t="str">
        <f>IFERROR(__xludf.DUMMYFUNCTION("IF(REGEXMATCH(N644, ""PRIORITY: Low""), ""Low"", IF(REGEXMATCH(N644, ""PRIORITY: Medium""), ""Medium"", IF(REGEXMATCH(N644, ""PRIORITY: High""), ""High"", """")))
"),"Low")</f>
        <v>Low</v>
      </c>
      <c r="S644" s="27" t="str">
        <f>IFERROR(__xludf.DUMMYFUNCTION("IF(REGEXMATCH(N644, ""SKILL: Low""), ""Low"", IF(REGEXMATCH(N644, ""SKILL: Medium""), ""Medium"", IF(REGEXMATCH(N644, ""SKILL: High""), ""High"", """")))"),"Medium")</f>
        <v>Medium</v>
      </c>
      <c r="T644" s="27" t="str">
        <f>IFERROR(__xludf.DUMMYFUNCTION("IF(REGEXMATCH(N644, ""STATUS: Dev Complete - Awaiting QA""), ""Dev Complete - Awaiting QA"", IF(REGEXMATCH(N644, ""STATUS: Follow-Up Required""), ""Follow-Up Required"", IF(REGEXMATCH(N644, ""STATUS: In Progress""), ""In Progress"", IF(REGEXMATCH(N644, """&amp;"STATUS: In QA""), ""In QA"", IF(REGEXMATCH(N644, ""STATUS: Needs Customer Feedback""), ""Needs Customer Feedback"", IF(REGEXMATCH(N644, ""STATUS: QA Passed - Awaiting Release""), ""QA Passed - Awaiting Release"", IF(REGEXMATCH(N644, ""STATUS: Release to P"&amp;"rod""), ""Release to Prod"", """")))))))"),"")</f>
        <v/>
      </c>
    </row>
    <row r="645" hidden="1">
      <c r="A645" s="61" t="s">
        <v>35</v>
      </c>
      <c r="B645" s="16" t="s">
        <v>36</v>
      </c>
      <c r="C645" s="61">
        <v>28.0</v>
      </c>
      <c r="D645" s="62" t="s">
        <v>3139</v>
      </c>
      <c r="E645" s="56" t="s">
        <v>173</v>
      </c>
      <c r="F645" s="61" t="s">
        <v>3140</v>
      </c>
      <c r="G645" s="57" t="str">
        <f t="shared" si="1"/>
        <v>18-Jul-2025</v>
      </c>
      <c r="H645" s="61" t="s">
        <v>51</v>
      </c>
      <c r="I645" s="61" t="s">
        <v>3141</v>
      </c>
      <c r="J645" s="27" t="str">
        <f t="shared" si="4"/>
        <v>19-Sep-2025</v>
      </c>
      <c r="K645" s="61" t="s">
        <v>3110</v>
      </c>
      <c r="L645" s="27" t="str">
        <f t="shared" si="5"/>
        <v>22-Jul-2025</v>
      </c>
      <c r="M645" s="63" t="s">
        <v>291</v>
      </c>
      <c r="N645" s="61" t="s">
        <v>3019</v>
      </c>
      <c r="O645" s="27"/>
      <c r="P645" s="61">
        <v>0.0</v>
      </c>
      <c r="Q645" s="66" t="s">
        <v>3142</v>
      </c>
      <c r="R645" s="27" t="str">
        <f>IFERROR(__xludf.DUMMYFUNCTION("IF(REGEXMATCH(N645, ""PRIORITY: Low""), ""Low"", IF(REGEXMATCH(N645, ""PRIORITY: Medium""), ""Medium"", IF(REGEXMATCH(N645, ""PRIORITY: High""), ""High"", """")))
"),"Low")</f>
        <v>Low</v>
      </c>
      <c r="S645" s="27" t="str">
        <f>IFERROR(__xludf.DUMMYFUNCTION("IF(REGEXMATCH(N645, ""SKILL: Low""), ""Low"", IF(REGEXMATCH(N645, ""SKILL: Medium""), ""Medium"", IF(REGEXMATCH(N645, ""SKILL: High""), ""High"", """")))"),"Low")</f>
        <v>Low</v>
      </c>
      <c r="T645" s="27" t="str">
        <f>IFERROR(__xludf.DUMMYFUNCTION("IF(REGEXMATCH(N645, ""STATUS: Dev Complete - Awaiting QA""), ""Dev Complete - Awaiting QA"", IF(REGEXMATCH(N645, ""STATUS: Follow-Up Required""), ""Follow-Up Required"", IF(REGEXMATCH(N645, ""STATUS: In Progress""), ""In Progress"", IF(REGEXMATCH(N645, """&amp;"STATUS: In QA""), ""In QA"", IF(REGEXMATCH(N645, ""STATUS: Needs Customer Feedback""), ""Needs Customer Feedback"", IF(REGEXMATCH(N645, ""STATUS: QA Passed - Awaiting Release""), ""QA Passed - Awaiting Release"", IF(REGEXMATCH(N645, ""STATUS: Release to P"&amp;"rod""), ""Release to Prod"", """")))))))"),"")</f>
        <v/>
      </c>
    </row>
    <row r="646">
      <c r="A646" s="61" t="s">
        <v>35</v>
      </c>
      <c r="B646" s="16" t="s">
        <v>36</v>
      </c>
      <c r="C646" s="61">
        <v>27.0</v>
      </c>
      <c r="D646" s="62" t="s">
        <v>3143</v>
      </c>
      <c r="E646" s="56" t="s">
        <v>246</v>
      </c>
      <c r="F646" s="61" t="s">
        <v>3144</v>
      </c>
      <c r="G646" s="57" t="str">
        <f t="shared" si="1"/>
        <v>18-Jul-2025</v>
      </c>
      <c r="H646" s="61" t="s">
        <v>57</v>
      </c>
      <c r="I646" s="61" t="s">
        <v>3145</v>
      </c>
      <c r="J646" s="27" t="str">
        <f t="shared" si="4"/>
        <v>24-Sep-2025</v>
      </c>
      <c r="K646" s="27"/>
      <c r="L646" s="27" t="str">
        <f t="shared" si="5"/>
        <v/>
      </c>
      <c r="M646" s="63" t="s">
        <v>291</v>
      </c>
      <c r="N646" s="61" t="s">
        <v>265</v>
      </c>
      <c r="O646" s="67" t="s">
        <v>47</v>
      </c>
      <c r="P646" s="61">
        <v>2.0</v>
      </c>
      <c r="Q646" s="66" t="s">
        <v>3146</v>
      </c>
      <c r="R646" s="27" t="str">
        <f>IFERROR(__xludf.DUMMYFUNCTION("IF(REGEXMATCH(N646, ""PRIORITY: Low""), ""Low"", IF(REGEXMATCH(N646, ""PRIORITY: Medium""), ""Medium"", IF(REGEXMATCH(N646, ""PRIORITY: High""), ""High"", """")))
"),"Medium")</f>
        <v>Medium</v>
      </c>
      <c r="S646" s="27" t="str">
        <f>IFERROR(__xludf.DUMMYFUNCTION("IF(REGEXMATCH(N646, ""SKILL: Low""), ""Low"", IF(REGEXMATCH(N646, ""SKILL: Medium""), ""Medium"", IF(REGEXMATCH(N646, ""SKILL: High""), ""High"", """")))"),"Medium")</f>
        <v>Medium</v>
      </c>
      <c r="T646" s="27" t="str">
        <f>IFERROR(__xludf.DUMMYFUNCTION("IF(REGEXMATCH(N646, ""STATUS: Dev Complete - Awaiting QA""), ""Dev Complete - Awaiting QA"", IF(REGEXMATCH(N646, ""STATUS: Follow-Up Required""), ""Follow-Up Required"", IF(REGEXMATCH(N646, ""STATUS: In Progress""), ""In Progress"", IF(REGEXMATCH(N646, """&amp;"STATUS: In QA""), ""In QA"", IF(REGEXMATCH(N646, ""STATUS: Needs Customer Feedback""), ""Needs Customer Feedback"", IF(REGEXMATCH(N646, ""STATUS: QA Passed - Awaiting Release""), ""QA Passed - Awaiting Release"", IF(REGEXMATCH(N646, ""STATUS: Release to P"&amp;"rod""), ""Release to Prod"", """")))))))"),"In Progress")</f>
        <v>In Progress</v>
      </c>
    </row>
    <row r="647" hidden="1">
      <c r="A647" s="61" t="s">
        <v>35</v>
      </c>
      <c r="B647" s="16" t="s">
        <v>36</v>
      </c>
      <c r="C647" s="61">
        <v>26.0</v>
      </c>
      <c r="D647" s="62" t="s">
        <v>3147</v>
      </c>
      <c r="E647" s="56" t="s">
        <v>173</v>
      </c>
      <c r="F647" s="61" t="s">
        <v>3148</v>
      </c>
      <c r="G647" s="57" t="str">
        <f t="shared" si="1"/>
        <v>18-Jul-2025</v>
      </c>
      <c r="H647" s="61" t="s">
        <v>57</v>
      </c>
      <c r="I647" s="61" t="s">
        <v>3149</v>
      </c>
      <c r="J647" s="27" t="str">
        <f t="shared" si="4"/>
        <v>03-Sep-2025</v>
      </c>
      <c r="K647" s="61" t="s">
        <v>3149</v>
      </c>
      <c r="L647" s="27" t="str">
        <f t="shared" si="5"/>
        <v>03-Sep-2025</v>
      </c>
      <c r="M647" s="63" t="s">
        <v>249</v>
      </c>
      <c r="N647" s="61" t="s">
        <v>3150</v>
      </c>
      <c r="O647" s="61" t="s">
        <v>57</v>
      </c>
      <c r="P647" s="61">
        <v>3.0</v>
      </c>
      <c r="Q647" s="66" t="s">
        <v>3151</v>
      </c>
      <c r="R647" s="27" t="str">
        <f>IFERROR(__xludf.DUMMYFUNCTION("IF(REGEXMATCH(N647, ""PRIORITY: Low""), ""Low"", IF(REGEXMATCH(N647, ""PRIORITY: Medium""), ""Medium"", IF(REGEXMATCH(N647, ""PRIORITY: High""), ""High"", """")))
"),"Low")</f>
        <v>Low</v>
      </c>
      <c r="S647" s="27" t="str">
        <f>IFERROR(__xludf.DUMMYFUNCTION("IF(REGEXMATCH(N647, ""SKILL: Low""), ""Low"", IF(REGEXMATCH(N647, ""SKILL: Medium""), ""Medium"", IF(REGEXMATCH(N647, ""SKILL: High""), ""High"", """")))"),"Low")</f>
        <v>Low</v>
      </c>
      <c r="T647" s="27" t="str">
        <f>IFERROR(__xludf.DUMMYFUNCTION("IF(REGEXMATCH(N647, ""STATUS: Dev Complete - Awaiting QA""), ""Dev Complete - Awaiting QA"", IF(REGEXMATCH(N647, ""STATUS: Follow-Up Required""), ""Follow-Up Required"", IF(REGEXMATCH(N647, ""STATUS: In Progress""), ""In Progress"", IF(REGEXMATCH(N647, """&amp;"STATUS: In QA""), ""In QA"", IF(REGEXMATCH(N647, ""STATUS: Needs Customer Feedback""), ""Needs Customer Feedback"", IF(REGEXMATCH(N647, ""STATUS: QA Passed - Awaiting Release""), ""QA Passed - Awaiting Release"", IF(REGEXMATCH(N647, ""STATUS: Release to P"&amp;"rod""), ""Release to Prod"", """")))))))"),"Needs Customer Feedback")</f>
        <v>Needs Customer Feedback</v>
      </c>
    </row>
    <row r="648" hidden="1">
      <c r="A648" s="61" t="s">
        <v>35</v>
      </c>
      <c r="B648" s="16" t="s">
        <v>36</v>
      </c>
      <c r="C648" s="61">
        <v>25.0</v>
      </c>
      <c r="D648" s="62" t="s">
        <v>3152</v>
      </c>
      <c r="E648" s="56" t="s">
        <v>173</v>
      </c>
      <c r="F648" s="61" t="s">
        <v>3153</v>
      </c>
      <c r="G648" s="57" t="str">
        <f t="shared" si="1"/>
        <v>18-Jul-2025</v>
      </c>
      <c r="H648" s="61" t="s">
        <v>51</v>
      </c>
      <c r="I648" s="61" t="s">
        <v>3154</v>
      </c>
      <c r="J648" s="27" t="str">
        <f t="shared" si="4"/>
        <v>23-Jul-2025</v>
      </c>
      <c r="K648" s="61" t="s">
        <v>3155</v>
      </c>
      <c r="L648" s="27" t="str">
        <f t="shared" si="5"/>
        <v>22-Jul-2025</v>
      </c>
      <c r="M648" s="63" t="s">
        <v>291</v>
      </c>
      <c r="N648" s="61" t="s">
        <v>3019</v>
      </c>
      <c r="O648" s="61" t="s">
        <v>51</v>
      </c>
      <c r="P648" s="61">
        <v>1.0</v>
      </c>
      <c r="Q648" s="66" t="s">
        <v>3156</v>
      </c>
      <c r="R648" s="27" t="str">
        <f>IFERROR(__xludf.DUMMYFUNCTION("IF(REGEXMATCH(N648, ""PRIORITY: Low""), ""Low"", IF(REGEXMATCH(N648, ""PRIORITY: Medium""), ""Medium"", IF(REGEXMATCH(N648, ""PRIORITY: High""), ""High"", """")))
"),"Low")</f>
        <v>Low</v>
      </c>
      <c r="S648" s="27" t="str">
        <f>IFERROR(__xludf.DUMMYFUNCTION("IF(REGEXMATCH(N648, ""SKILL: Low""), ""Low"", IF(REGEXMATCH(N648, ""SKILL: Medium""), ""Medium"", IF(REGEXMATCH(N648, ""SKILL: High""), ""High"", """")))"),"Low")</f>
        <v>Low</v>
      </c>
      <c r="T648" s="27" t="str">
        <f>IFERROR(__xludf.DUMMYFUNCTION("IF(REGEXMATCH(N648, ""STATUS: Dev Complete - Awaiting QA""), ""Dev Complete - Awaiting QA"", IF(REGEXMATCH(N648, ""STATUS: Follow-Up Required""), ""Follow-Up Required"", IF(REGEXMATCH(N648, ""STATUS: In Progress""), ""In Progress"", IF(REGEXMATCH(N648, """&amp;"STATUS: In QA""), ""In QA"", IF(REGEXMATCH(N648, ""STATUS: Needs Customer Feedback""), ""Needs Customer Feedback"", IF(REGEXMATCH(N648, ""STATUS: QA Passed - Awaiting Release""), ""QA Passed - Awaiting Release"", IF(REGEXMATCH(N648, ""STATUS: Release to P"&amp;"rod""), ""Release to Prod"", """")))))))"),"")</f>
        <v/>
      </c>
    </row>
    <row r="649" hidden="1">
      <c r="A649" s="61" t="s">
        <v>35</v>
      </c>
      <c r="B649" s="16" t="s">
        <v>36</v>
      </c>
      <c r="C649" s="61">
        <v>24.0</v>
      </c>
      <c r="D649" s="62" t="s">
        <v>3157</v>
      </c>
      <c r="E649" s="56" t="s">
        <v>173</v>
      </c>
      <c r="F649" s="61" t="s">
        <v>3158</v>
      </c>
      <c r="G649" s="57" t="str">
        <f t="shared" si="1"/>
        <v>18-Jul-2025</v>
      </c>
      <c r="H649" s="61" t="s">
        <v>57</v>
      </c>
      <c r="I649" s="61" t="s">
        <v>3159</v>
      </c>
      <c r="J649" s="27" t="str">
        <f t="shared" si="4"/>
        <v>23-Jul-2025</v>
      </c>
      <c r="K649" s="61" t="s">
        <v>3160</v>
      </c>
      <c r="L649" s="27" t="str">
        <f t="shared" si="5"/>
        <v>22-Jul-2025</v>
      </c>
      <c r="M649" s="63" t="s">
        <v>249</v>
      </c>
      <c r="N649" s="61" t="s">
        <v>3019</v>
      </c>
      <c r="O649" s="61" t="s">
        <v>51</v>
      </c>
      <c r="P649" s="61">
        <v>0.0</v>
      </c>
      <c r="Q649" s="66" t="s">
        <v>3161</v>
      </c>
      <c r="R649" s="27" t="str">
        <f>IFERROR(__xludf.DUMMYFUNCTION("IF(REGEXMATCH(N649, ""PRIORITY: Low""), ""Low"", IF(REGEXMATCH(N649, ""PRIORITY: Medium""), ""Medium"", IF(REGEXMATCH(N649, ""PRIORITY: High""), ""High"", """")))
"),"Low")</f>
        <v>Low</v>
      </c>
      <c r="S649" s="27" t="str">
        <f>IFERROR(__xludf.DUMMYFUNCTION("IF(REGEXMATCH(N649, ""SKILL: Low""), ""Low"", IF(REGEXMATCH(N649, ""SKILL: Medium""), ""Medium"", IF(REGEXMATCH(N649, ""SKILL: High""), ""High"", """")))"),"Low")</f>
        <v>Low</v>
      </c>
      <c r="T649" s="27" t="str">
        <f>IFERROR(__xludf.DUMMYFUNCTION("IF(REGEXMATCH(N649, ""STATUS: Dev Complete - Awaiting QA""), ""Dev Complete - Awaiting QA"", IF(REGEXMATCH(N649, ""STATUS: Follow-Up Required""), ""Follow-Up Required"", IF(REGEXMATCH(N649, ""STATUS: In Progress""), ""In Progress"", IF(REGEXMATCH(N649, """&amp;"STATUS: In QA""), ""In QA"", IF(REGEXMATCH(N649, ""STATUS: Needs Customer Feedback""), ""Needs Customer Feedback"", IF(REGEXMATCH(N649, ""STATUS: QA Passed - Awaiting Release""), ""QA Passed - Awaiting Release"", IF(REGEXMATCH(N649, ""STATUS: Release to P"&amp;"rod""), ""Release to Prod"", """")))))))"),"")</f>
        <v/>
      </c>
    </row>
    <row r="650" hidden="1">
      <c r="A650" s="61" t="s">
        <v>35</v>
      </c>
      <c r="B650" s="16" t="s">
        <v>36</v>
      </c>
      <c r="C650" s="61">
        <v>23.0</v>
      </c>
      <c r="D650" s="62" t="s">
        <v>3162</v>
      </c>
      <c r="E650" s="56" t="s">
        <v>173</v>
      </c>
      <c r="F650" s="61" t="s">
        <v>3163</v>
      </c>
      <c r="G650" s="57" t="str">
        <f t="shared" si="1"/>
        <v>18-Jul-2025</v>
      </c>
      <c r="H650" s="61" t="s">
        <v>51</v>
      </c>
      <c r="I650" s="61" t="s">
        <v>3089</v>
      </c>
      <c r="J650" s="27" t="str">
        <f t="shared" si="4"/>
        <v>23-Jul-2025</v>
      </c>
      <c r="K650" s="61" t="s">
        <v>3089</v>
      </c>
      <c r="L650" s="27" t="str">
        <f t="shared" si="5"/>
        <v>23-Jul-2025</v>
      </c>
      <c r="M650" s="63" t="s">
        <v>291</v>
      </c>
      <c r="N650" s="61" t="s">
        <v>3164</v>
      </c>
      <c r="O650" s="61" t="s">
        <v>51</v>
      </c>
      <c r="P650" s="61">
        <v>1.0</v>
      </c>
      <c r="Q650" s="66" t="s">
        <v>3165</v>
      </c>
      <c r="R650" s="27" t="str">
        <f>IFERROR(__xludf.DUMMYFUNCTION("IF(REGEXMATCH(N650, ""PRIORITY: Low""), ""Low"", IF(REGEXMATCH(N650, ""PRIORITY: Medium""), ""Medium"", IF(REGEXMATCH(N650, ""PRIORITY: High""), ""High"", """")))
"),"Low")</f>
        <v>Low</v>
      </c>
      <c r="S650" s="27" t="str">
        <f>IFERROR(__xludf.DUMMYFUNCTION("IF(REGEXMATCH(N650, ""SKILL: Low""), ""Low"", IF(REGEXMATCH(N650, ""SKILL: Medium""), ""Medium"", IF(REGEXMATCH(N650, ""SKILL: High""), ""High"", """")))"),"Low")</f>
        <v>Low</v>
      </c>
      <c r="T650" s="27" t="str">
        <f>IFERROR(__xludf.DUMMYFUNCTION("IF(REGEXMATCH(N650, ""STATUS: Dev Complete - Awaiting QA""), ""Dev Complete - Awaiting QA"", IF(REGEXMATCH(N650, ""STATUS: Follow-Up Required""), ""Follow-Up Required"", IF(REGEXMATCH(N650, ""STATUS: In Progress""), ""In Progress"", IF(REGEXMATCH(N650, """&amp;"STATUS: In QA""), ""In QA"", IF(REGEXMATCH(N650, ""STATUS: Needs Customer Feedback""), ""Needs Customer Feedback"", IF(REGEXMATCH(N650, ""STATUS: QA Passed - Awaiting Release""), ""QA Passed - Awaiting Release"", IF(REGEXMATCH(N650, ""STATUS: Release to P"&amp;"rod""), ""Release to Prod"", """")))))))"),"In Progress")</f>
        <v>In Progress</v>
      </c>
    </row>
    <row r="651" hidden="1">
      <c r="A651" s="61" t="s">
        <v>35</v>
      </c>
      <c r="B651" s="16" t="s">
        <v>36</v>
      </c>
      <c r="C651" s="61">
        <v>22.0</v>
      </c>
      <c r="D651" s="62" t="s">
        <v>3166</v>
      </c>
      <c r="E651" s="56" t="s">
        <v>173</v>
      </c>
      <c r="F651" s="61" t="s">
        <v>3167</v>
      </c>
      <c r="G651" s="57" t="str">
        <f t="shared" si="1"/>
        <v>18-Jul-2025</v>
      </c>
      <c r="H651" s="61" t="s">
        <v>57</v>
      </c>
      <c r="I651" s="61" t="s">
        <v>3141</v>
      </c>
      <c r="J651" s="27" t="str">
        <f t="shared" si="4"/>
        <v>19-Sep-2025</v>
      </c>
      <c r="K651" s="61" t="s">
        <v>3168</v>
      </c>
      <c r="L651" s="27" t="str">
        <f t="shared" si="5"/>
        <v>22-Jul-2025</v>
      </c>
      <c r="M651" s="63" t="s">
        <v>285</v>
      </c>
      <c r="N651" s="61" t="s">
        <v>3111</v>
      </c>
      <c r="O651" s="27"/>
      <c r="P651" s="61">
        <v>2.0</v>
      </c>
      <c r="Q651" s="66" t="s">
        <v>3169</v>
      </c>
      <c r="R651" s="27" t="str">
        <f>IFERROR(__xludf.DUMMYFUNCTION("IF(REGEXMATCH(N651, ""PRIORITY: Low""), ""Low"", IF(REGEXMATCH(N651, ""PRIORITY: Medium""), ""Medium"", IF(REGEXMATCH(N651, ""PRIORITY: High""), ""High"", """")))
"),"Medium")</f>
        <v>Medium</v>
      </c>
      <c r="S651" s="27" t="str">
        <f>IFERROR(__xludf.DUMMYFUNCTION("IF(REGEXMATCH(N651, ""SKILL: Low""), ""Low"", IF(REGEXMATCH(N651, ""SKILL: Medium""), ""Medium"", IF(REGEXMATCH(N651, ""SKILL: High""), ""High"", """")))"),"")</f>
        <v/>
      </c>
      <c r="T651" s="27" t="str">
        <f>IFERROR(__xludf.DUMMYFUNCTION("IF(REGEXMATCH(N651, ""STATUS: Dev Complete - Awaiting QA""), ""Dev Complete - Awaiting QA"", IF(REGEXMATCH(N651, ""STATUS: Follow-Up Required""), ""Follow-Up Required"", IF(REGEXMATCH(N651, ""STATUS: In Progress""), ""In Progress"", IF(REGEXMATCH(N651, """&amp;"STATUS: In QA""), ""In QA"", IF(REGEXMATCH(N651, ""STATUS: Needs Customer Feedback""), ""Needs Customer Feedback"", IF(REGEXMATCH(N651, ""STATUS: QA Passed - Awaiting Release""), ""QA Passed - Awaiting Release"", IF(REGEXMATCH(N651, ""STATUS: Release to P"&amp;"rod""), ""Release to Prod"", """")))))))"),"")</f>
        <v/>
      </c>
    </row>
    <row r="652" hidden="1">
      <c r="A652" s="61" t="s">
        <v>35</v>
      </c>
      <c r="B652" s="16" t="s">
        <v>36</v>
      </c>
      <c r="C652" s="61">
        <v>21.0</v>
      </c>
      <c r="D652" s="62" t="s">
        <v>3170</v>
      </c>
      <c r="E652" s="56" t="s">
        <v>173</v>
      </c>
      <c r="F652" s="61" t="s">
        <v>3171</v>
      </c>
      <c r="G652" s="57" t="str">
        <f t="shared" si="1"/>
        <v>18-Jul-2025</v>
      </c>
      <c r="H652" s="61" t="s">
        <v>57</v>
      </c>
      <c r="I652" s="61" t="s">
        <v>3172</v>
      </c>
      <c r="J652" s="27" t="str">
        <f t="shared" si="4"/>
        <v>23-Jul-2025</v>
      </c>
      <c r="K652" s="61" t="s">
        <v>3110</v>
      </c>
      <c r="L652" s="27" t="str">
        <f t="shared" si="5"/>
        <v>22-Jul-2025</v>
      </c>
      <c r="M652" s="63" t="s">
        <v>249</v>
      </c>
      <c r="N652" s="61" t="s">
        <v>3019</v>
      </c>
      <c r="O652" s="61" t="s">
        <v>51</v>
      </c>
      <c r="P652" s="61">
        <v>0.0</v>
      </c>
      <c r="Q652" s="66" t="s">
        <v>3173</v>
      </c>
      <c r="R652" s="27" t="str">
        <f>IFERROR(__xludf.DUMMYFUNCTION("IF(REGEXMATCH(N652, ""PRIORITY: Low""), ""Low"", IF(REGEXMATCH(N652, ""PRIORITY: Medium""), ""Medium"", IF(REGEXMATCH(N652, ""PRIORITY: High""), ""High"", """")))
"),"Low")</f>
        <v>Low</v>
      </c>
      <c r="S652" s="27" t="str">
        <f>IFERROR(__xludf.DUMMYFUNCTION("IF(REGEXMATCH(N652, ""SKILL: Low""), ""Low"", IF(REGEXMATCH(N652, ""SKILL: Medium""), ""Medium"", IF(REGEXMATCH(N652, ""SKILL: High""), ""High"", """")))"),"Low")</f>
        <v>Low</v>
      </c>
      <c r="T652" s="27" t="str">
        <f>IFERROR(__xludf.DUMMYFUNCTION("IF(REGEXMATCH(N652, ""STATUS: Dev Complete - Awaiting QA""), ""Dev Complete - Awaiting QA"", IF(REGEXMATCH(N652, ""STATUS: Follow-Up Required""), ""Follow-Up Required"", IF(REGEXMATCH(N652, ""STATUS: In Progress""), ""In Progress"", IF(REGEXMATCH(N652, """&amp;"STATUS: In QA""), ""In QA"", IF(REGEXMATCH(N652, ""STATUS: Needs Customer Feedback""), ""Needs Customer Feedback"", IF(REGEXMATCH(N652, ""STATUS: QA Passed - Awaiting Release""), ""QA Passed - Awaiting Release"", IF(REGEXMATCH(N652, ""STATUS: Release to P"&amp;"rod""), ""Release to Prod"", """")))))))"),"")</f>
        <v/>
      </c>
    </row>
    <row r="653" hidden="1">
      <c r="A653" s="61" t="s">
        <v>35</v>
      </c>
      <c r="B653" s="16" t="s">
        <v>36</v>
      </c>
      <c r="C653" s="61">
        <v>20.0</v>
      </c>
      <c r="D653" s="62" t="s">
        <v>3174</v>
      </c>
      <c r="E653" s="56" t="s">
        <v>173</v>
      </c>
      <c r="F653" s="61" t="s">
        <v>3175</v>
      </c>
      <c r="G653" s="57" t="str">
        <f t="shared" si="1"/>
        <v>18-Jul-2025</v>
      </c>
      <c r="H653" s="61" t="s">
        <v>51</v>
      </c>
      <c r="I653" s="61" t="s">
        <v>3176</v>
      </c>
      <c r="J653" s="27" t="str">
        <f t="shared" si="4"/>
        <v>23-Jul-2025</v>
      </c>
      <c r="K653" s="61" t="s">
        <v>3176</v>
      </c>
      <c r="L653" s="27" t="str">
        <f t="shared" si="5"/>
        <v>23-Jul-2025</v>
      </c>
      <c r="M653" s="63" t="s">
        <v>291</v>
      </c>
      <c r="N653" s="61" t="s">
        <v>3164</v>
      </c>
      <c r="O653" s="61" t="s">
        <v>51</v>
      </c>
      <c r="P653" s="61">
        <v>0.0</v>
      </c>
      <c r="Q653" s="66" t="s">
        <v>3177</v>
      </c>
      <c r="R653" s="27" t="str">
        <f>IFERROR(__xludf.DUMMYFUNCTION("IF(REGEXMATCH(N653, ""PRIORITY: Low""), ""Low"", IF(REGEXMATCH(N653, ""PRIORITY: Medium""), ""Medium"", IF(REGEXMATCH(N653, ""PRIORITY: High""), ""High"", """")))
"),"Low")</f>
        <v>Low</v>
      </c>
      <c r="S653" s="27" t="str">
        <f>IFERROR(__xludf.DUMMYFUNCTION("IF(REGEXMATCH(N653, ""SKILL: Low""), ""Low"", IF(REGEXMATCH(N653, ""SKILL: Medium""), ""Medium"", IF(REGEXMATCH(N653, ""SKILL: High""), ""High"", """")))"),"Low")</f>
        <v>Low</v>
      </c>
      <c r="T653" s="27" t="str">
        <f>IFERROR(__xludf.DUMMYFUNCTION("IF(REGEXMATCH(N653, ""STATUS: Dev Complete - Awaiting QA""), ""Dev Complete - Awaiting QA"", IF(REGEXMATCH(N653, ""STATUS: Follow-Up Required""), ""Follow-Up Required"", IF(REGEXMATCH(N653, ""STATUS: In Progress""), ""In Progress"", IF(REGEXMATCH(N653, """&amp;"STATUS: In QA""), ""In QA"", IF(REGEXMATCH(N653, ""STATUS: Needs Customer Feedback""), ""Needs Customer Feedback"", IF(REGEXMATCH(N653, ""STATUS: QA Passed - Awaiting Release""), ""QA Passed - Awaiting Release"", IF(REGEXMATCH(N653, ""STATUS: Release to P"&amp;"rod""), ""Release to Prod"", """")))))))"),"In Progress")</f>
        <v>In Progress</v>
      </c>
    </row>
    <row r="654" hidden="1">
      <c r="A654" s="61" t="s">
        <v>35</v>
      </c>
      <c r="B654" s="16" t="s">
        <v>36</v>
      </c>
      <c r="C654" s="61">
        <v>17.0</v>
      </c>
      <c r="D654" s="62" t="s">
        <v>3178</v>
      </c>
      <c r="E654" s="56" t="s">
        <v>173</v>
      </c>
      <c r="F654" s="61" t="s">
        <v>3179</v>
      </c>
      <c r="G654" s="57" t="str">
        <f t="shared" si="1"/>
        <v>18-Jul-2025</v>
      </c>
      <c r="H654" s="61" t="s">
        <v>51</v>
      </c>
      <c r="I654" s="61" t="s">
        <v>3180</v>
      </c>
      <c r="J654" s="27" t="str">
        <f t="shared" si="4"/>
        <v>19-Sep-2025</v>
      </c>
      <c r="K654" s="61" t="s">
        <v>3094</v>
      </c>
      <c r="L654" s="27" t="str">
        <f t="shared" si="5"/>
        <v>23-Jul-2025</v>
      </c>
      <c r="M654" s="63" t="s">
        <v>285</v>
      </c>
      <c r="N654" s="61" t="s">
        <v>3181</v>
      </c>
      <c r="O654" s="27"/>
      <c r="P654" s="61">
        <v>0.0</v>
      </c>
      <c r="Q654" s="66" t="s">
        <v>3182</v>
      </c>
      <c r="R654" s="27" t="str">
        <f>IFERROR(__xludf.DUMMYFUNCTION("IF(REGEXMATCH(N654, ""PRIORITY: Low""), ""Low"", IF(REGEXMATCH(N654, ""PRIORITY: Medium""), ""Medium"", IF(REGEXMATCH(N654, ""PRIORITY: High""), ""High"", """")))
"),"Low")</f>
        <v>Low</v>
      </c>
      <c r="S654" s="27" t="str">
        <f>IFERROR(__xludf.DUMMYFUNCTION("IF(REGEXMATCH(N654, ""SKILL: Low""), ""Low"", IF(REGEXMATCH(N654, ""SKILL: Medium""), ""Medium"", IF(REGEXMATCH(N654, ""SKILL: High""), ""High"", """")))"),"Low")</f>
        <v>Low</v>
      </c>
      <c r="T654" s="27" t="str">
        <f>IFERROR(__xludf.DUMMYFUNCTION("IF(REGEXMATCH(N654, ""STATUS: Dev Complete - Awaiting QA""), ""Dev Complete - Awaiting QA"", IF(REGEXMATCH(N654, ""STATUS: Follow-Up Required""), ""Follow-Up Required"", IF(REGEXMATCH(N654, ""STATUS: In Progress""), ""In Progress"", IF(REGEXMATCH(N654, """&amp;"STATUS: In QA""), ""In QA"", IF(REGEXMATCH(N654, ""STATUS: Needs Customer Feedback""), ""Needs Customer Feedback"", IF(REGEXMATCH(N654, ""STATUS: QA Passed - Awaiting Release""), ""QA Passed - Awaiting Release"", IF(REGEXMATCH(N654, ""STATUS: Release to P"&amp;"rod""), ""Release to Prod"", """")))))))"),"Follow-Up Required")</f>
        <v>Follow-Up Required</v>
      </c>
    </row>
    <row r="655" hidden="1">
      <c r="A655" s="61" t="s">
        <v>35</v>
      </c>
      <c r="B655" s="16" t="s">
        <v>36</v>
      </c>
      <c r="C655" s="61">
        <v>13.0</v>
      </c>
      <c r="D655" s="62" t="s">
        <v>3183</v>
      </c>
      <c r="E655" s="56" t="s">
        <v>173</v>
      </c>
      <c r="F655" s="61" t="s">
        <v>3184</v>
      </c>
      <c r="G655" s="57" t="str">
        <f t="shared" si="1"/>
        <v>17-Jul-2025</v>
      </c>
      <c r="H655" s="61" t="s">
        <v>98</v>
      </c>
      <c r="I655" s="61" t="s">
        <v>3185</v>
      </c>
      <c r="J655" s="27" t="str">
        <f t="shared" si="4"/>
        <v>22-Jul-2025</v>
      </c>
      <c r="K655" s="61" t="s">
        <v>3185</v>
      </c>
      <c r="L655" s="27" t="str">
        <f t="shared" si="5"/>
        <v>22-Jul-2025</v>
      </c>
      <c r="M655" s="63" t="s">
        <v>291</v>
      </c>
      <c r="N655" s="61" t="s">
        <v>3019</v>
      </c>
      <c r="O655" s="27"/>
      <c r="P655" s="61">
        <v>0.0</v>
      </c>
      <c r="Q655" s="66" t="s">
        <v>3186</v>
      </c>
      <c r="R655" s="27" t="str">
        <f>IFERROR(__xludf.DUMMYFUNCTION("IF(REGEXMATCH(N655, ""PRIORITY: Low""), ""Low"", IF(REGEXMATCH(N655, ""PRIORITY: Medium""), ""Medium"", IF(REGEXMATCH(N655, ""PRIORITY: High""), ""High"", """")))
"),"Low")</f>
        <v>Low</v>
      </c>
      <c r="S655" s="27" t="str">
        <f>IFERROR(__xludf.DUMMYFUNCTION("IF(REGEXMATCH(N655, ""SKILL: Low""), ""Low"", IF(REGEXMATCH(N655, ""SKILL: Medium""), ""Medium"", IF(REGEXMATCH(N655, ""SKILL: High""), ""High"", """")))"),"Low")</f>
        <v>Low</v>
      </c>
      <c r="T655" s="27" t="str">
        <f>IFERROR(__xludf.DUMMYFUNCTION("IF(REGEXMATCH(N655, ""STATUS: Dev Complete - Awaiting QA""), ""Dev Complete - Awaiting QA"", IF(REGEXMATCH(N655, ""STATUS: Follow-Up Required""), ""Follow-Up Required"", IF(REGEXMATCH(N655, ""STATUS: In Progress""), ""In Progress"", IF(REGEXMATCH(N655, """&amp;"STATUS: In QA""), ""In QA"", IF(REGEXMATCH(N655, ""STATUS: Needs Customer Feedback""), ""Needs Customer Feedback"", IF(REGEXMATCH(N655, ""STATUS: QA Passed - Awaiting Release""), ""QA Passed - Awaiting Release"", IF(REGEXMATCH(N655, ""STATUS: Release to P"&amp;"rod""), ""Release to Prod"", """")))))))"),"")</f>
        <v/>
      </c>
    </row>
    <row r="656" hidden="1">
      <c r="A656" s="61" t="s">
        <v>35</v>
      </c>
      <c r="B656" s="16" t="s">
        <v>36</v>
      </c>
      <c r="C656" s="61">
        <v>12.0</v>
      </c>
      <c r="D656" s="62" t="s">
        <v>3187</v>
      </c>
      <c r="E656" s="56" t="s">
        <v>173</v>
      </c>
      <c r="F656" s="61" t="s">
        <v>3188</v>
      </c>
      <c r="G656" s="57" t="str">
        <f t="shared" si="1"/>
        <v>17-Jul-2025</v>
      </c>
      <c r="H656" s="61" t="s">
        <v>98</v>
      </c>
      <c r="I656" s="61" t="s">
        <v>3189</v>
      </c>
      <c r="J656" s="27" t="str">
        <f t="shared" si="4"/>
        <v>15-Sep-2025</v>
      </c>
      <c r="K656" s="61" t="s">
        <v>3190</v>
      </c>
      <c r="L656" s="27" t="str">
        <f t="shared" si="5"/>
        <v>22-Jul-2025</v>
      </c>
      <c r="M656" s="63" t="s">
        <v>285</v>
      </c>
      <c r="N656" s="61" t="s">
        <v>3019</v>
      </c>
      <c r="O656" s="61" t="s">
        <v>51</v>
      </c>
      <c r="P656" s="61">
        <v>0.0</v>
      </c>
      <c r="Q656" s="66" t="s">
        <v>3191</v>
      </c>
      <c r="R656" s="27" t="str">
        <f>IFERROR(__xludf.DUMMYFUNCTION("IF(REGEXMATCH(N656, ""PRIORITY: Low""), ""Low"", IF(REGEXMATCH(N656, ""PRIORITY: Medium""), ""Medium"", IF(REGEXMATCH(N656, ""PRIORITY: High""), ""High"", """")))
"),"Low")</f>
        <v>Low</v>
      </c>
      <c r="S656" s="27" t="str">
        <f>IFERROR(__xludf.DUMMYFUNCTION("IF(REGEXMATCH(N656, ""SKILL: Low""), ""Low"", IF(REGEXMATCH(N656, ""SKILL: Medium""), ""Medium"", IF(REGEXMATCH(N656, ""SKILL: High""), ""High"", """")))"),"Low")</f>
        <v>Low</v>
      </c>
      <c r="T656" s="27" t="str">
        <f>IFERROR(__xludf.DUMMYFUNCTION("IF(REGEXMATCH(N656, ""STATUS: Dev Complete - Awaiting QA""), ""Dev Complete - Awaiting QA"", IF(REGEXMATCH(N656, ""STATUS: Follow-Up Required""), ""Follow-Up Required"", IF(REGEXMATCH(N656, ""STATUS: In Progress""), ""In Progress"", IF(REGEXMATCH(N656, """&amp;"STATUS: In QA""), ""In QA"", IF(REGEXMATCH(N656, ""STATUS: Needs Customer Feedback""), ""Needs Customer Feedback"", IF(REGEXMATCH(N656, ""STATUS: QA Passed - Awaiting Release""), ""QA Passed - Awaiting Release"", IF(REGEXMATCH(N656, ""STATUS: Release to P"&amp;"rod""), ""Release to Prod"", """")))))))"),"")</f>
        <v/>
      </c>
    </row>
    <row r="657" hidden="1">
      <c r="A657" s="61" t="s">
        <v>35</v>
      </c>
      <c r="B657" s="16" t="s">
        <v>36</v>
      </c>
      <c r="C657" s="61">
        <v>11.0</v>
      </c>
      <c r="D657" s="62" t="s">
        <v>3192</v>
      </c>
      <c r="E657" s="56" t="s">
        <v>173</v>
      </c>
      <c r="F657" s="61" t="s">
        <v>3193</v>
      </c>
      <c r="G657" s="57" t="str">
        <f t="shared" si="1"/>
        <v>17-Jul-2025</v>
      </c>
      <c r="H657" s="61" t="s">
        <v>98</v>
      </c>
      <c r="I657" s="61" t="s">
        <v>3194</v>
      </c>
      <c r="J657" s="27" t="str">
        <f t="shared" si="4"/>
        <v>03-Sep-2025</v>
      </c>
      <c r="K657" s="61" t="s">
        <v>3194</v>
      </c>
      <c r="L657" s="27" t="str">
        <f t="shared" si="5"/>
        <v>03-Sep-2025</v>
      </c>
      <c r="M657" s="63" t="s">
        <v>249</v>
      </c>
      <c r="N657" s="61" t="s">
        <v>2999</v>
      </c>
      <c r="O657" s="61" t="s">
        <v>51</v>
      </c>
      <c r="P657" s="61">
        <v>1.0</v>
      </c>
      <c r="Q657" s="66" t="s">
        <v>3195</v>
      </c>
      <c r="R657" s="27" t="str">
        <f>IFERROR(__xludf.DUMMYFUNCTION("IF(REGEXMATCH(N657, ""PRIORITY: Low""), ""Low"", IF(REGEXMATCH(N657, ""PRIORITY: Medium""), ""Medium"", IF(REGEXMATCH(N657, ""PRIORITY: High""), ""High"", """")))
"),"Low")</f>
        <v>Low</v>
      </c>
      <c r="S657" s="27" t="str">
        <f>IFERROR(__xludf.DUMMYFUNCTION("IF(REGEXMATCH(N657, ""SKILL: Low""), ""Low"", IF(REGEXMATCH(N657, ""SKILL: Medium""), ""Medium"", IF(REGEXMATCH(N657, ""SKILL: High""), ""High"", """")))"),"Medium")</f>
        <v>Medium</v>
      </c>
      <c r="T657" s="27" t="str">
        <f>IFERROR(__xludf.DUMMYFUNCTION("IF(REGEXMATCH(N657, ""STATUS: Dev Complete - Awaiting QA""), ""Dev Complete - Awaiting QA"", IF(REGEXMATCH(N657, ""STATUS: Follow-Up Required""), ""Follow-Up Required"", IF(REGEXMATCH(N657, ""STATUS: In Progress""), ""In Progress"", IF(REGEXMATCH(N657, """&amp;"STATUS: In QA""), ""In QA"", IF(REGEXMATCH(N657, ""STATUS: Needs Customer Feedback""), ""Needs Customer Feedback"", IF(REGEXMATCH(N657, ""STATUS: QA Passed - Awaiting Release""), ""QA Passed - Awaiting Release"", IF(REGEXMATCH(N657, ""STATUS: Release to P"&amp;"rod""), ""Release to Prod"", """")))))))"),"")</f>
        <v/>
      </c>
    </row>
    <row r="658" hidden="1">
      <c r="A658" s="61" t="s">
        <v>35</v>
      </c>
      <c r="B658" s="16" t="s">
        <v>36</v>
      </c>
      <c r="C658" s="61">
        <v>10.0</v>
      </c>
      <c r="D658" s="62" t="s">
        <v>3196</v>
      </c>
      <c r="E658" s="56" t="s">
        <v>173</v>
      </c>
      <c r="F658" s="61" t="s">
        <v>3197</v>
      </c>
      <c r="G658" s="57" t="str">
        <f t="shared" si="1"/>
        <v>17-Jul-2025</v>
      </c>
      <c r="H658" s="61" t="s">
        <v>98</v>
      </c>
      <c r="I658" s="61" t="s">
        <v>3180</v>
      </c>
      <c r="J658" s="27" t="str">
        <f t="shared" si="4"/>
        <v>19-Sep-2025</v>
      </c>
      <c r="K658" s="61" t="s">
        <v>3110</v>
      </c>
      <c r="L658" s="27" t="str">
        <f t="shared" si="5"/>
        <v>22-Jul-2025</v>
      </c>
      <c r="M658" s="63" t="s">
        <v>291</v>
      </c>
      <c r="N658" s="61" t="s">
        <v>3198</v>
      </c>
      <c r="O658" s="27"/>
      <c r="P658" s="61">
        <v>0.0</v>
      </c>
      <c r="Q658" s="66" t="s">
        <v>3199</v>
      </c>
      <c r="R658" s="27" t="str">
        <f>IFERROR(__xludf.DUMMYFUNCTION("IF(REGEXMATCH(N658, ""PRIORITY: Low""), ""Low"", IF(REGEXMATCH(N658, ""PRIORITY: Medium""), ""Medium"", IF(REGEXMATCH(N658, ""PRIORITY: High""), ""High"", """")))
"),"High")</f>
        <v>High</v>
      </c>
      <c r="S658" s="27" t="str">
        <f>IFERROR(__xludf.DUMMYFUNCTION("IF(REGEXMATCH(N658, ""SKILL: Low""), ""Low"", IF(REGEXMATCH(N658, ""SKILL: Medium""), ""Medium"", IF(REGEXMATCH(N658, ""SKILL: High""), ""High"", """")))"),"High")</f>
        <v>High</v>
      </c>
      <c r="T658" s="27" t="str">
        <f>IFERROR(__xludf.DUMMYFUNCTION("IF(REGEXMATCH(N658, ""STATUS: Dev Complete - Awaiting QA""), ""Dev Complete - Awaiting QA"", IF(REGEXMATCH(N658, ""STATUS: Follow-Up Required""), ""Follow-Up Required"", IF(REGEXMATCH(N658, ""STATUS: In Progress""), ""In Progress"", IF(REGEXMATCH(N658, """&amp;"STATUS: In QA""), ""In QA"", IF(REGEXMATCH(N658, ""STATUS: Needs Customer Feedback""), ""Needs Customer Feedback"", IF(REGEXMATCH(N658, ""STATUS: QA Passed - Awaiting Release""), ""QA Passed - Awaiting Release"", IF(REGEXMATCH(N658, ""STATUS: Release to P"&amp;"rod""), ""Release to Prod"", """")))))))"),"")</f>
        <v/>
      </c>
    </row>
    <row r="659" hidden="1">
      <c r="A659" s="61" t="s">
        <v>35</v>
      </c>
      <c r="B659" s="16" t="s">
        <v>36</v>
      </c>
      <c r="C659" s="61">
        <v>9.0</v>
      </c>
      <c r="D659" s="62" t="s">
        <v>3200</v>
      </c>
      <c r="E659" s="56" t="s">
        <v>173</v>
      </c>
      <c r="F659" s="61" t="s">
        <v>3201</v>
      </c>
      <c r="G659" s="57" t="str">
        <f t="shared" si="1"/>
        <v>17-Jul-2025</v>
      </c>
      <c r="H659" s="61" t="s">
        <v>98</v>
      </c>
      <c r="I659" s="61" t="s">
        <v>3180</v>
      </c>
      <c r="J659" s="27" t="str">
        <f t="shared" si="4"/>
        <v>19-Sep-2025</v>
      </c>
      <c r="K659" s="61" t="s">
        <v>3110</v>
      </c>
      <c r="L659" s="27" t="str">
        <f t="shared" si="5"/>
        <v>22-Jul-2025</v>
      </c>
      <c r="M659" s="63" t="s">
        <v>291</v>
      </c>
      <c r="N659" s="61" t="s">
        <v>3111</v>
      </c>
      <c r="O659" s="27"/>
      <c r="P659" s="61">
        <v>0.0</v>
      </c>
      <c r="Q659" s="66" t="s">
        <v>3202</v>
      </c>
      <c r="R659" s="27" t="str">
        <f>IFERROR(__xludf.DUMMYFUNCTION("IF(REGEXMATCH(N659, ""PRIORITY: Low""), ""Low"", IF(REGEXMATCH(N659, ""PRIORITY: Medium""), ""Medium"", IF(REGEXMATCH(N659, ""PRIORITY: High""), ""High"", """")))
"),"Medium")</f>
        <v>Medium</v>
      </c>
      <c r="S659" s="27" t="str">
        <f>IFERROR(__xludf.DUMMYFUNCTION("IF(REGEXMATCH(N659, ""SKILL: Low""), ""Low"", IF(REGEXMATCH(N659, ""SKILL: Medium""), ""Medium"", IF(REGEXMATCH(N659, ""SKILL: High""), ""High"", """")))"),"")</f>
        <v/>
      </c>
      <c r="T659" s="27" t="str">
        <f>IFERROR(__xludf.DUMMYFUNCTION("IF(REGEXMATCH(N659, ""STATUS: Dev Complete - Awaiting QA""), ""Dev Complete - Awaiting QA"", IF(REGEXMATCH(N659, ""STATUS: Follow-Up Required""), ""Follow-Up Required"", IF(REGEXMATCH(N659, ""STATUS: In Progress""), ""In Progress"", IF(REGEXMATCH(N659, """&amp;"STATUS: In QA""), ""In QA"", IF(REGEXMATCH(N659, ""STATUS: Needs Customer Feedback""), ""Needs Customer Feedback"", IF(REGEXMATCH(N659, ""STATUS: QA Passed - Awaiting Release""), ""QA Passed - Awaiting Release"", IF(REGEXMATCH(N659, ""STATUS: Release to P"&amp;"rod""), ""Release to Prod"", """")))))))"),"")</f>
        <v/>
      </c>
    </row>
    <row r="660" hidden="1">
      <c r="A660" s="61" t="s">
        <v>35</v>
      </c>
      <c r="B660" s="16" t="s">
        <v>36</v>
      </c>
      <c r="C660" s="61">
        <v>7.0</v>
      </c>
      <c r="D660" s="62" t="s">
        <v>3203</v>
      </c>
      <c r="E660" s="56" t="s">
        <v>173</v>
      </c>
      <c r="F660" s="61" t="s">
        <v>3204</v>
      </c>
      <c r="G660" s="57" t="str">
        <f t="shared" si="1"/>
        <v>16-Jul-2025</v>
      </c>
      <c r="H660" s="61" t="s">
        <v>98</v>
      </c>
      <c r="I660" s="61" t="s">
        <v>3180</v>
      </c>
      <c r="J660" s="27" t="str">
        <f t="shared" si="4"/>
        <v>19-Sep-2025</v>
      </c>
      <c r="K660" s="61" t="s">
        <v>3205</v>
      </c>
      <c r="L660" s="27" t="str">
        <f t="shared" si="5"/>
        <v>03-Sep-2025</v>
      </c>
      <c r="M660" s="63" t="s">
        <v>249</v>
      </c>
      <c r="N660" s="61" t="s">
        <v>2595</v>
      </c>
      <c r="O660" s="27"/>
      <c r="P660" s="61">
        <v>2.0</v>
      </c>
      <c r="Q660" s="66" t="s">
        <v>3206</v>
      </c>
      <c r="R660" s="27" t="str">
        <f>IFERROR(__xludf.DUMMYFUNCTION("IF(REGEXMATCH(N660, ""PRIORITY: Low""), ""Low"", IF(REGEXMATCH(N660, ""PRIORITY: Medium""), ""Medium"", IF(REGEXMATCH(N660, ""PRIORITY: High""), ""High"", """")))
"),"Medium")</f>
        <v>Medium</v>
      </c>
      <c r="S660" s="27" t="str">
        <f>IFERROR(__xludf.DUMMYFUNCTION("IF(REGEXMATCH(N660, ""SKILL: Low""), ""Low"", IF(REGEXMATCH(N660, ""SKILL: Medium""), ""Medium"", IF(REGEXMATCH(N660, ""SKILL: High""), ""High"", """")))"),"Medium")</f>
        <v>Medium</v>
      </c>
      <c r="T660" s="27" t="str">
        <f>IFERROR(__xludf.DUMMYFUNCTION("IF(REGEXMATCH(N660, ""STATUS: Dev Complete - Awaiting QA""), ""Dev Complete - Awaiting QA"", IF(REGEXMATCH(N660, ""STATUS: Follow-Up Required""), ""Follow-Up Required"", IF(REGEXMATCH(N660, ""STATUS: In Progress""), ""In Progress"", IF(REGEXMATCH(N660, """&amp;"STATUS: In QA""), ""In QA"", IF(REGEXMATCH(N660, ""STATUS: Needs Customer Feedback""), ""Needs Customer Feedback"", IF(REGEXMATCH(N660, ""STATUS: QA Passed - Awaiting Release""), ""QA Passed - Awaiting Release"", IF(REGEXMATCH(N660, ""STATUS: Release to P"&amp;"rod""), ""Release to Prod"", """")))))))"),"Follow-Up Required")</f>
        <v>Follow-Up Required</v>
      </c>
    </row>
    <row r="661" hidden="1">
      <c r="A661" s="61" t="s">
        <v>35</v>
      </c>
      <c r="B661" s="16" t="s">
        <v>36</v>
      </c>
      <c r="C661" s="61">
        <v>6.0</v>
      </c>
      <c r="D661" s="62" t="s">
        <v>3207</v>
      </c>
      <c r="E661" s="56" t="s">
        <v>173</v>
      </c>
      <c r="F661" s="61" t="s">
        <v>3208</v>
      </c>
      <c r="G661" s="57" t="str">
        <f t="shared" si="1"/>
        <v>16-Jul-2025</v>
      </c>
      <c r="H661" s="61" t="s">
        <v>98</v>
      </c>
      <c r="I661" s="61" t="s">
        <v>2076</v>
      </c>
      <c r="J661" s="27" t="str">
        <f t="shared" si="4"/>
        <v>19-Sep-2025</v>
      </c>
      <c r="K661" s="61" t="s">
        <v>3209</v>
      </c>
      <c r="L661" s="27" t="str">
        <f t="shared" si="5"/>
        <v>22-Jul-2025</v>
      </c>
      <c r="M661" s="63" t="s">
        <v>291</v>
      </c>
      <c r="N661" s="61" t="s">
        <v>3210</v>
      </c>
      <c r="O661" s="27"/>
      <c r="P661" s="61">
        <v>0.0</v>
      </c>
      <c r="Q661" s="66" t="s">
        <v>3211</v>
      </c>
      <c r="R661" s="27" t="str">
        <f>IFERROR(__xludf.DUMMYFUNCTION("IF(REGEXMATCH(N661, ""PRIORITY: Low""), ""Low"", IF(REGEXMATCH(N661, ""PRIORITY: Medium""), ""Medium"", IF(REGEXMATCH(N661, ""PRIORITY: High""), ""High"", """")))
"),"")</f>
        <v/>
      </c>
      <c r="S661" s="27" t="str">
        <f>IFERROR(__xludf.DUMMYFUNCTION("IF(REGEXMATCH(N661, ""SKILL: Low""), ""Low"", IF(REGEXMATCH(N661, ""SKILL: Medium""), ""Medium"", IF(REGEXMATCH(N661, ""SKILL: High""), ""High"", """")))"),"High")</f>
        <v>High</v>
      </c>
      <c r="T661" s="27" t="str">
        <f>IFERROR(__xludf.DUMMYFUNCTION("IF(REGEXMATCH(N661, ""STATUS: Dev Complete - Awaiting QA""), ""Dev Complete - Awaiting QA"", IF(REGEXMATCH(N661, ""STATUS: Follow-Up Required""), ""Follow-Up Required"", IF(REGEXMATCH(N661, ""STATUS: In Progress""), ""In Progress"", IF(REGEXMATCH(N661, """&amp;"STATUS: In QA""), ""In QA"", IF(REGEXMATCH(N661, ""STATUS: Needs Customer Feedback""), ""Needs Customer Feedback"", IF(REGEXMATCH(N661, ""STATUS: QA Passed - Awaiting Release""), ""QA Passed - Awaiting Release"", IF(REGEXMATCH(N661, ""STATUS: Release to P"&amp;"rod""), ""Release to Prod"", """")))))))"),"")</f>
        <v/>
      </c>
    </row>
    <row r="662" hidden="1">
      <c r="A662" s="61" t="s">
        <v>35</v>
      </c>
      <c r="B662" s="16" t="s">
        <v>36</v>
      </c>
      <c r="C662" s="61">
        <v>5.0</v>
      </c>
      <c r="D662" s="62" t="s">
        <v>3212</v>
      </c>
      <c r="E662" s="56" t="s">
        <v>173</v>
      </c>
      <c r="F662" s="61" t="s">
        <v>3213</v>
      </c>
      <c r="G662" s="57" t="str">
        <f t="shared" si="1"/>
        <v>16-Jul-2025</v>
      </c>
      <c r="H662" s="61" t="s">
        <v>98</v>
      </c>
      <c r="I662" s="61" t="s">
        <v>3214</v>
      </c>
      <c r="J662" s="27" t="str">
        <f t="shared" si="4"/>
        <v>22-Jul-2025</v>
      </c>
      <c r="K662" s="61" t="s">
        <v>3214</v>
      </c>
      <c r="L662" s="27" t="str">
        <f t="shared" si="5"/>
        <v>22-Jul-2025</v>
      </c>
      <c r="M662" s="63" t="s">
        <v>291</v>
      </c>
      <c r="N662" s="61" t="s">
        <v>3019</v>
      </c>
      <c r="O662" s="27"/>
      <c r="P662" s="61">
        <v>0.0</v>
      </c>
      <c r="Q662" s="66" t="s">
        <v>3215</v>
      </c>
      <c r="R662" s="27" t="str">
        <f>IFERROR(__xludf.DUMMYFUNCTION("IF(REGEXMATCH(N662, ""PRIORITY: Low""), ""Low"", IF(REGEXMATCH(N662, ""PRIORITY: Medium""), ""Medium"", IF(REGEXMATCH(N662, ""PRIORITY: High""), ""High"", """")))
"),"Low")</f>
        <v>Low</v>
      </c>
      <c r="S662" s="27" t="str">
        <f>IFERROR(__xludf.DUMMYFUNCTION("IF(REGEXMATCH(N662, ""SKILL: Low""), ""Low"", IF(REGEXMATCH(N662, ""SKILL: Medium""), ""Medium"", IF(REGEXMATCH(N662, ""SKILL: High""), ""High"", """")))"),"Low")</f>
        <v>Low</v>
      </c>
      <c r="T662" s="27" t="str">
        <f>IFERROR(__xludf.DUMMYFUNCTION("IF(REGEXMATCH(N662, ""STATUS: Dev Complete - Awaiting QA""), ""Dev Complete - Awaiting QA"", IF(REGEXMATCH(N662, ""STATUS: Follow-Up Required""), ""Follow-Up Required"", IF(REGEXMATCH(N662, ""STATUS: In Progress""), ""In Progress"", IF(REGEXMATCH(N662, """&amp;"STATUS: In QA""), ""In QA"", IF(REGEXMATCH(N662, ""STATUS: Needs Customer Feedback""), ""Needs Customer Feedback"", IF(REGEXMATCH(N662, ""STATUS: QA Passed - Awaiting Release""), ""QA Passed - Awaiting Release"", IF(REGEXMATCH(N662, ""STATUS: Release to P"&amp;"rod""), ""Release to Prod"", """")))))))"),"")</f>
        <v/>
      </c>
    </row>
    <row r="663" hidden="1">
      <c r="A663" s="61" t="s">
        <v>35</v>
      </c>
      <c r="B663" s="16" t="s">
        <v>36</v>
      </c>
      <c r="C663" s="61">
        <v>4.0</v>
      </c>
      <c r="D663" s="62" t="s">
        <v>3216</v>
      </c>
      <c r="E663" s="56" t="s">
        <v>173</v>
      </c>
      <c r="F663" s="61" t="s">
        <v>3217</v>
      </c>
      <c r="G663" s="57" t="str">
        <f t="shared" si="1"/>
        <v>16-Jul-2025</v>
      </c>
      <c r="H663" s="61" t="s">
        <v>98</v>
      </c>
      <c r="I663" s="61" t="s">
        <v>3218</v>
      </c>
      <c r="J663" s="27" t="str">
        <f t="shared" si="4"/>
        <v>20-Oct-2025</v>
      </c>
      <c r="K663" s="61" t="s">
        <v>3218</v>
      </c>
      <c r="L663" s="27" t="str">
        <f t="shared" si="5"/>
        <v>20-Oct-2025</v>
      </c>
      <c r="M663" s="63" t="s">
        <v>249</v>
      </c>
      <c r="N663" s="61" t="s">
        <v>3219</v>
      </c>
      <c r="O663" s="61" t="s">
        <v>51</v>
      </c>
      <c r="P663" s="61">
        <v>3.0</v>
      </c>
      <c r="Q663" s="66" t="s">
        <v>3220</v>
      </c>
      <c r="R663" s="27" t="str">
        <f>IFERROR(__xludf.DUMMYFUNCTION("IF(REGEXMATCH(N663, ""PRIORITY: Low""), ""Low"", IF(REGEXMATCH(N663, ""PRIORITY: Medium""), ""Medium"", IF(REGEXMATCH(N663, ""PRIORITY: High""), ""High"", """")))
"),"Medium")</f>
        <v>Medium</v>
      </c>
      <c r="S663" s="27" t="str">
        <f>IFERROR(__xludf.DUMMYFUNCTION("IF(REGEXMATCH(N663, ""SKILL: Low""), ""Low"", IF(REGEXMATCH(N663, ""SKILL: Medium""), ""Medium"", IF(REGEXMATCH(N663, ""SKILL: High""), ""High"", """")))"),"Medium")</f>
        <v>Medium</v>
      </c>
      <c r="T663" s="27" t="str">
        <f>IFERROR(__xludf.DUMMYFUNCTION("IF(REGEXMATCH(N663, ""STATUS: Dev Complete - Awaiting QA""), ""Dev Complete - Awaiting QA"", IF(REGEXMATCH(N663, ""STATUS: Follow-Up Required""), ""Follow-Up Required"", IF(REGEXMATCH(N663, ""STATUS: In Progress""), ""In Progress"", IF(REGEXMATCH(N663, """&amp;"STATUS: In QA""), ""In QA"", IF(REGEXMATCH(N663, ""STATUS: Needs Customer Feedback""), ""Needs Customer Feedback"", IF(REGEXMATCH(N663, ""STATUS: QA Passed - Awaiting Release""), ""QA Passed - Awaiting Release"", IF(REGEXMATCH(N663, ""STATUS: Release to P"&amp;"rod""), ""Release to Prod"", """")))))))"),"Needs Customer Feedback")</f>
        <v>Needs Customer Feedback</v>
      </c>
    </row>
    <row r="664" hidden="1">
      <c r="A664" s="61" t="s">
        <v>35</v>
      </c>
      <c r="B664" s="16" t="s">
        <v>36</v>
      </c>
      <c r="C664" s="61">
        <v>3.0</v>
      </c>
      <c r="D664" s="62" t="s">
        <v>3221</v>
      </c>
      <c r="E664" s="56" t="s">
        <v>173</v>
      </c>
      <c r="F664" s="61" t="s">
        <v>3222</v>
      </c>
      <c r="G664" s="57" t="str">
        <f t="shared" si="1"/>
        <v>16-Jul-2025</v>
      </c>
      <c r="H664" s="61" t="s">
        <v>98</v>
      </c>
      <c r="I664" s="61" t="s">
        <v>3223</v>
      </c>
      <c r="J664" s="27" t="str">
        <f t="shared" si="4"/>
        <v>20-Oct-2025</v>
      </c>
      <c r="K664" s="61" t="s">
        <v>3223</v>
      </c>
      <c r="L664" s="27" t="str">
        <f t="shared" si="5"/>
        <v>20-Oct-2025</v>
      </c>
      <c r="M664" s="63" t="s">
        <v>291</v>
      </c>
      <c r="N664" s="61" t="s">
        <v>265</v>
      </c>
      <c r="O664" s="61" t="s">
        <v>51</v>
      </c>
      <c r="P664" s="61">
        <v>1.0</v>
      </c>
      <c r="Q664" s="66" t="s">
        <v>3224</v>
      </c>
      <c r="R664" s="27" t="str">
        <f>IFERROR(__xludf.DUMMYFUNCTION("IF(REGEXMATCH(N664, ""PRIORITY: Low""), ""Low"", IF(REGEXMATCH(N664, ""PRIORITY: Medium""), ""Medium"", IF(REGEXMATCH(N664, ""PRIORITY: High""), ""High"", """")))
"),"Medium")</f>
        <v>Medium</v>
      </c>
      <c r="S664" s="27" t="str">
        <f>IFERROR(__xludf.DUMMYFUNCTION("IF(REGEXMATCH(N664, ""SKILL: Low""), ""Low"", IF(REGEXMATCH(N664, ""SKILL: Medium""), ""Medium"", IF(REGEXMATCH(N664, ""SKILL: High""), ""High"", """")))"),"Medium")</f>
        <v>Medium</v>
      </c>
      <c r="T664" s="27" t="str">
        <f>IFERROR(__xludf.DUMMYFUNCTION("IF(REGEXMATCH(N664, ""STATUS: Dev Complete - Awaiting QA""), ""Dev Complete - Awaiting QA"", IF(REGEXMATCH(N664, ""STATUS: Follow-Up Required""), ""Follow-Up Required"", IF(REGEXMATCH(N664, ""STATUS: In Progress""), ""In Progress"", IF(REGEXMATCH(N664, """&amp;"STATUS: In QA""), ""In QA"", IF(REGEXMATCH(N664, ""STATUS: Needs Customer Feedback""), ""Needs Customer Feedback"", IF(REGEXMATCH(N664, ""STATUS: QA Passed - Awaiting Release""), ""QA Passed - Awaiting Release"", IF(REGEXMATCH(N664, ""STATUS: Release to P"&amp;"rod""), ""Release to Prod"", """")))))))"),"In Progress")</f>
        <v>In Progress</v>
      </c>
    </row>
    <row r="665">
      <c r="A665" s="61" t="s">
        <v>55</v>
      </c>
      <c r="B665" s="12" t="s">
        <v>56</v>
      </c>
      <c r="C665" s="61">
        <v>3.0</v>
      </c>
      <c r="D665" s="62" t="s">
        <v>3225</v>
      </c>
      <c r="E665" s="56" t="s">
        <v>246</v>
      </c>
      <c r="F665" s="61" t="s">
        <v>3226</v>
      </c>
      <c r="G665" s="57" t="str">
        <f t="shared" si="1"/>
        <v>26-Nov-2025</v>
      </c>
      <c r="H665" s="61" t="s">
        <v>57</v>
      </c>
      <c r="I665" s="61" t="s">
        <v>3227</v>
      </c>
      <c r="J665" s="27" t="str">
        <f t="shared" si="4"/>
        <v>16-Dec-2025</v>
      </c>
      <c r="K665" s="27"/>
      <c r="L665" s="27" t="str">
        <f t="shared" si="5"/>
        <v/>
      </c>
      <c r="M665" s="63" t="s">
        <v>249</v>
      </c>
      <c r="N665" s="61" t="s">
        <v>250</v>
      </c>
      <c r="O665" s="67" t="s">
        <v>3228</v>
      </c>
      <c r="P665" s="61">
        <v>0.0</v>
      </c>
      <c r="Q665" s="66" t="s">
        <v>3229</v>
      </c>
      <c r="R665" s="27" t="str">
        <f>IFERROR(__xludf.DUMMYFUNCTION("IF(REGEXMATCH(N665, ""PRIORITY: Low""), ""Low"", IF(REGEXMATCH(N665, ""PRIORITY: Medium""), ""Medium"", IF(REGEXMATCH(N665, ""PRIORITY: High""), ""High"", """")))
"),"Low")</f>
        <v>Low</v>
      </c>
      <c r="S665" s="27" t="str">
        <f>IFERROR(__xludf.DUMMYFUNCTION("IF(REGEXMATCH(N665, ""SKILL: Low""), ""Low"", IF(REGEXMATCH(N665, ""SKILL: Medium""), ""Medium"", IF(REGEXMATCH(N665, ""SKILL: High""), ""High"", """")))"),"Low")</f>
        <v>Low</v>
      </c>
      <c r="T665" s="27" t="str">
        <f>IFERROR(__xludf.DUMMYFUNCTION("IF(REGEXMATCH(N665, ""STATUS: Dev Complete - Awaiting QA""), ""Dev Complete - Awaiting QA"", IF(REGEXMATCH(N665, ""STATUS: Follow-Up Required""), ""Follow-Up Required"", IF(REGEXMATCH(N665, ""STATUS: In Progress""), ""In Progress"", IF(REGEXMATCH(N665, """&amp;"STATUS: In QA""), ""In QA"", IF(REGEXMATCH(N665, ""STATUS: Needs Customer Feedback""), ""Needs Customer Feedback"", IF(REGEXMATCH(N665, ""STATUS: QA Passed - Awaiting Release""), ""QA Passed - Awaiting Release"", IF(REGEXMATCH(N665, ""STATUS: Release to P"&amp;"rod""), ""Release to Prod"", """")))))))"),"In Progress")</f>
        <v>In Progress</v>
      </c>
    </row>
    <row r="666">
      <c r="A666" s="61" t="s">
        <v>55</v>
      </c>
      <c r="B666" s="12" t="s">
        <v>56</v>
      </c>
      <c r="C666" s="61">
        <v>2.0</v>
      </c>
      <c r="D666" s="62" t="s">
        <v>3230</v>
      </c>
      <c r="E666" s="56" t="s">
        <v>246</v>
      </c>
      <c r="F666" s="61" t="s">
        <v>3231</v>
      </c>
      <c r="G666" s="57" t="str">
        <f t="shared" si="1"/>
        <v>26-Nov-2025</v>
      </c>
      <c r="H666" s="61" t="s">
        <v>57</v>
      </c>
      <c r="I666" s="61" t="s">
        <v>3232</v>
      </c>
      <c r="J666" s="27" t="str">
        <f t="shared" si="4"/>
        <v>16-Dec-2025</v>
      </c>
      <c r="K666" s="27"/>
      <c r="L666" s="27" t="str">
        <f t="shared" si="5"/>
        <v/>
      </c>
      <c r="M666" s="63" t="s">
        <v>249</v>
      </c>
      <c r="N666" s="61" t="s">
        <v>250</v>
      </c>
      <c r="O666" s="67" t="s">
        <v>3228</v>
      </c>
      <c r="P666" s="61">
        <v>0.0</v>
      </c>
      <c r="Q666" s="66" t="s">
        <v>3233</v>
      </c>
      <c r="R666" s="27" t="str">
        <f>IFERROR(__xludf.DUMMYFUNCTION("IF(REGEXMATCH(N666, ""PRIORITY: Low""), ""Low"", IF(REGEXMATCH(N666, ""PRIORITY: Medium""), ""Medium"", IF(REGEXMATCH(N666, ""PRIORITY: High""), ""High"", """")))
"),"Low")</f>
        <v>Low</v>
      </c>
      <c r="S666" s="27" t="str">
        <f>IFERROR(__xludf.DUMMYFUNCTION("IF(REGEXMATCH(N666, ""SKILL: Low""), ""Low"", IF(REGEXMATCH(N666, ""SKILL: Medium""), ""Medium"", IF(REGEXMATCH(N666, ""SKILL: High""), ""High"", """")))"),"Low")</f>
        <v>Low</v>
      </c>
      <c r="T666" s="27" t="str">
        <f>IFERROR(__xludf.DUMMYFUNCTION("IF(REGEXMATCH(N666, ""STATUS: Dev Complete - Awaiting QA""), ""Dev Complete - Awaiting QA"", IF(REGEXMATCH(N666, ""STATUS: Follow-Up Required""), ""Follow-Up Required"", IF(REGEXMATCH(N666, ""STATUS: In Progress""), ""In Progress"", IF(REGEXMATCH(N666, """&amp;"STATUS: In QA""), ""In QA"", IF(REGEXMATCH(N666, ""STATUS: Needs Customer Feedback""), ""Needs Customer Feedback"", IF(REGEXMATCH(N666, ""STATUS: QA Passed - Awaiting Release""), ""QA Passed - Awaiting Release"", IF(REGEXMATCH(N666, ""STATUS: Release to P"&amp;"rod""), ""Release to Prod"", """")))))))"),"In Progress")</f>
        <v>In Progress</v>
      </c>
    </row>
    <row r="667" hidden="1">
      <c r="A667" s="61" t="s">
        <v>55</v>
      </c>
      <c r="B667" s="12" t="s">
        <v>56</v>
      </c>
      <c r="C667" s="61">
        <v>1.0</v>
      </c>
      <c r="D667" s="62" t="s">
        <v>3234</v>
      </c>
      <c r="E667" s="56" t="s">
        <v>173</v>
      </c>
      <c r="F667" s="61" t="s">
        <v>3235</v>
      </c>
      <c r="G667" s="57" t="str">
        <f t="shared" si="1"/>
        <v>20-Nov-2025</v>
      </c>
      <c r="H667" s="61" t="s">
        <v>57</v>
      </c>
      <c r="I667" s="61" t="s">
        <v>3236</v>
      </c>
      <c r="J667" s="27" t="str">
        <f t="shared" si="4"/>
        <v>26-Nov-2025</v>
      </c>
      <c r="K667" s="61" t="s">
        <v>3236</v>
      </c>
      <c r="L667" s="27" t="str">
        <f t="shared" si="5"/>
        <v>26-Nov-2025</v>
      </c>
      <c r="M667" s="63" t="s">
        <v>15</v>
      </c>
      <c r="N667" s="61" t="s">
        <v>177</v>
      </c>
      <c r="O667" s="27"/>
      <c r="P667" s="61">
        <v>3.0</v>
      </c>
      <c r="Q667" s="66" t="s">
        <v>3237</v>
      </c>
      <c r="R667" s="27" t="str">
        <f>IFERROR(__xludf.DUMMYFUNCTION("IF(REGEXMATCH(N667, ""PRIORITY: Low""), ""Low"", IF(REGEXMATCH(N667, ""PRIORITY: Medium""), ""Medium"", IF(REGEXMATCH(N667, ""PRIORITY: High""), ""High"", """")))
"),"")</f>
        <v/>
      </c>
      <c r="S667" s="27" t="str">
        <f>IFERROR(__xludf.DUMMYFUNCTION("IF(REGEXMATCH(N667, ""SKILL: Low""), ""Low"", IF(REGEXMATCH(N667, ""SKILL: Medium""), ""Medium"", IF(REGEXMATCH(N667, ""SKILL: High""), ""High"", """")))"),"")</f>
        <v/>
      </c>
      <c r="T667" s="27" t="str">
        <f>IFERROR(__xludf.DUMMYFUNCTION("IF(REGEXMATCH(N667, ""STATUS: Dev Complete - Awaiting QA""), ""Dev Complete - Awaiting QA"", IF(REGEXMATCH(N667, ""STATUS: Follow-Up Required""), ""Follow-Up Required"", IF(REGEXMATCH(N667, ""STATUS: In Progress""), ""In Progress"", IF(REGEXMATCH(N667, """&amp;"STATUS: In QA""), ""In QA"", IF(REGEXMATCH(N667, ""STATUS: Needs Customer Feedback""), ""Needs Customer Feedback"", IF(REGEXMATCH(N667, ""STATUS: QA Passed - Awaiting Release""), ""QA Passed - Awaiting Release"", IF(REGEXMATCH(N667, ""STATUS: Release to P"&amp;"rod""), ""Release to Prod"", """")))))))"),"")</f>
        <v/>
      </c>
    </row>
    <row r="668">
      <c r="A668" s="61" t="s">
        <v>48</v>
      </c>
      <c r="B668" s="12" t="s">
        <v>49</v>
      </c>
      <c r="C668" s="61">
        <v>35.0</v>
      </c>
      <c r="D668" s="62" t="s">
        <v>3238</v>
      </c>
      <c r="E668" s="56" t="s">
        <v>246</v>
      </c>
      <c r="F668" s="61" t="s">
        <v>3239</v>
      </c>
      <c r="G668" s="57" t="str">
        <f t="shared" si="1"/>
        <v>16-Dec-2025</v>
      </c>
      <c r="H668" s="61" t="s">
        <v>57</v>
      </c>
      <c r="I668" s="61" t="s">
        <v>3239</v>
      </c>
      <c r="J668" s="27" t="str">
        <f t="shared" si="4"/>
        <v>16-Dec-2025</v>
      </c>
      <c r="K668" s="27"/>
      <c r="L668" s="27" t="str">
        <f t="shared" si="5"/>
        <v/>
      </c>
      <c r="M668" s="63" t="s">
        <v>249</v>
      </c>
      <c r="N668" s="61" t="s">
        <v>3240</v>
      </c>
      <c r="O668" s="67" t="s">
        <v>54</v>
      </c>
      <c r="P668" s="61">
        <v>0.0</v>
      </c>
      <c r="Q668" s="66" t="s">
        <v>3241</v>
      </c>
      <c r="R668" s="27" t="str">
        <f>IFERROR(__xludf.DUMMYFUNCTION("IF(REGEXMATCH(N668, ""PRIORITY: Low""), ""Low"", IF(REGEXMATCH(N668, ""PRIORITY: Medium""), ""Medium"", IF(REGEXMATCH(N668, ""PRIORITY: High""), ""High"", """")))
"),"Low")</f>
        <v>Low</v>
      </c>
      <c r="S668" s="27" t="str">
        <f>IFERROR(__xludf.DUMMYFUNCTION("IF(REGEXMATCH(N668, ""SKILL: Low""), ""Low"", IF(REGEXMATCH(N668, ""SKILL: Medium""), ""Medium"", IF(REGEXMATCH(N668, ""SKILL: High""), ""High"", """")))"),"Medium")</f>
        <v>Medium</v>
      </c>
      <c r="T668" s="27" t="str">
        <f>IFERROR(__xludf.DUMMYFUNCTION("IF(REGEXMATCH(N668, ""STATUS: Dev Complete - Awaiting QA""), ""Dev Complete - Awaiting QA"", IF(REGEXMATCH(N668, ""STATUS: Follow-Up Required""), ""Follow-Up Required"", IF(REGEXMATCH(N668, ""STATUS: In Progress""), ""In Progress"", IF(REGEXMATCH(N668, """&amp;"STATUS: In QA""), ""In QA"", IF(REGEXMATCH(N668, ""STATUS: Needs Customer Feedback""), ""Needs Customer Feedback"", IF(REGEXMATCH(N668, ""STATUS: QA Passed - Awaiting Release""), ""QA Passed - Awaiting Release"", IF(REGEXMATCH(N668, ""STATUS: Release to P"&amp;"rod""), ""Release to Prod"", """")))))))"),"In Progress")</f>
        <v>In Progress</v>
      </c>
    </row>
    <row r="669" hidden="1">
      <c r="A669" s="61" t="s">
        <v>48</v>
      </c>
      <c r="B669" s="12" t="s">
        <v>49</v>
      </c>
      <c r="C669" s="61">
        <v>19.0</v>
      </c>
      <c r="D669" s="62" t="s">
        <v>3242</v>
      </c>
      <c r="E669" s="56" t="s">
        <v>173</v>
      </c>
      <c r="F669" s="61" t="s">
        <v>3243</v>
      </c>
      <c r="G669" s="57" t="str">
        <f t="shared" si="1"/>
        <v>16-Sep-2025</v>
      </c>
      <c r="H669" s="61" t="s">
        <v>57</v>
      </c>
      <c r="I669" s="61" t="s">
        <v>3244</v>
      </c>
      <c r="J669" s="27" t="str">
        <f t="shared" si="4"/>
        <v>26-Nov-2025</v>
      </c>
      <c r="K669" s="61" t="s">
        <v>3244</v>
      </c>
      <c r="L669" s="27" t="str">
        <f t="shared" si="5"/>
        <v>26-Nov-2025</v>
      </c>
      <c r="M669" s="63" t="s">
        <v>291</v>
      </c>
      <c r="N669" s="61" t="s">
        <v>3245</v>
      </c>
      <c r="O669" s="61" t="s">
        <v>54</v>
      </c>
      <c r="P669" s="61">
        <v>1.0</v>
      </c>
      <c r="Q669" s="66" t="s">
        <v>3246</v>
      </c>
      <c r="R669" s="27" t="str">
        <f>IFERROR(__xludf.DUMMYFUNCTION("IF(REGEXMATCH(N669, ""PRIORITY: Low""), ""Low"", IF(REGEXMATCH(N669, ""PRIORITY: Medium""), ""Medium"", IF(REGEXMATCH(N669, ""PRIORITY: High""), ""High"", """")))
"),"Medium")</f>
        <v>Medium</v>
      </c>
      <c r="S669" s="27" t="str">
        <f>IFERROR(__xludf.DUMMYFUNCTION("IF(REGEXMATCH(N669, ""SKILL: Low""), ""Low"", IF(REGEXMATCH(N669, ""SKILL: Medium""), ""Medium"", IF(REGEXMATCH(N669, ""SKILL: High""), ""High"", """")))"),"Low")</f>
        <v>Low</v>
      </c>
      <c r="T669" s="27" t="str">
        <f>IFERROR(__xludf.DUMMYFUNCTION("IF(REGEXMATCH(N669, ""STATUS: Dev Complete - Awaiting QA""), ""Dev Complete - Awaiting QA"", IF(REGEXMATCH(N669, ""STATUS: Follow-Up Required""), ""Follow-Up Required"", IF(REGEXMATCH(N669, ""STATUS: In Progress""), ""In Progress"", IF(REGEXMATCH(N669, """&amp;"STATUS: In QA""), ""In QA"", IF(REGEXMATCH(N669, ""STATUS: Needs Customer Feedback""), ""Needs Customer Feedback"", IF(REGEXMATCH(N669, ""STATUS: QA Passed - Awaiting Release""), ""QA Passed - Awaiting Release"", IF(REGEXMATCH(N669, ""STATUS: Release to P"&amp;"rod""), ""Release to Prod"", """")))))))"),"")</f>
        <v/>
      </c>
    </row>
    <row r="670" hidden="1">
      <c r="A670" s="61" t="s">
        <v>48</v>
      </c>
      <c r="B670" s="12" t="s">
        <v>49</v>
      </c>
      <c r="C670" s="61">
        <v>18.0</v>
      </c>
      <c r="D670" s="62" t="s">
        <v>3247</v>
      </c>
      <c r="E670" s="56" t="s">
        <v>173</v>
      </c>
      <c r="F670" s="61" t="s">
        <v>3248</v>
      </c>
      <c r="G670" s="57" t="str">
        <f t="shared" si="1"/>
        <v>16-Sep-2025</v>
      </c>
      <c r="H670" s="61" t="s">
        <v>57</v>
      </c>
      <c r="I670" s="61" t="s">
        <v>3249</v>
      </c>
      <c r="J670" s="27" t="str">
        <f t="shared" si="4"/>
        <v>26-Nov-2025</v>
      </c>
      <c r="K670" s="61" t="s">
        <v>3249</v>
      </c>
      <c r="L670" s="27" t="str">
        <f t="shared" si="5"/>
        <v>26-Nov-2025</v>
      </c>
      <c r="M670" s="63" t="s">
        <v>291</v>
      </c>
      <c r="N670" s="61" t="s">
        <v>3245</v>
      </c>
      <c r="O670" s="61" t="s">
        <v>54</v>
      </c>
      <c r="P670" s="61">
        <v>1.0</v>
      </c>
      <c r="Q670" s="66" t="s">
        <v>3250</v>
      </c>
      <c r="R670" s="27" t="str">
        <f>IFERROR(__xludf.DUMMYFUNCTION("IF(REGEXMATCH(N670, ""PRIORITY: Low""), ""Low"", IF(REGEXMATCH(N670, ""PRIORITY: Medium""), ""Medium"", IF(REGEXMATCH(N670, ""PRIORITY: High""), ""High"", """")))
"),"Medium")</f>
        <v>Medium</v>
      </c>
      <c r="S670" s="27" t="str">
        <f>IFERROR(__xludf.DUMMYFUNCTION("IF(REGEXMATCH(N670, ""SKILL: Low""), ""Low"", IF(REGEXMATCH(N670, ""SKILL: Medium""), ""Medium"", IF(REGEXMATCH(N670, ""SKILL: High""), ""High"", """")))"),"Low")</f>
        <v>Low</v>
      </c>
      <c r="T670" s="27" t="str">
        <f>IFERROR(__xludf.DUMMYFUNCTION("IF(REGEXMATCH(N670, ""STATUS: Dev Complete - Awaiting QA""), ""Dev Complete - Awaiting QA"", IF(REGEXMATCH(N670, ""STATUS: Follow-Up Required""), ""Follow-Up Required"", IF(REGEXMATCH(N670, ""STATUS: In Progress""), ""In Progress"", IF(REGEXMATCH(N670, """&amp;"STATUS: In QA""), ""In QA"", IF(REGEXMATCH(N670, ""STATUS: Needs Customer Feedback""), ""Needs Customer Feedback"", IF(REGEXMATCH(N670, ""STATUS: QA Passed - Awaiting Release""), ""QA Passed - Awaiting Release"", IF(REGEXMATCH(N670, ""STATUS: Release to P"&amp;"rod""), ""Release to Prod"", """")))))))"),"")</f>
        <v/>
      </c>
    </row>
    <row r="671" hidden="1">
      <c r="A671" s="61" t="s">
        <v>48</v>
      </c>
      <c r="B671" s="12" t="s">
        <v>49</v>
      </c>
      <c r="C671" s="61">
        <v>17.0</v>
      </c>
      <c r="D671" s="62" t="s">
        <v>3251</v>
      </c>
      <c r="E671" s="56" t="s">
        <v>173</v>
      </c>
      <c r="F671" s="61" t="s">
        <v>3252</v>
      </c>
      <c r="G671" s="57" t="str">
        <f t="shared" si="1"/>
        <v>29-Aug-2025</v>
      </c>
      <c r="H671" s="61" t="s">
        <v>57</v>
      </c>
      <c r="I671" s="61" t="s">
        <v>3253</v>
      </c>
      <c r="J671" s="27" t="str">
        <f t="shared" si="4"/>
        <v>26-Nov-2025</v>
      </c>
      <c r="K671" s="61" t="s">
        <v>3253</v>
      </c>
      <c r="L671" s="27" t="str">
        <f t="shared" si="5"/>
        <v>26-Nov-2025</v>
      </c>
      <c r="M671" s="63" t="s">
        <v>249</v>
      </c>
      <c r="N671" s="61" t="s">
        <v>3254</v>
      </c>
      <c r="O671" s="61" t="s">
        <v>54</v>
      </c>
      <c r="P671" s="61">
        <v>2.0</v>
      </c>
      <c r="Q671" s="66" t="s">
        <v>3255</v>
      </c>
      <c r="R671" s="27" t="str">
        <f>IFERROR(__xludf.DUMMYFUNCTION("IF(REGEXMATCH(N671, ""PRIORITY: Low""), ""Low"", IF(REGEXMATCH(N671, ""PRIORITY: Medium""), ""Medium"", IF(REGEXMATCH(N671, ""PRIORITY: High""), ""High"", """")))
"),"Low")</f>
        <v>Low</v>
      </c>
      <c r="S671" s="27" t="str">
        <f>IFERROR(__xludf.DUMMYFUNCTION("IF(REGEXMATCH(N671, ""SKILL: Low""), ""Low"", IF(REGEXMATCH(N671, ""SKILL: Medium""), ""Medium"", IF(REGEXMATCH(N671, ""SKILL: High""), ""High"", """")))"),"Low")</f>
        <v>Low</v>
      </c>
      <c r="T671" s="27" t="str">
        <f>IFERROR(__xludf.DUMMYFUNCTION("IF(REGEXMATCH(N671, ""STATUS: Dev Complete - Awaiting QA""), ""Dev Complete - Awaiting QA"", IF(REGEXMATCH(N671, ""STATUS: Follow-Up Required""), ""Follow-Up Required"", IF(REGEXMATCH(N671, ""STATUS: In Progress""), ""In Progress"", IF(REGEXMATCH(N671, """&amp;"STATUS: In QA""), ""In QA"", IF(REGEXMATCH(N671, ""STATUS: Needs Customer Feedback""), ""Needs Customer Feedback"", IF(REGEXMATCH(N671, ""STATUS: QA Passed - Awaiting Release""), ""QA Passed - Awaiting Release"", IF(REGEXMATCH(N671, ""STATUS: Release to P"&amp;"rod""), ""Release to Prod"", """")))))))"),"")</f>
        <v/>
      </c>
    </row>
    <row r="672">
      <c r="A672" s="61" t="s">
        <v>48</v>
      </c>
      <c r="B672" s="12" t="s">
        <v>49</v>
      </c>
      <c r="C672" s="61">
        <v>16.0</v>
      </c>
      <c r="D672" s="62" t="s">
        <v>3256</v>
      </c>
      <c r="E672" s="56" t="s">
        <v>173</v>
      </c>
      <c r="F672" s="61" t="s">
        <v>3257</v>
      </c>
      <c r="G672" s="57" t="str">
        <f t="shared" si="1"/>
        <v>29-Aug-2025</v>
      </c>
      <c r="H672" s="61" t="s">
        <v>57</v>
      </c>
      <c r="I672" s="61" t="s">
        <v>3258</v>
      </c>
      <c r="J672" s="27" t="str">
        <f t="shared" si="4"/>
        <v>20-Nov-2025</v>
      </c>
      <c r="K672" s="27"/>
      <c r="L672" s="27" t="str">
        <f t="shared" si="5"/>
        <v/>
      </c>
      <c r="M672" s="63" t="s">
        <v>291</v>
      </c>
      <c r="N672" s="61" t="s">
        <v>3259</v>
      </c>
      <c r="O672" s="67" t="s">
        <v>54</v>
      </c>
      <c r="P672" s="61">
        <v>0.0</v>
      </c>
      <c r="Q672" s="66" t="s">
        <v>3260</v>
      </c>
      <c r="R672" s="27" t="str">
        <f>IFERROR(__xludf.DUMMYFUNCTION("IF(REGEXMATCH(N672, ""PRIORITY: Low""), ""Low"", IF(REGEXMATCH(N672, ""PRIORITY: Medium""), ""Medium"", IF(REGEXMATCH(N672, ""PRIORITY: High""), ""High"", """")))
"),"Low")</f>
        <v>Low</v>
      </c>
      <c r="S672" s="27" t="str">
        <f>IFERROR(__xludf.DUMMYFUNCTION("IF(REGEXMATCH(N672, ""SKILL: Low""), ""Low"", IF(REGEXMATCH(N672, ""SKILL: Medium""), ""Medium"", IF(REGEXMATCH(N672, ""SKILL: High""), ""High"", """")))"),"Low")</f>
        <v>Low</v>
      </c>
      <c r="T672" s="27" t="str">
        <f>IFERROR(__xludf.DUMMYFUNCTION("IF(REGEXMATCH(N672, ""STATUS: Dev Complete - Awaiting QA""), ""Dev Complete - Awaiting QA"", IF(REGEXMATCH(N672, ""STATUS: Follow-Up Required""), ""Follow-Up Required"", IF(REGEXMATCH(N672, ""STATUS: In Progress""), ""In Progress"", IF(REGEXMATCH(N672, """&amp;"STATUS: In QA""), ""In QA"", IF(REGEXMATCH(N672, ""STATUS: Needs Customer Feedback""), ""Needs Customer Feedback"", IF(REGEXMATCH(N672, ""STATUS: QA Passed - Awaiting Release""), ""QA Passed - Awaiting Release"", IF(REGEXMATCH(N672, ""STATUS: Release to P"&amp;"rod""), ""Release to Prod"", """")))))))"),"Follow-Up Required")</f>
        <v>Follow-Up Required</v>
      </c>
    </row>
    <row r="673">
      <c r="A673" s="61" t="s">
        <v>48</v>
      </c>
      <c r="B673" s="12" t="s">
        <v>49</v>
      </c>
      <c r="C673" s="61">
        <v>15.0</v>
      </c>
      <c r="D673" s="62" t="s">
        <v>3261</v>
      </c>
      <c r="E673" s="56" t="s">
        <v>246</v>
      </c>
      <c r="F673" s="61" t="s">
        <v>3262</v>
      </c>
      <c r="G673" s="57" t="str">
        <f t="shared" si="1"/>
        <v>29-Aug-2025</v>
      </c>
      <c r="H673" s="61" t="s">
        <v>57</v>
      </c>
      <c r="I673" s="61" t="s">
        <v>3263</v>
      </c>
      <c r="J673" s="27" t="str">
        <f t="shared" si="4"/>
        <v>16-Sep-2025</v>
      </c>
      <c r="K673" s="27"/>
      <c r="L673" s="27" t="str">
        <f t="shared" si="5"/>
        <v/>
      </c>
      <c r="M673" s="63" t="s">
        <v>291</v>
      </c>
      <c r="N673" s="61" t="s">
        <v>2207</v>
      </c>
      <c r="O673" s="67" t="s">
        <v>54</v>
      </c>
      <c r="P673" s="61">
        <v>1.0</v>
      </c>
      <c r="Q673" s="66" t="s">
        <v>3264</v>
      </c>
      <c r="R673" s="27" t="str">
        <f>IFERROR(__xludf.DUMMYFUNCTION("IF(REGEXMATCH(N673, ""PRIORITY: Low""), ""Low"", IF(REGEXMATCH(N673, ""PRIORITY: Medium""), ""Medium"", IF(REGEXMATCH(N673, ""PRIORITY: High""), ""High"", """")))
"),"High")</f>
        <v>High</v>
      </c>
      <c r="S673" s="27" t="str">
        <f>IFERROR(__xludf.DUMMYFUNCTION("IF(REGEXMATCH(N673, ""SKILL: Low""), ""Low"", IF(REGEXMATCH(N673, ""SKILL: Medium""), ""Medium"", IF(REGEXMATCH(N673, ""SKILL: High""), ""High"", """")))"),"Medium")</f>
        <v>Medium</v>
      </c>
      <c r="T673" s="27" t="str">
        <f>IFERROR(__xludf.DUMMYFUNCTION("IF(REGEXMATCH(N673, ""STATUS: Dev Complete - Awaiting QA""), ""Dev Complete - Awaiting QA"", IF(REGEXMATCH(N673, ""STATUS: Follow-Up Required""), ""Follow-Up Required"", IF(REGEXMATCH(N673, ""STATUS: In Progress""), ""In Progress"", IF(REGEXMATCH(N673, """&amp;"STATUS: In QA""), ""In QA"", IF(REGEXMATCH(N673, ""STATUS: Needs Customer Feedback""), ""Needs Customer Feedback"", IF(REGEXMATCH(N673, ""STATUS: QA Passed - Awaiting Release""), ""QA Passed - Awaiting Release"", IF(REGEXMATCH(N673, ""STATUS: Release to P"&amp;"rod""), ""Release to Prod"", """")))))))"),"In Progress")</f>
        <v>In Progress</v>
      </c>
    </row>
    <row r="674" hidden="1">
      <c r="A674" s="61" t="s">
        <v>48</v>
      </c>
      <c r="B674" s="12" t="s">
        <v>49</v>
      </c>
      <c r="C674" s="61">
        <v>14.0</v>
      </c>
      <c r="D674" s="62" t="s">
        <v>3265</v>
      </c>
      <c r="E674" s="56" t="s">
        <v>173</v>
      </c>
      <c r="F674" s="61" t="s">
        <v>3266</v>
      </c>
      <c r="G674" s="57" t="str">
        <f t="shared" si="1"/>
        <v>29-Aug-2025</v>
      </c>
      <c r="H674" s="61" t="s">
        <v>57</v>
      </c>
      <c r="I674" s="61" t="s">
        <v>3267</v>
      </c>
      <c r="J674" s="27" t="str">
        <f t="shared" si="4"/>
        <v>26-Nov-2025</v>
      </c>
      <c r="K674" s="61" t="s">
        <v>3267</v>
      </c>
      <c r="L674" s="27" t="str">
        <f t="shared" si="5"/>
        <v>26-Nov-2025</v>
      </c>
      <c r="M674" s="63" t="s">
        <v>285</v>
      </c>
      <c r="N674" s="61" t="s">
        <v>3254</v>
      </c>
      <c r="O674" s="61" t="s">
        <v>54</v>
      </c>
      <c r="P674" s="61">
        <v>1.0</v>
      </c>
      <c r="Q674" s="66" t="s">
        <v>3268</v>
      </c>
      <c r="R674" s="27" t="str">
        <f>IFERROR(__xludf.DUMMYFUNCTION("IF(REGEXMATCH(N674, ""PRIORITY: Low""), ""Low"", IF(REGEXMATCH(N674, ""PRIORITY: Medium""), ""Medium"", IF(REGEXMATCH(N674, ""PRIORITY: High""), ""High"", """")))
"),"Low")</f>
        <v>Low</v>
      </c>
      <c r="S674" s="27" t="str">
        <f>IFERROR(__xludf.DUMMYFUNCTION("IF(REGEXMATCH(N674, ""SKILL: Low""), ""Low"", IF(REGEXMATCH(N674, ""SKILL: Medium""), ""Medium"", IF(REGEXMATCH(N674, ""SKILL: High""), ""High"", """")))"),"Low")</f>
        <v>Low</v>
      </c>
      <c r="T674" s="27" t="str">
        <f>IFERROR(__xludf.DUMMYFUNCTION("IF(REGEXMATCH(N674, ""STATUS: Dev Complete - Awaiting QA""), ""Dev Complete - Awaiting QA"", IF(REGEXMATCH(N674, ""STATUS: Follow-Up Required""), ""Follow-Up Required"", IF(REGEXMATCH(N674, ""STATUS: In Progress""), ""In Progress"", IF(REGEXMATCH(N674, """&amp;"STATUS: In QA""), ""In QA"", IF(REGEXMATCH(N674, ""STATUS: Needs Customer Feedback""), ""Needs Customer Feedback"", IF(REGEXMATCH(N674, ""STATUS: QA Passed - Awaiting Release""), ""QA Passed - Awaiting Release"", IF(REGEXMATCH(N674, ""STATUS: Release to P"&amp;"rod""), ""Release to Prod"", """")))))))"),"")</f>
        <v/>
      </c>
    </row>
    <row r="675" hidden="1">
      <c r="A675" s="61" t="s">
        <v>48</v>
      </c>
      <c r="B675" s="12" t="s">
        <v>49</v>
      </c>
      <c r="C675" s="61">
        <v>12.0</v>
      </c>
      <c r="D675" s="62" t="s">
        <v>3269</v>
      </c>
      <c r="E675" s="56" t="s">
        <v>173</v>
      </c>
      <c r="F675" s="61" t="s">
        <v>3270</v>
      </c>
      <c r="G675" s="57" t="str">
        <f t="shared" si="1"/>
        <v>18-Aug-2025</v>
      </c>
      <c r="H675" s="61" t="s">
        <v>54</v>
      </c>
      <c r="I675" s="61" t="s">
        <v>3271</v>
      </c>
      <c r="J675" s="27" t="str">
        <f t="shared" si="4"/>
        <v>16-Sep-2025</v>
      </c>
      <c r="K675" s="61" t="s">
        <v>3271</v>
      </c>
      <c r="L675" s="27" t="str">
        <f t="shared" si="5"/>
        <v>16-Sep-2025</v>
      </c>
      <c r="M675" s="63" t="s">
        <v>285</v>
      </c>
      <c r="N675" s="61" t="s">
        <v>3272</v>
      </c>
      <c r="O675" s="61" t="s">
        <v>54</v>
      </c>
      <c r="P675" s="61">
        <v>1.0</v>
      </c>
      <c r="Q675" s="66" t="s">
        <v>3273</v>
      </c>
      <c r="R675" s="27" t="str">
        <f>IFERROR(__xludf.DUMMYFUNCTION("IF(REGEXMATCH(N675, ""PRIORITY: Low""), ""Low"", IF(REGEXMATCH(N675, ""PRIORITY: Medium""), ""Medium"", IF(REGEXMATCH(N675, ""PRIORITY: High""), ""High"", """")))
"),"High")</f>
        <v>High</v>
      </c>
      <c r="S675" s="27" t="str">
        <f>IFERROR(__xludf.DUMMYFUNCTION("IF(REGEXMATCH(N675, ""SKILL: Low""), ""Low"", IF(REGEXMATCH(N675, ""SKILL: Medium""), ""Medium"", IF(REGEXMATCH(N675, ""SKILL: High""), ""High"", """")))"),"Medium")</f>
        <v>Medium</v>
      </c>
      <c r="T675" s="27" t="str">
        <f>IFERROR(__xludf.DUMMYFUNCTION("IF(REGEXMATCH(N675, ""STATUS: Dev Complete - Awaiting QA""), ""Dev Complete - Awaiting QA"", IF(REGEXMATCH(N675, ""STATUS: Follow-Up Required""), ""Follow-Up Required"", IF(REGEXMATCH(N675, ""STATUS: In Progress""), ""In Progress"", IF(REGEXMATCH(N675, """&amp;"STATUS: In QA""), ""In QA"", IF(REGEXMATCH(N675, ""STATUS: Needs Customer Feedback""), ""Needs Customer Feedback"", IF(REGEXMATCH(N675, ""STATUS: QA Passed - Awaiting Release""), ""QA Passed - Awaiting Release"", IF(REGEXMATCH(N675, ""STATUS: Release to P"&amp;"rod""), ""Release to Prod"", """")))))))"),"")</f>
        <v/>
      </c>
    </row>
    <row r="676" hidden="1">
      <c r="A676" s="61" t="s">
        <v>48</v>
      </c>
      <c r="B676" s="12" t="s">
        <v>49</v>
      </c>
      <c r="C676" s="61">
        <v>11.0</v>
      </c>
      <c r="D676" s="62" t="s">
        <v>3274</v>
      </c>
      <c r="E676" s="56" t="s">
        <v>173</v>
      </c>
      <c r="F676" s="61" t="s">
        <v>3275</v>
      </c>
      <c r="G676" s="57" t="str">
        <f t="shared" si="1"/>
        <v>11-Aug-2025</v>
      </c>
      <c r="H676" s="61" t="s">
        <v>54</v>
      </c>
      <c r="I676" s="61" t="s">
        <v>3276</v>
      </c>
      <c r="J676" s="27" t="str">
        <f t="shared" si="4"/>
        <v>16-Sep-2025</v>
      </c>
      <c r="K676" s="61" t="s">
        <v>3276</v>
      </c>
      <c r="L676" s="27" t="str">
        <f t="shared" si="5"/>
        <v>16-Sep-2025</v>
      </c>
      <c r="M676" s="63" t="s">
        <v>285</v>
      </c>
      <c r="N676" s="61" t="s">
        <v>3254</v>
      </c>
      <c r="O676" s="61" t="s">
        <v>54</v>
      </c>
      <c r="P676" s="61">
        <v>1.0</v>
      </c>
      <c r="Q676" s="66" t="s">
        <v>3277</v>
      </c>
      <c r="R676" s="27" t="str">
        <f>IFERROR(__xludf.DUMMYFUNCTION("IF(REGEXMATCH(N676, ""PRIORITY: Low""), ""Low"", IF(REGEXMATCH(N676, ""PRIORITY: Medium""), ""Medium"", IF(REGEXMATCH(N676, ""PRIORITY: High""), ""High"", """")))
"),"Low")</f>
        <v>Low</v>
      </c>
      <c r="S676" s="27" t="str">
        <f>IFERROR(__xludf.DUMMYFUNCTION("IF(REGEXMATCH(N676, ""SKILL: Low""), ""Low"", IF(REGEXMATCH(N676, ""SKILL: Medium""), ""Medium"", IF(REGEXMATCH(N676, ""SKILL: High""), ""High"", """")))"),"Low")</f>
        <v>Low</v>
      </c>
      <c r="T676" s="27" t="str">
        <f>IFERROR(__xludf.DUMMYFUNCTION("IF(REGEXMATCH(N676, ""STATUS: Dev Complete - Awaiting QA""), ""Dev Complete - Awaiting QA"", IF(REGEXMATCH(N676, ""STATUS: Follow-Up Required""), ""Follow-Up Required"", IF(REGEXMATCH(N676, ""STATUS: In Progress""), ""In Progress"", IF(REGEXMATCH(N676, """&amp;"STATUS: In QA""), ""In QA"", IF(REGEXMATCH(N676, ""STATUS: Needs Customer Feedback""), ""Needs Customer Feedback"", IF(REGEXMATCH(N676, ""STATUS: QA Passed - Awaiting Release""), ""QA Passed - Awaiting Release"", IF(REGEXMATCH(N676, ""STATUS: Release to P"&amp;"rod""), ""Release to Prod"", """")))))))"),"")</f>
        <v/>
      </c>
    </row>
    <row r="677" hidden="1">
      <c r="A677" s="61" t="s">
        <v>48</v>
      </c>
      <c r="B677" s="12" t="s">
        <v>49</v>
      </c>
      <c r="C677" s="61">
        <v>10.0</v>
      </c>
      <c r="D677" s="62" t="s">
        <v>3278</v>
      </c>
      <c r="E677" s="56" t="s">
        <v>173</v>
      </c>
      <c r="F677" s="61" t="s">
        <v>3279</v>
      </c>
      <c r="G677" s="57" t="str">
        <f t="shared" si="1"/>
        <v>11-Aug-2025</v>
      </c>
      <c r="H677" s="61" t="s">
        <v>54</v>
      </c>
      <c r="I677" s="61" t="s">
        <v>3280</v>
      </c>
      <c r="J677" s="27" t="str">
        <f t="shared" si="4"/>
        <v>16-Sep-2025</v>
      </c>
      <c r="K677" s="61" t="s">
        <v>3280</v>
      </c>
      <c r="L677" s="27" t="str">
        <f t="shared" si="5"/>
        <v>16-Sep-2025</v>
      </c>
      <c r="M677" s="63" t="s">
        <v>291</v>
      </c>
      <c r="N677" s="61" t="s">
        <v>250</v>
      </c>
      <c r="O677" s="61" t="s">
        <v>54</v>
      </c>
      <c r="P677" s="61">
        <v>2.0</v>
      </c>
      <c r="Q677" s="66" t="s">
        <v>3281</v>
      </c>
      <c r="R677" s="27" t="str">
        <f>IFERROR(__xludf.DUMMYFUNCTION("IF(REGEXMATCH(N677, ""PRIORITY: Low""), ""Low"", IF(REGEXMATCH(N677, ""PRIORITY: Medium""), ""Medium"", IF(REGEXMATCH(N677, ""PRIORITY: High""), ""High"", """")))
"),"Low")</f>
        <v>Low</v>
      </c>
      <c r="S677" s="27" t="str">
        <f>IFERROR(__xludf.DUMMYFUNCTION("IF(REGEXMATCH(N677, ""SKILL: Low""), ""Low"", IF(REGEXMATCH(N677, ""SKILL: Medium""), ""Medium"", IF(REGEXMATCH(N677, ""SKILL: High""), ""High"", """")))"),"Low")</f>
        <v>Low</v>
      </c>
      <c r="T677" s="27" t="str">
        <f>IFERROR(__xludf.DUMMYFUNCTION("IF(REGEXMATCH(N677, ""STATUS: Dev Complete - Awaiting QA""), ""Dev Complete - Awaiting QA"", IF(REGEXMATCH(N677, ""STATUS: Follow-Up Required""), ""Follow-Up Required"", IF(REGEXMATCH(N677, ""STATUS: In Progress""), ""In Progress"", IF(REGEXMATCH(N677, """&amp;"STATUS: In QA""), ""In QA"", IF(REGEXMATCH(N677, ""STATUS: Needs Customer Feedback""), ""Needs Customer Feedback"", IF(REGEXMATCH(N677, ""STATUS: QA Passed - Awaiting Release""), ""QA Passed - Awaiting Release"", IF(REGEXMATCH(N677, ""STATUS: Release to P"&amp;"rod""), ""Release to Prod"", """")))))))"),"In Progress")</f>
        <v>In Progress</v>
      </c>
    </row>
    <row r="678" hidden="1">
      <c r="A678" s="61" t="s">
        <v>48</v>
      </c>
      <c r="B678" s="12" t="s">
        <v>49</v>
      </c>
      <c r="C678" s="61">
        <v>9.0</v>
      </c>
      <c r="D678" s="62" t="s">
        <v>3282</v>
      </c>
      <c r="E678" s="56" t="s">
        <v>173</v>
      </c>
      <c r="F678" s="61" t="s">
        <v>3283</v>
      </c>
      <c r="G678" s="57" t="str">
        <f t="shared" si="1"/>
        <v>11-Aug-2025</v>
      </c>
      <c r="H678" s="61" t="s">
        <v>54</v>
      </c>
      <c r="I678" s="61" t="s">
        <v>3284</v>
      </c>
      <c r="J678" s="27" t="str">
        <f t="shared" si="4"/>
        <v>26-Nov-2025</v>
      </c>
      <c r="K678" s="61" t="s">
        <v>3284</v>
      </c>
      <c r="L678" s="27" t="str">
        <f t="shared" si="5"/>
        <v>26-Nov-2025</v>
      </c>
      <c r="M678" s="63" t="s">
        <v>285</v>
      </c>
      <c r="N678" s="61" t="s">
        <v>3254</v>
      </c>
      <c r="O678" s="61" t="s">
        <v>54</v>
      </c>
      <c r="P678" s="61">
        <v>2.0</v>
      </c>
      <c r="Q678" s="66" t="s">
        <v>3285</v>
      </c>
      <c r="R678" s="27" t="str">
        <f>IFERROR(__xludf.DUMMYFUNCTION("IF(REGEXMATCH(N678, ""PRIORITY: Low""), ""Low"", IF(REGEXMATCH(N678, ""PRIORITY: Medium""), ""Medium"", IF(REGEXMATCH(N678, ""PRIORITY: High""), ""High"", """")))
"),"Low")</f>
        <v>Low</v>
      </c>
      <c r="S678" s="27" t="str">
        <f>IFERROR(__xludf.DUMMYFUNCTION("IF(REGEXMATCH(N678, ""SKILL: Low""), ""Low"", IF(REGEXMATCH(N678, ""SKILL: Medium""), ""Medium"", IF(REGEXMATCH(N678, ""SKILL: High""), ""High"", """")))"),"Low")</f>
        <v>Low</v>
      </c>
      <c r="T678" s="27" t="str">
        <f>IFERROR(__xludf.DUMMYFUNCTION("IF(REGEXMATCH(N678, ""STATUS: Dev Complete - Awaiting QA""), ""Dev Complete - Awaiting QA"", IF(REGEXMATCH(N678, ""STATUS: Follow-Up Required""), ""Follow-Up Required"", IF(REGEXMATCH(N678, ""STATUS: In Progress""), ""In Progress"", IF(REGEXMATCH(N678, """&amp;"STATUS: In QA""), ""In QA"", IF(REGEXMATCH(N678, ""STATUS: Needs Customer Feedback""), ""Needs Customer Feedback"", IF(REGEXMATCH(N678, ""STATUS: QA Passed - Awaiting Release""), ""QA Passed - Awaiting Release"", IF(REGEXMATCH(N678, ""STATUS: Release to P"&amp;"rod""), ""Release to Prod"", """")))))))"),"")</f>
        <v/>
      </c>
    </row>
    <row r="679" hidden="1">
      <c r="A679" s="61" t="s">
        <v>48</v>
      </c>
      <c r="B679" s="12" t="s">
        <v>49</v>
      </c>
      <c r="C679" s="61">
        <v>8.0</v>
      </c>
      <c r="D679" s="62" t="s">
        <v>3286</v>
      </c>
      <c r="E679" s="56" t="s">
        <v>173</v>
      </c>
      <c r="F679" s="61" t="s">
        <v>3287</v>
      </c>
      <c r="G679" s="57" t="str">
        <f t="shared" si="1"/>
        <v>11-Aug-2025</v>
      </c>
      <c r="H679" s="61" t="s">
        <v>57</v>
      </c>
      <c r="I679" s="61" t="s">
        <v>3288</v>
      </c>
      <c r="J679" s="27" t="str">
        <f t="shared" si="4"/>
        <v>16-Sep-2025</v>
      </c>
      <c r="K679" s="61" t="s">
        <v>3288</v>
      </c>
      <c r="L679" s="27" t="str">
        <f t="shared" si="5"/>
        <v>16-Sep-2025</v>
      </c>
      <c r="M679" s="63" t="s">
        <v>291</v>
      </c>
      <c r="N679" s="61" t="s">
        <v>3245</v>
      </c>
      <c r="O679" s="61" t="s">
        <v>54</v>
      </c>
      <c r="P679" s="61">
        <v>1.0</v>
      </c>
      <c r="Q679" s="66" t="s">
        <v>3289</v>
      </c>
      <c r="R679" s="27" t="str">
        <f>IFERROR(__xludf.DUMMYFUNCTION("IF(REGEXMATCH(N679, ""PRIORITY: Low""), ""Low"", IF(REGEXMATCH(N679, ""PRIORITY: Medium""), ""Medium"", IF(REGEXMATCH(N679, ""PRIORITY: High""), ""High"", """")))
"),"Medium")</f>
        <v>Medium</v>
      </c>
      <c r="S679" s="27" t="str">
        <f>IFERROR(__xludf.DUMMYFUNCTION("IF(REGEXMATCH(N679, ""SKILL: Low""), ""Low"", IF(REGEXMATCH(N679, ""SKILL: Medium""), ""Medium"", IF(REGEXMATCH(N679, ""SKILL: High""), ""High"", """")))"),"Low")</f>
        <v>Low</v>
      </c>
      <c r="T679" s="27" t="str">
        <f>IFERROR(__xludf.DUMMYFUNCTION("IF(REGEXMATCH(N679, ""STATUS: Dev Complete - Awaiting QA""), ""Dev Complete - Awaiting QA"", IF(REGEXMATCH(N679, ""STATUS: Follow-Up Required""), ""Follow-Up Required"", IF(REGEXMATCH(N679, ""STATUS: In Progress""), ""In Progress"", IF(REGEXMATCH(N679, """&amp;"STATUS: In QA""), ""In QA"", IF(REGEXMATCH(N679, ""STATUS: Needs Customer Feedback""), ""Needs Customer Feedback"", IF(REGEXMATCH(N679, ""STATUS: QA Passed - Awaiting Release""), ""QA Passed - Awaiting Release"", IF(REGEXMATCH(N679, ""STATUS: Release to P"&amp;"rod""), ""Release to Prod"", """")))))))"),"")</f>
        <v/>
      </c>
    </row>
    <row r="680" hidden="1">
      <c r="A680" s="61" t="s">
        <v>48</v>
      </c>
      <c r="B680" s="12" t="s">
        <v>49</v>
      </c>
      <c r="C680" s="61">
        <v>7.0</v>
      </c>
      <c r="D680" s="62" t="s">
        <v>3290</v>
      </c>
      <c r="E680" s="56" t="s">
        <v>173</v>
      </c>
      <c r="F680" s="61" t="s">
        <v>3291</v>
      </c>
      <c r="G680" s="57" t="str">
        <f t="shared" si="1"/>
        <v>11-Aug-2025</v>
      </c>
      <c r="H680" s="61" t="s">
        <v>57</v>
      </c>
      <c r="I680" s="61" t="s">
        <v>3292</v>
      </c>
      <c r="J680" s="27" t="str">
        <f t="shared" si="4"/>
        <v>16-Sep-2025</v>
      </c>
      <c r="K680" s="61" t="s">
        <v>3292</v>
      </c>
      <c r="L680" s="27" t="str">
        <f t="shared" si="5"/>
        <v>16-Sep-2025</v>
      </c>
      <c r="M680" s="63" t="s">
        <v>291</v>
      </c>
      <c r="N680" s="61" t="s">
        <v>3245</v>
      </c>
      <c r="O680" s="61" t="s">
        <v>54</v>
      </c>
      <c r="P680" s="61">
        <v>1.0</v>
      </c>
      <c r="Q680" s="66" t="s">
        <v>3293</v>
      </c>
      <c r="R680" s="27" t="str">
        <f>IFERROR(__xludf.DUMMYFUNCTION("IF(REGEXMATCH(N680, ""PRIORITY: Low""), ""Low"", IF(REGEXMATCH(N680, ""PRIORITY: Medium""), ""Medium"", IF(REGEXMATCH(N680, ""PRIORITY: High""), ""High"", """")))
"),"Medium")</f>
        <v>Medium</v>
      </c>
      <c r="S680" s="27" t="str">
        <f>IFERROR(__xludf.DUMMYFUNCTION("IF(REGEXMATCH(N680, ""SKILL: Low""), ""Low"", IF(REGEXMATCH(N680, ""SKILL: Medium""), ""Medium"", IF(REGEXMATCH(N680, ""SKILL: High""), ""High"", """")))"),"Low")</f>
        <v>Low</v>
      </c>
      <c r="T680" s="27" t="str">
        <f>IFERROR(__xludf.DUMMYFUNCTION("IF(REGEXMATCH(N680, ""STATUS: Dev Complete - Awaiting QA""), ""Dev Complete - Awaiting QA"", IF(REGEXMATCH(N680, ""STATUS: Follow-Up Required""), ""Follow-Up Required"", IF(REGEXMATCH(N680, ""STATUS: In Progress""), ""In Progress"", IF(REGEXMATCH(N680, """&amp;"STATUS: In QA""), ""In QA"", IF(REGEXMATCH(N680, ""STATUS: Needs Customer Feedback""), ""Needs Customer Feedback"", IF(REGEXMATCH(N680, ""STATUS: QA Passed - Awaiting Release""), ""QA Passed - Awaiting Release"", IF(REGEXMATCH(N680, ""STATUS: Release to P"&amp;"rod""), ""Release to Prod"", """")))))))"),"")</f>
        <v/>
      </c>
    </row>
    <row r="681" hidden="1">
      <c r="A681" s="61" t="s">
        <v>48</v>
      </c>
      <c r="B681" s="12" t="s">
        <v>49</v>
      </c>
      <c r="C681" s="61">
        <v>6.0</v>
      </c>
      <c r="D681" s="62" t="s">
        <v>3294</v>
      </c>
      <c r="E681" s="56" t="s">
        <v>173</v>
      </c>
      <c r="F681" s="61" t="s">
        <v>3295</v>
      </c>
      <c r="G681" s="57" t="str">
        <f t="shared" si="1"/>
        <v>11-Aug-2025</v>
      </c>
      <c r="H681" s="61" t="s">
        <v>54</v>
      </c>
      <c r="I681" s="61" t="s">
        <v>3296</v>
      </c>
      <c r="J681" s="27" t="str">
        <f t="shared" si="4"/>
        <v>16-Sep-2025</v>
      </c>
      <c r="K681" s="61" t="s">
        <v>3296</v>
      </c>
      <c r="L681" s="27" t="str">
        <f t="shared" si="5"/>
        <v>16-Sep-2025</v>
      </c>
      <c r="M681" s="63" t="s">
        <v>285</v>
      </c>
      <c r="N681" s="61" t="s">
        <v>3245</v>
      </c>
      <c r="O681" s="61" t="s">
        <v>54</v>
      </c>
      <c r="P681" s="61">
        <v>1.0</v>
      </c>
      <c r="Q681" s="66" t="s">
        <v>3297</v>
      </c>
      <c r="R681" s="27" t="str">
        <f>IFERROR(__xludf.DUMMYFUNCTION("IF(REGEXMATCH(N681, ""PRIORITY: Low""), ""Low"", IF(REGEXMATCH(N681, ""PRIORITY: Medium""), ""Medium"", IF(REGEXMATCH(N681, ""PRIORITY: High""), ""High"", """")))
"),"Medium")</f>
        <v>Medium</v>
      </c>
      <c r="S681" s="27" t="str">
        <f>IFERROR(__xludf.DUMMYFUNCTION("IF(REGEXMATCH(N681, ""SKILL: Low""), ""Low"", IF(REGEXMATCH(N681, ""SKILL: Medium""), ""Medium"", IF(REGEXMATCH(N681, ""SKILL: High""), ""High"", """")))"),"Low")</f>
        <v>Low</v>
      </c>
      <c r="T681" s="27" t="str">
        <f>IFERROR(__xludf.DUMMYFUNCTION("IF(REGEXMATCH(N681, ""STATUS: Dev Complete - Awaiting QA""), ""Dev Complete - Awaiting QA"", IF(REGEXMATCH(N681, ""STATUS: Follow-Up Required""), ""Follow-Up Required"", IF(REGEXMATCH(N681, ""STATUS: In Progress""), ""In Progress"", IF(REGEXMATCH(N681, """&amp;"STATUS: In QA""), ""In QA"", IF(REGEXMATCH(N681, ""STATUS: Needs Customer Feedback""), ""Needs Customer Feedback"", IF(REGEXMATCH(N681, ""STATUS: QA Passed - Awaiting Release""), ""QA Passed - Awaiting Release"", IF(REGEXMATCH(N681, ""STATUS: Release to P"&amp;"rod""), ""Release to Prod"", """")))))))"),"")</f>
        <v/>
      </c>
    </row>
    <row r="682" hidden="1">
      <c r="A682" s="61" t="s">
        <v>48</v>
      </c>
      <c r="B682" s="12" t="s">
        <v>49</v>
      </c>
      <c r="C682" s="61">
        <v>5.0</v>
      </c>
      <c r="D682" s="62" t="s">
        <v>3298</v>
      </c>
      <c r="E682" s="56" t="s">
        <v>173</v>
      </c>
      <c r="F682" s="61" t="s">
        <v>3299</v>
      </c>
      <c r="G682" s="57" t="str">
        <f t="shared" si="1"/>
        <v>05-Aug-2025</v>
      </c>
      <c r="H682" s="61" t="s">
        <v>54</v>
      </c>
      <c r="I682" s="61" t="s">
        <v>3300</v>
      </c>
      <c r="J682" s="27" t="str">
        <f t="shared" si="4"/>
        <v>20-Nov-2025</v>
      </c>
      <c r="K682" s="61" t="s">
        <v>3300</v>
      </c>
      <c r="L682" s="27" t="str">
        <f t="shared" si="5"/>
        <v>20-Nov-2025</v>
      </c>
      <c r="M682" s="63" t="s">
        <v>249</v>
      </c>
      <c r="N682" s="61" t="s">
        <v>250</v>
      </c>
      <c r="O682" s="61" t="s">
        <v>54</v>
      </c>
      <c r="P682" s="61">
        <v>0.0</v>
      </c>
      <c r="Q682" s="66" t="s">
        <v>3301</v>
      </c>
      <c r="R682" s="27" t="str">
        <f>IFERROR(__xludf.DUMMYFUNCTION("IF(REGEXMATCH(N682, ""PRIORITY: Low""), ""Low"", IF(REGEXMATCH(N682, ""PRIORITY: Medium""), ""Medium"", IF(REGEXMATCH(N682, ""PRIORITY: High""), ""High"", """")))
"),"Low")</f>
        <v>Low</v>
      </c>
      <c r="S682" s="27" t="str">
        <f>IFERROR(__xludf.DUMMYFUNCTION("IF(REGEXMATCH(N682, ""SKILL: Low""), ""Low"", IF(REGEXMATCH(N682, ""SKILL: Medium""), ""Medium"", IF(REGEXMATCH(N682, ""SKILL: High""), ""High"", """")))"),"Low")</f>
        <v>Low</v>
      </c>
      <c r="T682" s="27" t="str">
        <f>IFERROR(__xludf.DUMMYFUNCTION("IF(REGEXMATCH(N682, ""STATUS: Dev Complete - Awaiting QA""), ""Dev Complete - Awaiting QA"", IF(REGEXMATCH(N682, ""STATUS: Follow-Up Required""), ""Follow-Up Required"", IF(REGEXMATCH(N682, ""STATUS: In Progress""), ""In Progress"", IF(REGEXMATCH(N682, """&amp;"STATUS: In QA""), ""In QA"", IF(REGEXMATCH(N682, ""STATUS: Needs Customer Feedback""), ""Needs Customer Feedback"", IF(REGEXMATCH(N682, ""STATUS: QA Passed - Awaiting Release""), ""QA Passed - Awaiting Release"", IF(REGEXMATCH(N682, ""STATUS: Release to P"&amp;"rod""), ""Release to Prod"", """")))))))"),"In Progress")</f>
        <v>In Progress</v>
      </c>
    </row>
    <row r="683" hidden="1">
      <c r="A683" s="61" t="s">
        <v>48</v>
      </c>
      <c r="B683" s="12" t="s">
        <v>49</v>
      </c>
      <c r="C683" s="61">
        <v>4.0</v>
      </c>
      <c r="D683" s="62" t="s">
        <v>3302</v>
      </c>
      <c r="E683" s="56" t="s">
        <v>173</v>
      </c>
      <c r="F683" s="61" t="s">
        <v>3303</v>
      </c>
      <c r="G683" s="57" t="str">
        <f t="shared" si="1"/>
        <v>05-Aug-2025</v>
      </c>
      <c r="H683" s="61" t="s">
        <v>54</v>
      </c>
      <c r="I683" s="61" t="s">
        <v>3304</v>
      </c>
      <c r="J683" s="27" t="str">
        <f t="shared" si="4"/>
        <v>20-Nov-2025</v>
      </c>
      <c r="K683" s="61" t="s">
        <v>3304</v>
      </c>
      <c r="L683" s="27" t="str">
        <f t="shared" si="5"/>
        <v>20-Nov-2025</v>
      </c>
      <c r="M683" s="63" t="s">
        <v>285</v>
      </c>
      <c r="N683" s="61" t="s">
        <v>3240</v>
      </c>
      <c r="O683" s="61" t="s">
        <v>3305</v>
      </c>
      <c r="P683" s="61">
        <v>0.0</v>
      </c>
      <c r="Q683" s="66" t="s">
        <v>3306</v>
      </c>
      <c r="R683" s="27" t="str">
        <f>IFERROR(__xludf.DUMMYFUNCTION("IF(REGEXMATCH(N683, ""PRIORITY: Low""), ""Low"", IF(REGEXMATCH(N683, ""PRIORITY: Medium""), ""Medium"", IF(REGEXMATCH(N683, ""PRIORITY: High""), ""High"", """")))
"),"Low")</f>
        <v>Low</v>
      </c>
      <c r="S683" s="27" t="str">
        <f>IFERROR(__xludf.DUMMYFUNCTION("IF(REGEXMATCH(N683, ""SKILL: Low""), ""Low"", IF(REGEXMATCH(N683, ""SKILL: Medium""), ""Medium"", IF(REGEXMATCH(N683, ""SKILL: High""), ""High"", """")))"),"Medium")</f>
        <v>Medium</v>
      </c>
      <c r="T683" s="27" t="str">
        <f>IFERROR(__xludf.DUMMYFUNCTION("IF(REGEXMATCH(N683, ""STATUS: Dev Complete - Awaiting QA""), ""Dev Complete - Awaiting QA"", IF(REGEXMATCH(N683, ""STATUS: Follow-Up Required""), ""Follow-Up Required"", IF(REGEXMATCH(N683, ""STATUS: In Progress""), ""In Progress"", IF(REGEXMATCH(N683, """&amp;"STATUS: In QA""), ""In QA"", IF(REGEXMATCH(N683, ""STATUS: Needs Customer Feedback""), ""Needs Customer Feedback"", IF(REGEXMATCH(N683, ""STATUS: QA Passed - Awaiting Release""), ""QA Passed - Awaiting Release"", IF(REGEXMATCH(N683, ""STATUS: Release to P"&amp;"rod""), ""Release to Prod"", """")))))))"),"In Progress")</f>
        <v>In Progress</v>
      </c>
    </row>
    <row r="684" hidden="1">
      <c r="A684" s="61" t="s">
        <v>48</v>
      </c>
      <c r="B684" s="12" t="s">
        <v>49</v>
      </c>
      <c r="C684" s="61">
        <v>3.0</v>
      </c>
      <c r="D684" s="62" t="s">
        <v>3307</v>
      </c>
      <c r="E684" s="56" t="s">
        <v>173</v>
      </c>
      <c r="F684" s="61" t="s">
        <v>3308</v>
      </c>
      <c r="G684" s="57" t="str">
        <f t="shared" si="1"/>
        <v>05-Aug-2025</v>
      </c>
      <c r="H684" s="61" t="s">
        <v>54</v>
      </c>
      <c r="I684" s="61" t="s">
        <v>3309</v>
      </c>
      <c r="J684" s="27" t="str">
        <f t="shared" si="4"/>
        <v>20-Nov-2025</v>
      </c>
      <c r="K684" s="61" t="s">
        <v>3309</v>
      </c>
      <c r="L684" s="27" t="str">
        <f t="shared" si="5"/>
        <v>20-Nov-2025</v>
      </c>
      <c r="M684" s="63" t="s">
        <v>285</v>
      </c>
      <c r="N684" s="61" t="s">
        <v>250</v>
      </c>
      <c r="O684" s="61" t="s">
        <v>3305</v>
      </c>
      <c r="P684" s="61">
        <v>0.0</v>
      </c>
      <c r="Q684" s="66" t="s">
        <v>3310</v>
      </c>
      <c r="R684" s="27" t="str">
        <f>IFERROR(__xludf.DUMMYFUNCTION("IF(REGEXMATCH(N684, ""PRIORITY: Low""), ""Low"", IF(REGEXMATCH(N684, ""PRIORITY: Medium""), ""Medium"", IF(REGEXMATCH(N684, ""PRIORITY: High""), ""High"", """")))
"),"Low")</f>
        <v>Low</v>
      </c>
      <c r="S684" s="27" t="str">
        <f>IFERROR(__xludf.DUMMYFUNCTION("IF(REGEXMATCH(N684, ""SKILL: Low""), ""Low"", IF(REGEXMATCH(N684, ""SKILL: Medium""), ""Medium"", IF(REGEXMATCH(N684, ""SKILL: High""), ""High"", """")))"),"Low")</f>
        <v>Low</v>
      </c>
      <c r="T684" s="27" t="str">
        <f>IFERROR(__xludf.DUMMYFUNCTION("IF(REGEXMATCH(N684, ""STATUS: Dev Complete - Awaiting QA""), ""Dev Complete - Awaiting QA"", IF(REGEXMATCH(N684, ""STATUS: Follow-Up Required""), ""Follow-Up Required"", IF(REGEXMATCH(N684, ""STATUS: In Progress""), ""In Progress"", IF(REGEXMATCH(N684, """&amp;"STATUS: In QA""), ""In QA"", IF(REGEXMATCH(N684, ""STATUS: Needs Customer Feedback""), ""Needs Customer Feedback"", IF(REGEXMATCH(N684, ""STATUS: QA Passed - Awaiting Release""), ""QA Passed - Awaiting Release"", IF(REGEXMATCH(N684, ""STATUS: Release to P"&amp;"rod""), ""Release to Prod"", """")))))))"),"In Progress")</f>
        <v>In Progress</v>
      </c>
    </row>
    <row r="685" hidden="1">
      <c r="A685" s="61" t="s">
        <v>48</v>
      </c>
      <c r="B685" s="12" t="s">
        <v>49</v>
      </c>
      <c r="C685" s="61">
        <v>2.0</v>
      </c>
      <c r="D685" s="62" t="s">
        <v>3311</v>
      </c>
      <c r="E685" s="56" t="s">
        <v>173</v>
      </c>
      <c r="F685" s="61" t="s">
        <v>3312</v>
      </c>
      <c r="G685" s="57" t="str">
        <f t="shared" si="1"/>
        <v>05-Aug-2025</v>
      </c>
      <c r="H685" s="61" t="s">
        <v>54</v>
      </c>
      <c r="I685" s="61" t="s">
        <v>3313</v>
      </c>
      <c r="J685" s="27" t="str">
        <f t="shared" si="4"/>
        <v>20-Nov-2025</v>
      </c>
      <c r="K685" s="61" t="s">
        <v>3313</v>
      </c>
      <c r="L685" s="27" t="str">
        <f t="shared" si="5"/>
        <v>20-Nov-2025</v>
      </c>
      <c r="M685" s="63" t="s">
        <v>285</v>
      </c>
      <c r="N685" s="61" t="s">
        <v>250</v>
      </c>
      <c r="O685" s="61" t="s">
        <v>3305</v>
      </c>
      <c r="P685" s="61">
        <v>0.0</v>
      </c>
      <c r="Q685" s="66" t="s">
        <v>3314</v>
      </c>
      <c r="R685" s="27" t="str">
        <f>IFERROR(__xludf.DUMMYFUNCTION("IF(REGEXMATCH(N685, ""PRIORITY: Low""), ""Low"", IF(REGEXMATCH(N685, ""PRIORITY: Medium""), ""Medium"", IF(REGEXMATCH(N685, ""PRIORITY: High""), ""High"", """")))
"),"Low")</f>
        <v>Low</v>
      </c>
      <c r="S685" s="27" t="str">
        <f>IFERROR(__xludf.DUMMYFUNCTION("IF(REGEXMATCH(N685, ""SKILL: Low""), ""Low"", IF(REGEXMATCH(N685, ""SKILL: Medium""), ""Medium"", IF(REGEXMATCH(N685, ""SKILL: High""), ""High"", """")))"),"Low")</f>
        <v>Low</v>
      </c>
      <c r="T685" s="27" t="str">
        <f>IFERROR(__xludf.DUMMYFUNCTION("IF(REGEXMATCH(N685, ""STATUS: Dev Complete - Awaiting QA""), ""Dev Complete - Awaiting QA"", IF(REGEXMATCH(N685, ""STATUS: Follow-Up Required""), ""Follow-Up Required"", IF(REGEXMATCH(N685, ""STATUS: In Progress""), ""In Progress"", IF(REGEXMATCH(N685, """&amp;"STATUS: In QA""), ""In QA"", IF(REGEXMATCH(N685, ""STATUS: Needs Customer Feedback""), ""Needs Customer Feedback"", IF(REGEXMATCH(N685, ""STATUS: QA Passed - Awaiting Release""), ""QA Passed - Awaiting Release"", IF(REGEXMATCH(N685, ""STATUS: Release to P"&amp;"rod""), ""Release to Prod"", """")))))))"),"In Progress")</f>
        <v>In Progress</v>
      </c>
    </row>
    <row r="686" hidden="1">
      <c r="A686" s="61" t="s">
        <v>48</v>
      </c>
      <c r="B686" s="12" t="s">
        <v>49</v>
      </c>
      <c r="C686" s="61">
        <v>1.0</v>
      </c>
      <c r="D686" s="62" t="s">
        <v>3315</v>
      </c>
      <c r="E686" s="56" t="s">
        <v>173</v>
      </c>
      <c r="F686" s="61" t="s">
        <v>3316</v>
      </c>
      <c r="G686" s="57" t="str">
        <f t="shared" si="1"/>
        <v>05-Aug-2025</v>
      </c>
      <c r="H686" s="61" t="s">
        <v>54</v>
      </c>
      <c r="I686" s="61" t="s">
        <v>3317</v>
      </c>
      <c r="J686" s="27" t="str">
        <f t="shared" si="4"/>
        <v>20-Nov-2025</v>
      </c>
      <c r="K686" s="61" t="s">
        <v>3317</v>
      </c>
      <c r="L686" s="27" t="str">
        <f t="shared" si="5"/>
        <v>20-Nov-2025</v>
      </c>
      <c r="M686" s="63" t="s">
        <v>285</v>
      </c>
      <c r="N686" s="61" t="s">
        <v>3240</v>
      </c>
      <c r="O686" s="61" t="s">
        <v>3305</v>
      </c>
      <c r="P686" s="61">
        <v>0.0</v>
      </c>
      <c r="Q686" s="66" t="s">
        <v>3318</v>
      </c>
      <c r="R686" s="27" t="str">
        <f>IFERROR(__xludf.DUMMYFUNCTION("IF(REGEXMATCH(N686, ""PRIORITY: Low""), ""Low"", IF(REGEXMATCH(N686, ""PRIORITY: Medium""), ""Medium"", IF(REGEXMATCH(N686, ""PRIORITY: High""), ""High"", """")))
"),"Low")</f>
        <v>Low</v>
      </c>
      <c r="S686" s="27" t="str">
        <f>IFERROR(__xludf.DUMMYFUNCTION("IF(REGEXMATCH(N686, ""SKILL: Low""), ""Low"", IF(REGEXMATCH(N686, ""SKILL: Medium""), ""Medium"", IF(REGEXMATCH(N686, ""SKILL: High""), ""High"", """")))"),"Medium")</f>
        <v>Medium</v>
      </c>
      <c r="T686" s="27" t="str">
        <f>IFERROR(__xludf.DUMMYFUNCTION("IF(REGEXMATCH(N686, ""STATUS: Dev Complete - Awaiting QA""), ""Dev Complete - Awaiting QA"", IF(REGEXMATCH(N686, ""STATUS: Follow-Up Required""), ""Follow-Up Required"", IF(REGEXMATCH(N686, ""STATUS: In Progress""), ""In Progress"", IF(REGEXMATCH(N686, """&amp;"STATUS: In QA""), ""In QA"", IF(REGEXMATCH(N686, ""STATUS: Needs Customer Feedback""), ""Needs Customer Feedback"", IF(REGEXMATCH(N686, ""STATUS: QA Passed - Awaiting Release""), ""QA Passed - Awaiting Release"", IF(REGEXMATCH(N686, ""STATUS: Release to P"&amp;"rod""), ""Release to Prod"", """")))))))"),"In Progress")</f>
        <v>In Progress</v>
      </c>
    </row>
    <row r="687">
      <c r="A687" s="61" t="s">
        <v>52</v>
      </c>
      <c r="B687" s="12" t="s">
        <v>53</v>
      </c>
      <c r="C687" s="61">
        <v>215.0</v>
      </c>
      <c r="D687" s="62" t="s">
        <v>3319</v>
      </c>
      <c r="E687" s="56" t="s">
        <v>246</v>
      </c>
      <c r="F687" s="61" t="s">
        <v>3320</v>
      </c>
      <c r="G687" s="57" t="str">
        <f t="shared" si="1"/>
        <v>09-Dec-2025</v>
      </c>
      <c r="H687" s="61" t="s">
        <v>60</v>
      </c>
      <c r="I687" s="61" t="s">
        <v>3320</v>
      </c>
      <c r="J687" s="27" t="str">
        <f t="shared" si="4"/>
        <v>09-Dec-2025</v>
      </c>
      <c r="K687" s="27"/>
      <c r="L687" s="27" t="str">
        <f t="shared" si="5"/>
        <v/>
      </c>
      <c r="M687" s="63" t="s">
        <v>249</v>
      </c>
      <c r="N687" s="61" t="s">
        <v>3321</v>
      </c>
      <c r="O687" s="67" t="s">
        <v>3322</v>
      </c>
      <c r="P687" s="61">
        <v>0.0</v>
      </c>
      <c r="Q687" s="66" t="s">
        <v>3323</v>
      </c>
      <c r="R687" s="27" t="str">
        <f>IFERROR(__xludf.DUMMYFUNCTION("IF(REGEXMATCH(N687, ""PRIORITY: Low""), ""Low"", IF(REGEXMATCH(N687, ""PRIORITY: Medium""), ""Medium"", IF(REGEXMATCH(N687, ""PRIORITY: High""), ""High"", """")))
"),"Low")</f>
        <v>Low</v>
      </c>
      <c r="S687" s="27" t="str">
        <f>IFERROR(__xludf.DUMMYFUNCTION("IF(REGEXMATCH(N687, ""SKILL: Low""), ""Low"", IF(REGEXMATCH(N687, ""SKILL: Medium""), ""Medium"", IF(REGEXMATCH(N687, ""SKILL: High""), ""High"", """")))"),"Low")</f>
        <v>Low</v>
      </c>
      <c r="T687" s="27" t="str">
        <f>IFERROR(__xludf.DUMMYFUNCTION("IF(REGEXMATCH(N687, ""STATUS: Dev Complete - Awaiting QA""), ""Dev Complete - Awaiting QA"", IF(REGEXMATCH(N687, ""STATUS: Follow-Up Required""), ""Follow-Up Required"", IF(REGEXMATCH(N687, ""STATUS: In Progress""), ""In Progress"", IF(REGEXMATCH(N687, """&amp;"STATUS: In QA""), ""In QA"", IF(REGEXMATCH(N687, ""STATUS: Needs Customer Feedback""), ""Needs Customer Feedback"", IF(REGEXMATCH(N687, ""STATUS: QA Passed - Awaiting Release""), ""QA Passed - Awaiting Release"", IF(REGEXMATCH(N687, ""STATUS: Release to P"&amp;"rod""), ""Release to Prod"", """")))))))"),"In Progress")</f>
        <v>In Progress</v>
      </c>
    </row>
    <row r="688" hidden="1">
      <c r="A688" s="61" t="s">
        <v>52</v>
      </c>
      <c r="B688" s="12" t="s">
        <v>53</v>
      </c>
      <c r="C688" s="61">
        <v>202.0</v>
      </c>
      <c r="D688" s="62" t="s">
        <v>3324</v>
      </c>
      <c r="E688" s="56" t="s">
        <v>173</v>
      </c>
      <c r="F688" s="61" t="s">
        <v>3325</v>
      </c>
      <c r="G688" s="57" t="str">
        <f t="shared" si="1"/>
        <v>01-Dec-2025</v>
      </c>
      <c r="H688" s="61" t="s">
        <v>51</v>
      </c>
      <c r="I688" s="61" t="s">
        <v>3326</v>
      </c>
      <c r="J688" s="27" t="str">
        <f t="shared" si="4"/>
        <v>09-Dec-2025</v>
      </c>
      <c r="K688" s="61" t="s">
        <v>3326</v>
      </c>
      <c r="L688" s="27" t="str">
        <f t="shared" si="5"/>
        <v>09-Dec-2025</v>
      </c>
      <c r="M688" s="63" t="s">
        <v>291</v>
      </c>
      <c r="N688" s="61" t="s">
        <v>2810</v>
      </c>
      <c r="O688" s="61" t="s">
        <v>3327</v>
      </c>
      <c r="P688" s="61">
        <v>2.0</v>
      </c>
      <c r="Q688" s="66" t="s">
        <v>3328</v>
      </c>
      <c r="R688" s="27" t="str">
        <f>IFERROR(__xludf.DUMMYFUNCTION("IF(REGEXMATCH(N688, ""PRIORITY: Low""), ""Low"", IF(REGEXMATCH(N688, ""PRIORITY: Medium""), ""Medium"", IF(REGEXMATCH(N688, ""PRIORITY: High""), ""High"", """")))
"),"")</f>
        <v/>
      </c>
      <c r="S688" s="27" t="str">
        <f>IFERROR(__xludf.DUMMYFUNCTION("IF(REGEXMATCH(N688, ""SKILL: Low""), ""Low"", IF(REGEXMATCH(N688, ""SKILL: Medium""), ""Medium"", IF(REGEXMATCH(N688, ""SKILL: High""), ""High"", """")))"),"")</f>
        <v/>
      </c>
      <c r="T688" s="27" t="str">
        <f>IFERROR(__xludf.DUMMYFUNCTION("IF(REGEXMATCH(N688, ""STATUS: Dev Complete - Awaiting QA""), ""Dev Complete - Awaiting QA"", IF(REGEXMATCH(N688, ""STATUS: Follow-Up Required""), ""Follow-Up Required"", IF(REGEXMATCH(N688, ""STATUS: In Progress""), ""In Progress"", IF(REGEXMATCH(N688, """&amp;"STATUS: In QA""), ""In QA"", IF(REGEXMATCH(N688, ""STATUS: Needs Customer Feedback""), ""Needs Customer Feedback"", IF(REGEXMATCH(N688, ""STATUS: QA Passed - Awaiting Release""), ""QA Passed - Awaiting Release"", IF(REGEXMATCH(N688, ""STATUS: Release to P"&amp;"rod""), ""Release to Prod"", """")))))))"),"")</f>
        <v/>
      </c>
    </row>
    <row r="689">
      <c r="A689" s="61" t="s">
        <v>52</v>
      </c>
      <c r="B689" s="12" t="s">
        <v>53</v>
      </c>
      <c r="C689" s="61">
        <v>200.0</v>
      </c>
      <c r="D689" s="62" t="s">
        <v>3329</v>
      </c>
      <c r="E689" s="56" t="s">
        <v>246</v>
      </c>
      <c r="F689" s="61" t="s">
        <v>3330</v>
      </c>
      <c r="G689" s="57" t="str">
        <f t="shared" si="1"/>
        <v>25-Nov-2025</v>
      </c>
      <c r="H689" s="61" t="s">
        <v>57</v>
      </c>
      <c r="I689" s="61" t="s">
        <v>3330</v>
      </c>
      <c r="J689" s="27" t="str">
        <f t="shared" si="4"/>
        <v>25-Nov-2025</v>
      </c>
      <c r="K689" s="27"/>
      <c r="L689" s="27" t="str">
        <f t="shared" si="5"/>
        <v/>
      </c>
      <c r="M689" s="63" t="s">
        <v>249</v>
      </c>
      <c r="N689" s="61" t="s">
        <v>3321</v>
      </c>
      <c r="O689" s="67" t="s">
        <v>3322</v>
      </c>
      <c r="P689" s="61">
        <v>0.0</v>
      </c>
      <c r="Q689" s="66" t="s">
        <v>3331</v>
      </c>
      <c r="R689" s="27" t="str">
        <f>IFERROR(__xludf.DUMMYFUNCTION("IF(REGEXMATCH(N689, ""PRIORITY: Low""), ""Low"", IF(REGEXMATCH(N689, ""PRIORITY: Medium""), ""Medium"", IF(REGEXMATCH(N689, ""PRIORITY: High""), ""High"", """")))
"),"Low")</f>
        <v>Low</v>
      </c>
      <c r="S689" s="27" t="str">
        <f>IFERROR(__xludf.DUMMYFUNCTION("IF(REGEXMATCH(N689, ""SKILL: Low""), ""Low"", IF(REGEXMATCH(N689, ""SKILL: Medium""), ""Medium"", IF(REGEXMATCH(N689, ""SKILL: High""), ""High"", """")))"),"Low")</f>
        <v>Low</v>
      </c>
      <c r="T689" s="27" t="str">
        <f>IFERROR(__xludf.DUMMYFUNCTION("IF(REGEXMATCH(N689, ""STATUS: Dev Complete - Awaiting QA""), ""Dev Complete - Awaiting QA"", IF(REGEXMATCH(N689, ""STATUS: Follow-Up Required""), ""Follow-Up Required"", IF(REGEXMATCH(N689, ""STATUS: In Progress""), ""In Progress"", IF(REGEXMATCH(N689, """&amp;"STATUS: In QA""), ""In QA"", IF(REGEXMATCH(N689, ""STATUS: Needs Customer Feedback""), ""Needs Customer Feedback"", IF(REGEXMATCH(N689, ""STATUS: QA Passed - Awaiting Release""), ""QA Passed - Awaiting Release"", IF(REGEXMATCH(N689, ""STATUS: Release to P"&amp;"rod""), ""Release to Prod"", """")))))))"),"In Progress")</f>
        <v>In Progress</v>
      </c>
    </row>
    <row r="690">
      <c r="A690" s="61" t="s">
        <v>52</v>
      </c>
      <c r="B690" s="12" t="s">
        <v>53</v>
      </c>
      <c r="C690" s="61">
        <v>199.0</v>
      </c>
      <c r="D690" s="62" t="s">
        <v>3332</v>
      </c>
      <c r="E690" s="56" t="s">
        <v>246</v>
      </c>
      <c r="F690" s="61" t="s">
        <v>3333</v>
      </c>
      <c r="G690" s="57" t="str">
        <f t="shared" si="1"/>
        <v>25-Nov-2025</v>
      </c>
      <c r="H690" s="61" t="s">
        <v>57</v>
      </c>
      <c r="I690" s="61" t="s">
        <v>3334</v>
      </c>
      <c r="J690" s="27" t="str">
        <f t="shared" si="4"/>
        <v>25-Nov-2025</v>
      </c>
      <c r="K690" s="27"/>
      <c r="L690" s="27" t="str">
        <f t="shared" si="5"/>
        <v/>
      </c>
      <c r="M690" s="63" t="s">
        <v>249</v>
      </c>
      <c r="N690" s="61" t="s">
        <v>3321</v>
      </c>
      <c r="O690" s="67" t="s">
        <v>51</v>
      </c>
      <c r="P690" s="61">
        <v>0.0</v>
      </c>
      <c r="Q690" s="66" t="s">
        <v>3335</v>
      </c>
      <c r="R690" s="27" t="str">
        <f>IFERROR(__xludf.DUMMYFUNCTION("IF(REGEXMATCH(N690, ""PRIORITY: Low""), ""Low"", IF(REGEXMATCH(N690, ""PRIORITY: Medium""), ""Medium"", IF(REGEXMATCH(N690, ""PRIORITY: High""), ""High"", """")))
"),"Low")</f>
        <v>Low</v>
      </c>
      <c r="S690" s="27" t="str">
        <f>IFERROR(__xludf.DUMMYFUNCTION("IF(REGEXMATCH(N690, ""SKILL: Low""), ""Low"", IF(REGEXMATCH(N690, ""SKILL: Medium""), ""Medium"", IF(REGEXMATCH(N690, ""SKILL: High""), ""High"", """")))"),"Low")</f>
        <v>Low</v>
      </c>
      <c r="T690" s="27" t="str">
        <f>IFERROR(__xludf.DUMMYFUNCTION("IF(REGEXMATCH(N690, ""STATUS: Dev Complete - Awaiting QA""), ""Dev Complete - Awaiting QA"", IF(REGEXMATCH(N690, ""STATUS: Follow-Up Required""), ""Follow-Up Required"", IF(REGEXMATCH(N690, ""STATUS: In Progress""), ""In Progress"", IF(REGEXMATCH(N690, """&amp;"STATUS: In QA""), ""In QA"", IF(REGEXMATCH(N690, ""STATUS: Needs Customer Feedback""), ""Needs Customer Feedback"", IF(REGEXMATCH(N690, ""STATUS: QA Passed - Awaiting Release""), ""QA Passed - Awaiting Release"", IF(REGEXMATCH(N690, ""STATUS: Release to P"&amp;"rod""), ""Release to Prod"", """")))))))"),"In Progress")</f>
        <v>In Progress</v>
      </c>
    </row>
    <row r="691" hidden="1">
      <c r="A691" s="61" t="s">
        <v>52</v>
      </c>
      <c r="B691" s="12" t="s">
        <v>53</v>
      </c>
      <c r="C691" s="61">
        <v>194.0</v>
      </c>
      <c r="D691" s="62" t="s">
        <v>3336</v>
      </c>
      <c r="E691" s="56" t="s">
        <v>173</v>
      </c>
      <c r="F691" s="61" t="s">
        <v>3337</v>
      </c>
      <c r="G691" s="57" t="str">
        <f t="shared" si="1"/>
        <v>19-Nov-2025</v>
      </c>
      <c r="H691" s="61" t="s">
        <v>60</v>
      </c>
      <c r="I691" s="61" t="s">
        <v>3338</v>
      </c>
      <c r="J691" s="27" t="str">
        <f t="shared" si="4"/>
        <v>08-Dec-2025</v>
      </c>
      <c r="K691" s="61" t="s">
        <v>3338</v>
      </c>
      <c r="L691" s="27" t="str">
        <f t="shared" si="5"/>
        <v>08-Dec-2025</v>
      </c>
      <c r="M691" s="63" t="s">
        <v>249</v>
      </c>
      <c r="N691" s="61" t="s">
        <v>3339</v>
      </c>
      <c r="O691" s="61" t="s">
        <v>3322</v>
      </c>
      <c r="P691" s="61">
        <v>2.0</v>
      </c>
      <c r="Q691" s="66" t="s">
        <v>3340</v>
      </c>
      <c r="R691" s="27" t="str">
        <f>IFERROR(__xludf.DUMMYFUNCTION("IF(REGEXMATCH(N691, ""PRIORITY: Low""), ""Low"", IF(REGEXMATCH(N691, ""PRIORITY: Medium""), ""Medium"", IF(REGEXMATCH(N691, ""PRIORITY: High""), ""High"", """")))
"),"Low")</f>
        <v>Low</v>
      </c>
      <c r="S691" s="27" t="str">
        <f>IFERROR(__xludf.DUMMYFUNCTION("IF(REGEXMATCH(N691, ""SKILL: Low""), ""Low"", IF(REGEXMATCH(N691, ""SKILL: Medium""), ""Medium"", IF(REGEXMATCH(N691, ""SKILL: High""), ""High"", """")))"),"Medium")</f>
        <v>Medium</v>
      </c>
      <c r="T691" s="27" t="str">
        <f>IFERROR(__xludf.DUMMYFUNCTION("IF(REGEXMATCH(N691, ""STATUS: Dev Complete - Awaiting QA""), ""Dev Complete - Awaiting QA"", IF(REGEXMATCH(N691, ""STATUS: Follow-Up Required""), ""Follow-Up Required"", IF(REGEXMATCH(N691, ""STATUS: In Progress""), ""In Progress"", IF(REGEXMATCH(N691, """&amp;"STATUS: In QA""), ""In QA"", IF(REGEXMATCH(N691, ""STATUS: Needs Customer Feedback""), ""Needs Customer Feedback"", IF(REGEXMATCH(N691, ""STATUS: QA Passed - Awaiting Release""), ""QA Passed - Awaiting Release"", IF(REGEXMATCH(N691, ""STATUS: Release to P"&amp;"rod""), ""Release to Prod"", """")))))))"),"")</f>
        <v/>
      </c>
    </row>
    <row r="692">
      <c r="A692" s="61" t="s">
        <v>52</v>
      </c>
      <c r="B692" s="12" t="s">
        <v>53</v>
      </c>
      <c r="C692" s="61">
        <v>193.0</v>
      </c>
      <c r="D692" s="62" t="s">
        <v>3341</v>
      </c>
      <c r="E692" s="56" t="s">
        <v>246</v>
      </c>
      <c r="F692" s="61" t="s">
        <v>3342</v>
      </c>
      <c r="G692" s="57" t="str">
        <f t="shared" si="1"/>
        <v>18-Nov-2025</v>
      </c>
      <c r="H692" s="61" t="s">
        <v>51</v>
      </c>
      <c r="I692" s="61" t="s">
        <v>3343</v>
      </c>
      <c r="J692" s="27" t="str">
        <f t="shared" si="4"/>
        <v>19-Nov-2025</v>
      </c>
      <c r="K692" s="27"/>
      <c r="L692" s="27" t="str">
        <f t="shared" si="5"/>
        <v/>
      </c>
      <c r="M692" s="63" t="s">
        <v>291</v>
      </c>
      <c r="N692" s="61" t="s">
        <v>3344</v>
      </c>
      <c r="O692" s="67" t="s">
        <v>51</v>
      </c>
      <c r="P692" s="61">
        <v>1.0</v>
      </c>
      <c r="Q692" s="66" t="s">
        <v>3345</v>
      </c>
      <c r="R692" s="27" t="str">
        <f>IFERROR(__xludf.DUMMYFUNCTION("IF(REGEXMATCH(N692, ""PRIORITY: Low""), ""Low"", IF(REGEXMATCH(N692, ""PRIORITY: Medium""), ""Medium"", IF(REGEXMATCH(N692, ""PRIORITY: High""), ""High"", """")))
"),"Medium")</f>
        <v>Medium</v>
      </c>
      <c r="S692" s="27" t="str">
        <f>IFERROR(__xludf.DUMMYFUNCTION("IF(REGEXMATCH(N692, ""SKILL: Low""), ""Low"", IF(REGEXMATCH(N692, ""SKILL: Medium""), ""Medium"", IF(REGEXMATCH(N692, ""SKILL: High""), ""High"", """")))"),"High")</f>
        <v>High</v>
      </c>
      <c r="T692" s="27" t="str">
        <f>IFERROR(__xludf.DUMMYFUNCTION("IF(REGEXMATCH(N692, ""STATUS: Dev Complete - Awaiting QA""), ""Dev Complete - Awaiting QA"", IF(REGEXMATCH(N692, ""STATUS: Follow-Up Required""), ""Follow-Up Required"", IF(REGEXMATCH(N692, ""STATUS: In Progress""), ""In Progress"", IF(REGEXMATCH(N692, """&amp;"STATUS: In QA""), ""In QA"", IF(REGEXMATCH(N692, ""STATUS: Needs Customer Feedback""), ""Needs Customer Feedback"", IF(REGEXMATCH(N692, ""STATUS: QA Passed - Awaiting Release""), ""QA Passed - Awaiting Release"", IF(REGEXMATCH(N692, ""STATUS: Release to P"&amp;"rod""), ""Release to Prod"", """")))))))"),"In Progress")</f>
        <v>In Progress</v>
      </c>
    </row>
    <row r="693" hidden="1">
      <c r="A693" s="61" t="s">
        <v>52</v>
      </c>
      <c r="B693" s="12" t="s">
        <v>53</v>
      </c>
      <c r="C693" s="61">
        <v>192.0</v>
      </c>
      <c r="D693" s="62" t="s">
        <v>3346</v>
      </c>
      <c r="E693" s="56" t="s">
        <v>173</v>
      </c>
      <c r="F693" s="61" t="s">
        <v>3347</v>
      </c>
      <c r="G693" s="57" t="str">
        <f t="shared" si="1"/>
        <v>18-Nov-2025</v>
      </c>
      <c r="H693" s="61" t="s">
        <v>51</v>
      </c>
      <c r="I693" s="61" t="s">
        <v>3348</v>
      </c>
      <c r="J693" s="27" t="str">
        <f t="shared" si="4"/>
        <v>09-Dec-2025</v>
      </c>
      <c r="K693" s="61" t="s">
        <v>3348</v>
      </c>
      <c r="L693" s="27" t="str">
        <f t="shared" si="5"/>
        <v>09-Dec-2025</v>
      </c>
      <c r="M693" s="63" t="s">
        <v>291</v>
      </c>
      <c r="N693" s="61" t="s">
        <v>1903</v>
      </c>
      <c r="O693" s="61" t="s">
        <v>51</v>
      </c>
      <c r="P693" s="61">
        <v>6.0</v>
      </c>
      <c r="Q693" s="66" t="s">
        <v>3349</v>
      </c>
      <c r="R693" s="27" t="str">
        <f>IFERROR(__xludf.DUMMYFUNCTION("IF(REGEXMATCH(N693, ""PRIORITY: Low""), ""Low"", IF(REGEXMATCH(N693, ""PRIORITY: Medium""), ""Medium"", IF(REGEXMATCH(N693, ""PRIORITY: High""), ""High"", """")))
"),"Medium")</f>
        <v>Medium</v>
      </c>
      <c r="S693" s="27" t="str">
        <f>IFERROR(__xludf.DUMMYFUNCTION("IF(REGEXMATCH(N693, ""SKILL: Low""), ""Low"", IF(REGEXMATCH(N693, ""SKILL: Medium""), ""Medium"", IF(REGEXMATCH(N693, ""SKILL: High""), ""High"", """")))"),"Medium")</f>
        <v>Medium</v>
      </c>
      <c r="T693" s="27" t="str">
        <f>IFERROR(__xludf.DUMMYFUNCTION("IF(REGEXMATCH(N693, ""STATUS: Dev Complete - Awaiting QA""), ""Dev Complete - Awaiting QA"", IF(REGEXMATCH(N693, ""STATUS: Follow-Up Required""), ""Follow-Up Required"", IF(REGEXMATCH(N693, ""STATUS: In Progress""), ""In Progress"", IF(REGEXMATCH(N693, """&amp;"STATUS: In QA""), ""In QA"", IF(REGEXMATCH(N693, ""STATUS: Needs Customer Feedback""), ""Needs Customer Feedback"", IF(REGEXMATCH(N693, ""STATUS: QA Passed - Awaiting Release""), ""QA Passed - Awaiting Release"", IF(REGEXMATCH(N693, ""STATUS: Release to P"&amp;"rod""), ""Release to Prod"", """")))))))"),"")</f>
        <v/>
      </c>
    </row>
    <row r="694" hidden="1">
      <c r="A694" s="61" t="s">
        <v>52</v>
      </c>
      <c r="B694" s="12" t="s">
        <v>53</v>
      </c>
      <c r="C694" s="61">
        <v>187.0</v>
      </c>
      <c r="D694" s="62" t="s">
        <v>3350</v>
      </c>
      <c r="E694" s="56" t="s">
        <v>173</v>
      </c>
      <c r="F694" s="61" t="s">
        <v>3351</v>
      </c>
      <c r="G694" s="57" t="str">
        <f t="shared" si="1"/>
        <v>17-Nov-2025</v>
      </c>
      <c r="H694" s="61" t="s">
        <v>51</v>
      </c>
      <c r="I694" s="61" t="s">
        <v>3352</v>
      </c>
      <c r="J694" s="27" t="str">
        <f t="shared" si="4"/>
        <v>25-Nov-2025</v>
      </c>
      <c r="K694" s="61" t="s">
        <v>3352</v>
      </c>
      <c r="L694" s="27" t="str">
        <f t="shared" si="5"/>
        <v>25-Nov-2025</v>
      </c>
      <c r="M694" s="63" t="s">
        <v>291</v>
      </c>
      <c r="N694" s="61" t="s">
        <v>177</v>
      </c>
      <c r="O694" s="61" t="s">
        <v>51</v>
      </c>
      <c r="P694" s="61">
        <v>1.0</v>
      </c>
      <c r="Q694" s="66" t="s">
        <v>3353</v>
      </c>
      <c r="R694" s="27" t="str">
        <f>IFERROR(__xludf.DUMMYFUNCTION("IF(REGEXMATCH(N694, ""PRIORITY: Low""), ""Low"", IF(REGEXMATCH(N694, ""PRIORITY: Medium""), ""Medium"", IF(REGEXMATCH(N694, ""PRIORITY: High""), ""High"", """")))
"),"")</f>
        <v/>
      </c>
      <c r="S694" s="27" t="str">
        <f>IFERROR(__xludf.DUMMYFUNCTION("IF(REGEXMATCH(N694, ""SKILL: Low""), ""Low"", IF(REGEXMATCH(N694, ""SKILL: Medium""), ""Medium"", IF(REGEXMATCH(N694, ""SKILL: High""), ""High"", """")))"),"")</f>
        <v/>
      </c>
      <c r="T694" s="27" t="str">
        <f>IFERROR(__xludf.DUMMYFUNCTION("IF(REGEXMATCH(N694, ""STATUS: Dev Complete - Awaiting QA""), ""Dev Complete - Awaiting QA"", IF(REGEXMATCH(N694, ""STATUS: Follow-Up Required""), ""Follow-Up Required"", IF(REGEXMATCH(N694, ""STATUS: In Progress""), ""In Progress"", IF(REGEXMATCH(N694, """&amp;"STATUS: In QA""), ""In QA"", IF(REGEXMATCH(N694, ""STATUS: Needs Customer Feedback""), ""Needs Customer Feedback"", IF(REGEXMATCH(N694, ""STATUS: QA Passed - Awaiting Release""), ""QA Passed - Awaiting Release"", IF(REGEXMATCH(N694, ""STATUS: Release to P"&amp;"rod""), ""Release to Prod"", """")))))))"),"")</f>
        <v/>
      </c>
    </row>
    <row r="695" hidden="1">
      <c r="A695" s="61" t="s">
        <v>52</v>
      </c>
      <c r="B695" s="12" t="s">
        <v>53</v>
      </c>
      <c r="C695" s="61">
        <v>183.0</v>
      </c>
      <c r="D695" s="62" t="s">
        <v>3354</v>
      </c>
      <c r="E695" s="56" t="s">
        <v>173</v>
      </c>
      <c r="F695" s="61" t="s">
        <v>3355</v>
      </c>
      <c r="G695" s="57" t="str">
        <f t="shared" si="1"/>
        <v>14-Nov-2025</v>
      </c>
      <c r="H695" s="61" t="s">
        <v>57</v>
      </c>
      <c r="I695" s="61" t="s">
        <v>3356</v>
      </c>
      <c r="J695" s="27" t="str">
        <f t="shared" si="4"/>
        <v>08-Dec-2025</v>
      </c>
      <c r="K695" s="61" t="s">
        <v>3356</v>
      </c>
      <c r="L695" s="27" t="str">
        <f t="shared" si="5"/>
        <v>08-Dec-2025</v>
      </c>
      <c r="M695" s="63" t="s">
        <v>249</v>
      </c>
      <c r="N695" s="61" t="s">
        <v>3339</v>
      </c>
      <c r="O695" s="61" t="s">
        <v>51</v>
      </c>
      <c r="P695" s="61">
        <v>2.0</v>
      </c>
      <c r="Q695" s="66" t="s">
        <v>3357</v>
      </c>
      <c r="R695" s="27" t="str">
        <f>IFERROR(__xludf.DUMMYFUNCTION("IF(REGEXMATCH(N695, ""PRIORITY: Low""), ""Low"", IF(REGEXMATCH(N695, ""PRIORITY: Medium""), ""Medium"", IF(REGEXMATCH(N695, ""PRIORITY: High""), ""High"", """")))
"),"Low")</f>
        <v>Low</v>
      </c>
      <c r="S695" s="27" t="str">
        <f>IFERROR(__xludf.DUMMYFUNCTION("IF(REGEXMATCH(N695, ""SKILL: Low""), ""Low"", IF(REGEXMATCH(N695, ""SKILL: Medium""), ""Medium"", IF(REGEXMATCH(N695, ""SKILL: High""), ""High"", """")))"),"Medium")</f>
        <v>Medium</v>
      </c>
      <c r="T695" s="27" t="str">
        <f>IFERROR(__xludf.DUMMYFUNCTION("IF(REGEXMATCH(N695, ""STATUS: Dev Complete - Awaiting QA""), ""Dev Complete - Awaiting QA"", IF(REGEXMATCH(N695, ""STATUS: Follow-Up Required""), ""Follow-Up Required"", IF(REGEXMATCH(N695, ""STATUS: In Progress""), ""In Progress"", IF(REGEXMATCH(N695, """&amp;"STATUS: In QA""), ""In QA"", IF(REGEXMATCH(N695, ""STATUS: Needs Customer Feedback""), ""Needs Customer Feedback"", IF(REGEXMATCH(N695, ""STATUS: QA Passed - Awaiting Release""), ""QA Passed - Awaiting Release"", IF(REGEXMATCH(N695, ""STATUS: Release to P"&amp;"rod""), ""Release to Prod"", """")))))))"),"")</f>
        <v/>
      </c>
    </row>
    <row r="696" hidden="1">
      <c r="A696" s="61" t="s">
        <v>52</v>
      </c>
      <c r="B696" s="12" t="s">
        <v>53</v>
      </c>
      <c r="C696" s="61">
        <v>176.0</v>
      </c>
      <c r="D696" s="62" t="s">
        <v>3358</v>
      </c>
      <c r="E696" s="56" t="s">
        <v>173</v>
      </c>
      <c r="F696" s="61" t="s">
        <v>3359</v>
      </c>
      <c r="G696" s="57" t="str">
        <f t="shared" si="1"/>
        <v>10-Nov-2025</v>
      </c>
      <c r="H696" s="61" t="s">
        <v>51</v>
      </c>
      <c r="I696" s="61" t="s">
        <v>3360</v>
      </c>
      <c r="J696" s="27" t="str">
        <f t="shared" si="4"/>
        <v>14-Nov-2025</v>
      </c>
      <c r="K696" s="61" t="s">
        <v>3360</v>
      </c>
      <c r="L696" s="27" t="str">
        <f t="shared" si="5"/>
        <v>14-Nov-2025</v>
      </c>
      <c r="M696" s="63" t="s">
        <v>291</v>
      </c>
      <c r="N696" s="61" t="s">
        <v>2810</v>
      </c>
      <c r="O696" s="61" t="s">
        <v>51</v>
      </c>
      <c r="P696" s="61">
        <v>3.0</v>
      </c>
      <c r="Q696" s="66" t="s">
        <v>3361</v>
      </c>
      <c r="R696" s="27" t="str">
        <f>IFERROR(__xludf.DUMMYFUNCTION("IF(REGEXMATCH(N696, ""PRIORITY: Low""), ""Low"", IF(REGEXMATCH(N696, ""PRIORITY: Medium""), ""Medium"", IF(REGEXMATCH(N696, ""PRIORITY: High""), ""High"", """")))
"),"")</f>
        <v/>
      </c>
      <c r="S696" s="27" t="str">
        <f>IFERROR(__xludf.DUMMYFUNCTION("IF(REGEXMATCH(N696, ""SKILL: Low""), ""Low"", IF(REGEXMATCH(N696, ""SKILL: Medium""), ""Medium"", IF(REGEXMATCH(N696, ""SKILL: High""), ""High"", """")))"),"")</f>
        <v/>
      </c>
      <c r="T696" s="27" t="str">
        <f>IFERROR(__xludf.DUMMYFUNCTION("IF(REGEXMATCH(N696, ""STATUS: Dev Complete - Awaiting QA""), ""Dev Complete - Awaiting QA"", IF(REGEXMATCH(N696, ""STATUS: Follow-Up Required""), ""Follow-Up Required"", IF(REGEXMATCH(N696, ""STATUS: In Progress""), ""In Progress"", IF(REGEXMATCH(N696, """&amp;"STATUS: In QA""), ""In QA"", IF(REGEXMATCH(N696, ""STATUS: Needs Customer Feedback""), ""Needs Customer Feedback"", IF(REGEXMATCH(N696, ""STATUS: QA Passed - Awaiting Release""), ""QA Passed - Awaiting Release"", IF(REGEXMATCH(N696, ""STATUS: Release to P"&amp;"rod""), ""Release to Prod"", """")))))))"),"")</f>
        <v/>
      </c>
    </row>
    <row r="697" hidden="1">
      <c r="A697" s="61" t="s">
        <v>52</v>
      </c>
      <c r="B697" s="12" t="s">
        <v>53</v>
      </c>
      <c r="C697" s="61">
        <v>173.0</v>
      </c>
      <c r="D697" s="62" t="s">
        <v>3362</v>
      </c>
      <c r="E697" s="56" t="s">
        <v>173</v>
      </c>
      <c r="F697" s="61" t="s">
        <v>3363</v>
      </c>
      <c r="G697" s="57" t="str">
        <f t="shared" si="1"/>
        <v>06-Nov-2025</v>
      </c>
      <c r="H697" s="61" t="s">
        <v>51</v>
      </c>
      <c r="I697" s="61" t="s">
        <v>3364</v>
      </c>
      <c r="J697" s="27" t="str">
        <f t="shared" si="4"/>
        <v>17-Nov-2025</v>
      </c>
      <c r="K697" s="61" t="s">
        <v>3364</v>
      </c>
      <c r="L697" s="27" t="str">
        <f t="shared" si="5"/>
        <v>17-Nov-2025</v>
      </c>
      <c r="M697" s="63" t="s">
        <v>285</v>
      </c>
      <c r="N697" s="61" t="s">
        <v>3365</v>
      </c>
      <c r="O697" s="61" t="s">
        <v>51</v>
      </c>
      <c r="P697" s="61">
        <v>3.0</v>
      </c>
      <c r="Q697" s="66" t="s">
        <v>3366</v>
      </c>
      <c r="R697" s="27" t="str">
        <f>IFERROR(__xludf.DUMMYFUNCTION("IF(REGEXMATCH(N697, ""PRIORITY: Low""), ""Low"", IF(REGEXMATCH(N697, ""PRIORITY: Medium""), ""Medium"", IF(REGEXMATCH(N697, ""PRIORITY: High""), ""High"", """")))
"),"Medium")</f>
        <v>Medium</v>
      </c>
      <c r="S697" s="27" t="str">
        <f>IFERROR(__xludf.DUMMYFUNCTION("IF(REGEXMATCH(N697, ""SKILL: Low""), ""Low"", IF(REGEXMATCH(N697, ""SKILL: Medium""), ""Medium"", IF(REGEXMATCH(N697, ""SKILL: High""), ""High"", """")))"),"Low")</f>
        <v>Low</v>
      </c>
      <c r="T697" s="27" t="str">
        <f>IFERROR(__xludf.DUMMYFUNCTION("IF(REGEXMATCH(N697, ""STATUS: Dev Complete - Awaiting QA""), ""Dev Complete - Awaiting QA"", IF(REGEXMATCH(N697, ""STATUS: Follow-Up Required""), ""Follow-Up Required"", IF(REGEXMATCH(N697, ""STATUS: In Progress""), ""In Progress"", IF(REGEXMATCH(N697, """&amp;"STATUS: In QA""), ""In QA"", IF(REGEXMATCH(N697, ""STATUS: Needs Customer Feedback""), ""Needs Customer Feedback"", IF(REGEXMATCH(N697, ""STATUS: QA Passed - Awaiting Release""), ""QA Passed - Awaiting Release"", IF(REGEXMATCH(N697, ""STATUS: Release to P"&amp;"rod""), ""Release to Prod"", """")))))))"),"In QA")</f>
        <v>In QA</v>
      </c>
    </row>
    <row r="698" hidden="1">
      <c r="A698" s="61" t="s">
        <v>52</v>
      </c>
      <c r="B698" s="12" t="s">
        <v>53</v>
      </c>
      <c r="C698" s="61">
        <v>171.0</v>
      </c>
      <c r="D698" s="62" t="s">
        <v>3367</v>
      </c>
      <c r="E698" s="56" t="s">
        <v>173</v>
      </c>
      <c r="F698" s="61" t="s">
        <v>3368</v>
      </c>
      <c r="G698" s="57" t="str">
        <f t="shared" si="1"/>
        <v>06-Nov-2025</v>
      </c>
      <c r="H698" s="61" t="s">
        <v>51</v>
      </c>
      <c r="I698" s="61" t="s">
        <v>3369</v>
      </c>
      <c r="J698" s="27" t="str">
        <f t="shared" si="4"/>
        <v>10-Nov-2025</v>
      </c>
      <c r="K698" s="61" t="s">
        <v>3369</v>
      </c>
      <c r="L698" s="27" t="str">
        <f t="shared" si="5"/>
        <v>10-Nov-2025</v>
      </c>
      <c r="M698" s="63" t="s">
        <v>291</v>
      </c>
      <c r="N698" s="61" t="s">
        <v>3370</v>
      </c>
      <c r="O698" s="61" t="s">
        <v>2734</v>
      </c>
      <c r="P698" s="61">
        <v>3.0</v>
      </c>
      <c r="Q698" s="66" t="s">
        <v>3371</v>
      </c>
      <c r="R698" s="27" t="str">
        <f>IFERROR(__xludf.DUMMYFUNCTION("IF(REGEXMATCH(N698, ""PRIORITY: Low""), ""Low"", IF(REGEXMATCH(N698, ""PRIORITY: Medium""), ""Medium"", IF(REGEXMATCH(N698, ""PRIORITY: High""), ""High"", """")))
"),"Medium")</f>
        <v>Medium</v>
      </c>
      <c r="S698" s="27" t="str">
        <f>IFERROR(__xludf.DUMMYFUNCTION("IF(REGEXMATCH(N698, ""SKILL: Low""), ""Low"", IF(REGEXMATCH(N698, ""SKILL: Medium""), ""Medium"", IF(REGEXMATCH(N698, ""SKILL: High""), ""High"", """")))"),"Low")</f>
        <v>Low</v>
      </c>
      <c r="T698" s="27" t="str">
        <f>IFERROR(__xludf.DUMMYFUNCTION("IF(REGEXMATCH(N698, ""STATUS: Dev Complete - Awaiting QA""), ""Dev Complete - Awaiting QA"", IF(REGEXMATCH(N698, ""STATUS: Follow-Up Required""), ""Follow-Up Required"", IF(REGEXMATCH(N698, ""STATUS: In Progress""), ""In Progress"", IF(REGEXMATCH(N698, """&amp;"STATUS: In QA""), ""In QA"", IF(REGEXMATCH(N698, ""STATUS: Needs Customer Feedback""), ""Needs Customer Feedback"", IF(REGEXMATCH(N698, ""STATUS: QA Passed - Awaiting Release""), ""QA Passed - Awaiting Release"", IF(REGEXMATCH(N698, ""STATUS: Release to P"&amp;"rod""), ""Release to Prod"", """")))))))"),"")</f>
        <v/>
      </c>
    </row>
    <row r="699" hidden="1">
      <c r="A699" s="61" t="s">
        <v>52</v>
      </c>
      <c r="B699" s="12" t="s">
        <v>53</v>
      </c>
      <c r="C699" s="61">
        <v>170.0</v>
      </c>
      <c r="D699" s="62" t="s">
        <v>3372</v>
      </c>
      <c r="E699" s="56" t="s">
        <v>173</v>
      </c>
      <c r="F699" s="61" t="s">
        <v>3373</v>
      </c>
      <c r="G699" s="57" t="str">
        <f t="shared" si="1"/>
        <v>06-Nov-2025</v>
      </c>
      <c r="H699" s="61" t="s">
        <v>51</v>
      </c>
      <c r="I699" s="61" t="s">
        <v>3374</v>
      </c>
      <c r="J699" s="27" t="str">
        <f t="shared" si="4"/>
        <v>14-Nov-2025</v>
      </c>
      <c r="K699" s="61" t="s">
        <v>3374</v>
      </c>
      <c r="L699" s="27" t="str">
        <f t="shared" si="5"/>
        <v>14-Nov-2025</v>
      </c>
      <c r="M699" s="63" t="s">
        <v>291</v>
      </c>
      <c r="N699" s="61" t="s">
        <v>3375</v>
      </c>
      <c r="O699" s="61" t="s">
        <v>2734</v>
      </c>
      <c r="P699" s="61">
        <v>3.0</v>
      </c>
      <c r="Q699" s="66" t="s">
        <v>3376</v>
      </c>
      <c r="R699" s="27" t="str">
        <f>IFERROR(__xludf.DUMMYFUNCTION("IF(REGEXMATCH(N699, ""PRIORITY: Low""), ""Low"", IF(REGEXMATCH(N699, ""PRIORITY: Medium""), ""Medium"", IF(REGEXMATCH(N699, ""PRIORITY: High""), ""High"", """")))
"),"Medium")</f>
        <v>Medium</v>
      </c>
      <c r="S699" s="27" t="str">
        <f>IFERROR(__xludf.DUMMYFUNCTION("IF(REGEXMATCH(N699, ""SKILL: Low""), ""Low"", IF(REGEXMATCH(N699, ""SKILL: Medium""), ""Medium"", IF(REGEXMATCH(N699, ""SKILL: High""), ""High"", """")))"),"Medium")</f>
        <v>Medium</v>
      </c>
      <c r="T699" s="27" t="str">
        <f>IFERROR(__xludf.DUMMYFUNCTION("IF(REGEXMATCH(N699, ""STATUS: Dev Complete - Awaiting QA""), ""Dev Complete - Awaiting QA"", IF(REGEXMATCH(N699, ""STATUS: Follow-Up Required""), ""Follow-Up Required"", IF(REGEXMATCH(N699, ""STATUS: In Progress""), ""In Progress"", IF(REGEXMATCH(N699, """&amp;"STATUS: In QA""), ""In QA"", IF(REGEXMATCH(N699, ""STATUS: Needs Customer Feedback""), ""Needs Customer Feedback"", IF(REGEXMATCH(N699, ""STATUS: QA Passed - Awaiting Release""), ""QA Passed - Awaiting Release"", IF(REGEXMATCH(N699, ""STATUS: Release to P"&amp;"rod""), ""Release to Prod"", """")))))))"),"In QA")</f>
        <v>In QA</v>
      </c>
    </row>
    <row r="700" hidden="1">
      <c r="A700" s="61" t="s">
        <v>52</v>
      </c>
      <c r="B700" s="12" t="s">
        <v>53</v>
      </c>
      <c r="C700" s="61">
        <v>167.0</v>
      </c>
      <c r="D700" s="62" t="s">
        <v>3377</v>
      </c>
      <c r="E700" s="56" t="s">
        <v>173</v>
      </c>
      <c r="F700" s="61" t="s">
        <v>3378</v>
      </c>
      <c r="G700" s="57" t="str">
        <f t="shared" si="1"/>
        <v>03-Nov-2025</v>
      </c>
      <c r="H700" s="61" t="s">
        <v>51</v>
      </c>
      <c r="I700" s="61" t="s">
        <v>3379</v>
      </c>
      <c r="J700" s="27" t="str">
        <f t="shared" si="4"/>
        <v>13-Nov-2025</v>
      </c>
      <c r="K700" s="61" t="s">
        <v>3379</v>
      </c>
      <c r="L700" s="27" t="str">
        <f t="shared" si="5"/>
        <v>13-Nov-2025</v>
      </c>
      <c r="M700" s="63" t="s">
        <v>291</v>
      </c>
      <c r="N700" s="61" t="s">
        <v>177</v>
      </c>
      <c r="O700" s="61" t="s">
        <v>2734</v>
      </c>
      <c r="P700" s="61">
        <v>2.0</v>
      </c>
      <c r="Q700" s="66" t="s">
        <v>3380</v>
      </c>
      <c r="R700" s="27" t="str">
        <f>IFERROR(__xludf.DUMMYFUNCTION("IF(REGEXMATCH(N700, ""PRIORITY: Low""), ""Low"", IF(REGEXMATCH(N700, ""PRIORITY: Medium""), ""Medium"", IF(REGEXMATCH(N700, ""PRIORITY: High""), ""High"", """")))
"),"")</f>
        <v/>
      </c>
      <c r="S700" s="27" t="str">
        <f>IFERROR(__xludf.DUMMYFUNCTION("IF(REGEXMATCH(N700, ""SKILL: Low""), ""Low"", IF(REGEXMATCH(N700, ""SKILL: Medium""), ""Medium"", IF(REGEXMATCH(N700, ""SKILL: High""), ""High"", """")))"),"")</f>
        <v/>
      </c>
      <c r="T700" s="27" t="str">
        <f>IFERROR(__xludf.DUMMYFUNCTION("IF(REGEXMATCH(N700, ""STATUS: Dev Complete - Awaiting QA""), ""Dev Complete - Awaiting QA"", IF(REGEXMATCH(N700, ""STATUS: Follow-Up Required""), ""Follow-Up Required"", IF(REGEXMATCH(N700, ""STATUS: In Progress""), ""In Progress"", IF(REGEXMATCH(N700, """&amp;"STATUS: In QA""), ""In QA"", IF(REGEXMATCH(N700, ""STATUS: Needs Customer Feedback""), ""Needs Customer Feedback"", IF(REGEXMATCH(N700, ""STATUS: QA Passed - Awaiting Release""), ""QA Passed - Awaiting Release"", IF(REGEXMATCH(N700, ""STATUS: Release to P"&amp;"rod""), ""Release to Prod"", """")))))))"),"")</f>
        <v/>
      </c>
    </row>
    <row r="701" hidden="1">
      <c r="A701" s="61" t="s">
        <v>52</v>
      </c>
      <c r="B701" s="12" t="s">
        <v>53</v>
      </c>
      <c r="C701" s="61">
        <v>161.0</v>
      </c>
      <c r="D701" s="62" t="s">
        <v>3381</v>
      </c>
      <c r="E701" s="56" t="s">
        <v>173</v>
      </c>
      <c r="F701" s="61" t="s">
        <v>3382</v>
      </c>
      <c r="G701" s="57" t="str">
        <f t="shared" si="1"/>
        <v>30-Oct-2025</v>
      </c>
      <c r="H701" s="61" t="s">
        <v>51</v>
      </c>
      <c r="I701" s="61" t="s">
        <v>3383</v>
      </c>
      <c r="J701" s="27" t="str">
        <f t="shared" si="4"/>
        <v>17-Nov-2025</v>
      </c>
      <c r="K701" s="61" t="s">
        <v>3383</v>
      </c>
      <c r="L701" s="27" t="str">
        <f t="shared" si="5"/>
        <v>17-Nov-2025</v>
      </c>
      <c r="M701" s="63" t="s">
        <v>285</v>
      </c>
      <c r="N701" s="61" t="s">
        <v>3384</v>
      </c>
      <c r="O701" s="61" t="s">
        <v>2734</v>
      </c>
      <c r="P701" s="61">
        <v>3.0</v>
      </c>
      <c r="Q701" s="66" t="s">
        <v>3385</v>
      </c>
      <c r="R701" s="27" t="str">
        <f>IFERROR(__xludf.DUMMYFUNCTION("IF(REGEXMATCH(N701, ""PRIORITY: Low""), ""Low"", IF(REGEXMATCH(N701, ""PRIORITY: Medium""), ""Medium"", IF(REGEXMATCH(N701, ""PRIORITY: High""), ""High"", """")))
"),"High")</f>
        <v>High</v>
      </c>
      <c r="S701" s="27" t="str">
        <f>IFERROR(__xludf.DUMMYFUNCTION("IF(REGEXMATCH(N701, ""SKILL: Low""), ""Low"", IF(REGEXMATCH(N701, ""SKILL: Medium""), ""Medium"", IF(REGEXMATCH(N701, ""SKILL: High""), ""High"", """")))"),"Medium")</f>
        <v>Medium</v>
      </c>
      <c r="T701" s="27" t="str">
        <f>IFERROR(__xludf.DUMMYFUNCTION("IF(REGEXMATCH(N701, ""STATUS: Dev Complete - Awaiting QA""), ""Dev Complete - Awaiting QA"", IF(REGEXMATCH(N701, ""STATUS: Follow-Up Required""), ""Follow-Up Required"", IF(REGEXMATCH(N701, ""STATUS: In Progress""), ""In Progress"", IF(REGEXMATCH(N701, """&amp;"STATUS: In QA""), ""In QA"", IF(REGEXMATCH(N701, ""STATUS: Needs Customer Feedback""), ""Needs Customer Feedback"", IF(REGEXMATCH(N701, ""STATUS: QA Passed - Awaiting Release""), ""QA Passed - Awaiting Release"", IF(REGEXMATCH(N701, ""STATUS: Release to P"&amp;"rod""), ""Release to Prod"", """")))))))"),"In QA")</f>
        <v>In QA</v>
      </c>
    </row>
    <row r="702" hidden="1">
      <c r="A702" s="61" t="s">
        <v>52</v>
      </c>
      <c r="B702" s="12" t="s">
        <v>53</v>
      </c>
      <c r="C702" s="61">
        <v>157.0</v>
      </c>
      <c r="D702" s="62" t="s">
        <v>3386</v>
      </c>
      <c r="E702" s="56" t="s">
        <v>173</v>
      </c>
      <c r="F702" s="61" t="s">
        <v>3387</v>
      </c>
      <c r="G702" s="57" t="str">
        <f t="shared" si="1"/>
        <v>24-Oct-2025</v>
      </c>
      <c r="H702" s="61" t="s">
        <v>57</v>
      </c>
      <c r="I702" s="61" t="s">
        <v>3388</v>
      </c>
      <c r="J702" s="27" t="str">
        <f t="shared" si="4"/>
        <v>17-Nov-2025</v>
      </c>
      <c r="K702" s="61" t="s">
        <v>3388</v>
      </c>
      <c r="L702" s="27" t="str">
        <f t="shared" si="5"/>
        <v>17-Nov-2025</v>
      </c>
      <c r="M702" s="63" t="s">
        <v>291</v>
      </c>
      <c r="N702" s="61" t="s">
        <v>3389</v>
      </c>
      <c r="O702" s="61" t="s">
        <v>2734</v>
      </c>
      <c r="P702" s="61">
        <v>3.0</v>
      </c>
      <c r="Q702" s="66" t="s">
        <v>3390</v>
      </c>
      <c r="R702" s="27" t="str">
        <f>IFERROR(__xludf.DUMMYFUNCTION("IF(REGEXMATCH(N702, ""PRIORITY: Low""), ""Low"", IF(REGEXMATCH(N702, ""PRIORITY: Medium""), ""Medium"", IF(REGEXMATCH(N702, ""PRIORITY: High""), ""High"", """")))
"),"High")</f>
        <v>High</v>
      </c>
      <c r="S702" s="27" t="str">
        <f>IFERROR(__xludf.DUMMYFUNCTION("IF(REGEXMATCH(N702, ""SKILL: Low""), ""Low"", IF(REGEXMATCH(N702, ""SKILL: Medium""), ""Medium"", IF(REGEXMATCH(N702, ""SKILL: High""), ""High"", """")))"),"Low")</f>
        <v>Low</v>
      </c>
      <c r="T702" s="27" t="str">
        <f>IFERROR(__xludf.DUMMYFUNCTION("IF(REGEXMATCH(N702, ""STATUS: Dev Complete - Awaiting QA""), ""Dev Complete - Awaiting QA"", IF(REGEXMATCH(N702, ""STATUS: Follow-Up Required""), ""Follow-Up Required"", IF(REGEXMATCH(N702, ""STATUS: In Progress""), ""In Progress"", IF(REGEXMATCH(N702, """&amp;"STATUS: In QA""), ""In QA"", IF(REGEXMATCH(N702, ""STATUS: Needs Customer Feedback""), ""Needs Customer Feedback"", IF(REGEXMATCH(N702, ""STATUS: QA Passed - Awaiting Release""), ""QA Passed - Awaiting Release"", IF(REGEXMATCH(N702, ""STATUS: Release to P"&amp;"rod""), ""Release to Prod"", """")))))))"),"In QA")</f>
        <v>In QA</v>
      </c>
    </row>
    <row r="703" hidden="1">
      <c r="A703" s="61" t="s">
        <v>52</v>
      </c>
      <c r="B703" s="12" t="s">
        <v>53</v>
      </c>
      <c r="C703" s="61">
        <v>156.0</v>
      </c>
      <c r="D703" s="62" t="s">
        <v>3391</v>
      </c>
      <c r="E703" s="56" t="s">
        <v>173</v>
      </c>
      <c r="F703" s="61" t="s">
        <v>3392</v>
      </c>
      <c r="G703" s="57" t="str">
        <f t="shared" si="1"/>
        <v>24-Oct-2025</v>
      </c>
      <c r="H703" s="61" t="s">
        <v>57</v>
      </c>
      <c r="I703" s="61" t="s">
        <v>3393</v>
      </c>
      <c r="J703" s="27" t="str">
        <f t="shared" si="4"/>
        <v>14-Nov-2025</v>
      </c>
      <c r="K703" s="61" t="s">
        <v>3393</v>
      </c>
      <c r="L703" s="27" t="str">
        <f t="shared" si="5"/>
        <v>14-Nov-2025</v>
      </c>
      <c r="M703" s="63" t="s">
        <v>291</v>
      </c>
      <c r="N703" s="61" t="s">
        <v>3365</v>
      </c>
      <c r="O703" s="61" t="s">
        <v>57</v>
      </c>
      <c r="P703" s="61">
        <v>3.0</v>
      </c>
      <c r="Q703" s="66" t="s">
        <v>3394</v>
      </c>
      <c r="R703" s="27" t="str">
        <f>IFERROR(__xludf.DUMMYFUNCTION("IF(REGEXMATCH(N703, ""PRIORITY: Low""), ""Low"", IF(REGEXMATCH(N703, ""PRIORITY: Medium""), ""Medium"", IF(REGEXMATCH(N703, ""PRIORITY: High""), ""High"", """")))
"),"Medium")</f>
        <v>Medium</v>
      </c>
      <c r="S703" s="27" t="str">
        <f>IFERROR(__xludf.DUMMYFUNCTION("IF(REGEXMATCH(N703, ""SKILL: Low""), ""Low"", IF(REGEXMATCH(N703, ""SKILL: Medium""), ""Medium"", IF(REGEXMATCH(N703, ""SKILL: High""), ""High"", """")))"),"Low")</f>
        <v>Low</v>
      </c>
      <c r="T703" s="27" t="str">
        <f>IFERROR(__xludf.DUMMYFUNCTION("IF(REGEXMATCH(N703, ""STATUS: Dev Complete - Awaiting QA""), ""Dev Complete - Awaiting QA"", IF(REGEXMATCH(N703, ""STATUS: Follow-Up Required""), ""Follow-Up Required"", IF(REGEXMATCH(N703, ""STATUS: In Progress""), ""In Progress"", IF(REGEXMATCH(N703, """&amp;"STATUS: In QA""), ""In QA"", IF(REGEXMATCH(N703, ""STATUS: Needs Customer Feedback""), ""Needs Customer Feedback"", IF(REGEXMATCH(N703, ""STATUS: QA Passed - Awaiting Release""), ""QA Passed - Awaiting Release"", IF(REGEXMATCH(N703, ""STATUS: Release to P"&amp;"rod""), ""Release to Prod"", """")))))))"),"In QA")</f>
        <v>In QA</v>
      </c>
    </row>
    <row r="704" hidden="1">
      <c r="A704" s="61" t="s">
        <v>52</v>
      </c>
      <c r="B704" s="12" t="s">
        <v>53</v>
      </c>
      <c r="C704" s="61">
        <v>155.0</v>
      </c>
      <c r="D704" s="62" t="s">
        <v>3395</v>
      </c>
      <c r="E704" s="56" t="s">
        <v>173</v>
      </c>
      <c r="F704" s="61" t="s">
        <v>3396</v>
      </c>
      <c r="G704" s="57" t="str">
        <f t="shared" si="1"/>
        <v>24-Oct-2025</v>
      </c>
      <c r="H704" s="61" t="s">
        <v>57</v>
      </c>
      <c r="I704" s="61" t="s">
        <v>3397</v>
      </c>
      <c r="J704" s="27" t="str">
        <f t="shared" si="4"/>
        <v>17-Nov-2025</v>
      </c>
      <c r="K704" s="61" t="s">
        <v>3397</v>
      </c>
      <c r="L704" s="27" t="str">
        <f t="shared" si="5"/>
        <v>17-Nov-2025</v>
      </c>
      <c r="M704" s="63" t="s">
        <v>249</v>
      </c>
      <c r="N704" s="61" t="s">
        <v>3365</v>
      </c>
      <c r="O704" s="61" t="s">
        <v>51</v>
      </c>
      <c r="P704" s="61">
        <v>5.0</v>
      </c>
      <c r="Q704" s="66" t="s">
        <v>3398</v>
      </c>
      <c r="R704" s="27" t="str">
        <f>IFERROR(__xludf.DUMMYFUNCTION("IF(REGEXMATCH(N704, ""PRIORITY: Low""), ""Low"", IF(REGEXMATCH(N704, ""PRIORITY: Medium""), ""Medium"", IF(REGEXMATCH(N704, ""PRIORITY: High""), ""High"", """")))
"),"Medium")</f>
        <v>Medium</v>
      </c>
      <c r="S704" s="27" t="str">
        <f>IFERROR(__xludf.DUMMYFUNCTION("IF(REGEXMATCH(N704, ""SKILL: Low""), ""Low"", IF(REGEXMATCH(N704, ""SKILL: Medium""), ""Medium"", IF(REGEXMATCH(N704, ""SKILL: High""), ""High"", """")))"),"Low")</f>
        <v>Low</v>
      </c>
      <c r="T704" s="27" t="str">
        <f>IFERROR(__xludf.DUMMYFUNCTION("IF(REGEXMATCH(N704, ""STATUS: Dev Complete - Awaiting QA""), ""Dev Complete - Awaiting QA"", IF(REGEXMATCH(N704, ""STATUS: Follow-Up Required""), ""Follow-Up Required"", IF(REGEXMATCH(N704, ""STATUS: In Progress""), ""In Progress"", IF(REGEXMATCH(N704, """&amp;"STATUS: In QA""), ""In QA"", IF(REGEXMATCH(N704, ""STATUS: Needs Customer Feedback""), ""Needs Customer Feedback"", IF(REGEXMATCH(N704, ""STATUS: QA Passed - Awaiting Release""), ""QA Passed - Awaiting Release"", IF(REGEXMATCH(N704, ""STATUS: Release to P"&amp;"rod""), ""Release to Prod"", """")))))))"),"In QA")</f>
        <v>In QA</v>
      </c>
    </row>
    <row r="705" hidden="1">
      <c r="A705" s="61" t="s">
        <v>52</v>
      </c>
      <c r="B705" s="12" t="s">
        <v>53</v>
      </c>
      <c r="C705" s="61">
        <v>154.0</v>
      </c>
      <c r="D705" s="62" t="s">
        <v>3399</v>
      </c>
      <c r="E705" s="56" t="s">
        <v>173</v>
      </c>
      <c r="F705" s="61" t="s">
        <v>3400</v>
      </c>
      <c r="G705" s="57" t="str">
        <f t="shared" si="1"/>
        <v>23-Oct-2025</v>
      </c>
      <c r="H705" s="61" t="s">
        <v>51</v>
      </c>
      <c r="I705" s="61" t="s">
        <v>3401</v>
      </c>
      <c r="J705" s="27" t="str">
        <f t="shared" si="4"/>
        <v>09-Dec-2025</v>
      </c>
      <c r="K705" s="61" t="s">
        <v>3402</v>
      </c>
      <c r="L705" s="27" t="str">
        <f t="shared" si="5"/>
        <v>03-Nov-2025</v>
      </c>
      <c r="M705" s="63" t="s">
        <v>291</v>
      </c>
      <c r="N705" s="61" t="s">
        <v>177</v>
      </c>
      <c r="O705" s="61" t="s">
        <v>3403</v>
      </c>
      <c r="P705" s="61">
        <v>3.0</v>
      </c>
      <c r="Q705" s="66" t="s">
        <v>3404</v>
      </c>
      <c r="R705" s="27" t="str">
        <f>IFERROR(__xludf.DUMMYFUNCTION("IF(REGEXMATCH(N705, ""PRIORITY: Low""), ""Low"", IF(REGEXMATCH(N705, ""PRIORITY: Medium""), ""Medium"", IF(REGEXMATCH(N705, ""PRIORITY: High""), ""High"", """")))
"),"")</f>
        <v/>
      </c>
      <c r="S705" s="27" t="str">
        <f>IFERROR(__xludf.DUMMYFUNCTION("IF(REGEXMATCH(N705, ""SKILL: Low""), ""Low"", IF(REGEXMATCH(N705, ""SKILL: Medium""), ""Medium"", IF(REGEXMATCH(N705, ""SKILL: High""), ""High"", """")))"),"")</f>
        <v/>
      </c>
      <c r="T705" s="27" t="str">
        <f>IFERROR(__xludf.DUMMYFUNCTION("IF(REGEXMATCH(N705, ""STATUS: Dev Complete - Awaiting QA""), ""Dev Complete - Awaiting QA"", IF(REGEXMATCH(N705, ""STATUS: Follow-Up Required""), ""Follow-Up Required"", IF(REGEXMATCH(N705, ""STATUS: In Progress""), ""In Progress"", IF(REGEXMATCH(N705, """&amp;"STATUS: In QA""), ""In QA"", IF(REGEXMATCH(N705, ""STATUS: Needs Customer Feedback""), ""Needs Customer Feedback"", IF(REGEXMATCH(N705, ""STATUS: QA Passed - Awaiting Release""), ""QA Passed - Awaiting Release"", IF(REGEXMATCH(N705, ""STATUS: Release to P"&amp;"rod""), ""Release to Prod"", """")))))))"),"")</f>
        <v/>
      </c>
    </row>
    <row r="706" hidden="1">
      <c r="A706" s="61" t="s">
        <v>52</v>
      </c>
      <c r="B706" s="12" t="s">
        <v>53</v>
      </c>
      <c r="C706" s="61">
        <v>149.0</v>
      </c>
      <c r="D706" s="62" t="s">
        <v>3405</v>
      </c>
      <c r="E706" s="56" t="s">
        <v>173</v>
      </c>
      <c r="F706" s="61" t="s">
        <v>3406</v>
      </c>
      <c r="G706" s="57" t="str">
        <f t="shared" si="1"/>
        <v>02-Oct-2025</v>
      </c>
      <c r="H706" s="61" t="s">
        <v>57</v>
      </c>
      <c r="I706" s="61" t="s">
        <v>3407</v>
      </c>
      <c r="J706" s="27" t="str">
        <f t="shared" si="4"/>
        <v>24-Oct-2025</v>
      </c>
      <c r="K706" s="61" t="s">
        <v>3407</v>
      </c>
      <c r="L706" s="27" t="str">
        <f t="shared" si="5"/>
        <v>24-Oct-2025</v>
      </c>
      <c r="M706" s="63" t="s">
        <v>249</v>
      </c>
      <c r="N706" s="61" t="s">
        <v>3111</v>
      </c>
      <c r="O706" s="61" t="s">
        <v>51</v>
      </c>
      <c r="P706" s="61">
        <v>1.0</v>
      </c>
      <c r="Q706" s="66" t="s">
        <v>3408</v>
      </c>
      <c r="R706" s="27" t="str">
        <f>IFERROR(__xludf.DUMMYFUNCTION("IF(REGEXMATCH(N706, ""PRIORITY: Low""), ""Low"", IF(REGEXMATCH(N706, ""PRIORITY: Medium""), ""Medium"", IF(REGEXMATCH(N706, ""PRIORITY: High""), ""High"", """")))
"),"Medium")</f>
        <v>Medium</v>
      </c>
      <c r="S706" s="27" t="str">
        <f>IFERROR(__xludf.DUMMYFUNCTION("IF(REGEXMATCH(N706, ""SKILL: Low""), ""Low"", IF(REGEXMATCH(N706, ""SKILL: Medium""), ""Medium"", IF(REGEXMATCH(N706, ""SKILL: High""), ""High"", """")))"),"")</f>
        <v/>
      </c>
      <c r="T706" s="27" t="str">
        <f>IFERROR(__xludf.DUMMYFUNCTION("IF(REGEXMATCH(N706, ""STATUS: Dev Complete - Awaiting QA""), ""Dev Complete - Awaiting QA"", IF(REGEXMATCH(N706, ""STATUS: Follow-Up Required""), ""Follow-Up Required"", IF(REGEXMATCH(N706, ""STATUS: In Progress""), ""In Progress"", IF(REGEXMATCH(N706, """&amp;"STATUS: In QA""), ""In QA"", IF(REGEXMATCH(N706, ""STATUS: Needs Customer Feedback""), ""Needs Customer Feedback"", IF(REGEXMATCH(N706, ""STATUS: QA Passed - Awaiting Release""), ""QA Passed - Awaiting Release"", IF(REGEXMATCH(N706, ""STATUS: Release to P"&amp;"rod""), ""Release to Prod"", """")))))))"),"")</f>
        <v/>
      </c>
    </row>
    <row r="707">
      <c r="A707" s="61" t="s">
        <v>52</v>
      </c>
      <c r="B707" s="12" t="s">
        <v>53</v>
      </c>
      <c r="C707" s="61">
        <v>148.0</v>
      </c>
      <c r="D707" s="62" t="s">
        <v>3409</v>
      </c>
      <c r="E707" s="56" t="s">
        <v>246</v>
      </c>
      <c r="F707" s="61" t="s">
        <v>3410</v>
      </c>
      <c r="G707" s="57" t="str">
        <f t="shared" si="1"/>
        <v>26-Sep-2025</v>
      </c>
      <c r="H707" s="61" t="s">
        <v>57</v>
      </c>
      <c r="I707" s="61" t="s">
        <v>3411</v>
      </c>
      <c r="J707" s="27" t="str">
        <f t="shared" si="4"/>
        <v>26-Nov-2025</v>
      </c>
      <c r="K707" s="27"/>
      <c r="L707" s="27" t="str">
        <f t="shared" si="5"/>
        <v/>
      </c>
      <c r="M707" s="63" t="s">
        <v>249</v>
      </c>
      <c r="N707" s="61" t="s">
        <v>3321</v>
      </c>
      <c r="O707" s="67" t="s">
        <v>51</v>
      </c>
      <c r="P707" s="61">
        <v>0.0</v>
      </c>
      <c r="Q707" s="66" t="s">
        <v>3412</v>
      </c>
      <c r="R707" s="27" t="str">
        <f>IFERROR(__xludf.DUMMYFUNCTION("IF(REGEXMATCH(N707, ""PRIORITY: Low""), ""Low"", IF(REGEXMATCH(N707, ""PRIORITY: Medium""), ""Medium"", IF(REGEXMATCH(N707, ""PRIORITY: High""), ""High"", """")))
"),"Low")</f>
        <v>Low</v>
      </c>
      <c r="S707" s="27" t="str">
        <f>IFERROR(__xludf.DUMMYFUNCTION("IF(REGEXMATCH(N707, ""SKILL: Low""), ""Low"", IF(REGEXMATCH(N707, ""SKILL: Medium""), ""Medium"", IF(REGEXMATCH(N707, ""SKILL: High""), ""High"", """")))"),"Low")</f>
        <v>Low</v>
      </c>
      <c r="T707" s="27" t="str">
        <f>IFERROR(__xludf.DUMMYFUNCTION("IF(REGEXMATCH(N707, ""STATUS: Dev Complete - Awaiting QA""), ""Dev Complete - Awaiting QA"", IF(REGEXMATCH(N707, ""STATUS: Follow-Up Required""), ""Follow-Up Required"", IF(REGEXMATCH(N707, ""STATUS: In Progress""), ""In Progress"", IF(REGEXMATCH(N707, """&amp;"STATUS: In QA""), ""In QA"", IF(REGEXMATCH(N707, ""STATUS: Needs Customer Feedback""), ""Needs Customer Feedback"", IF(REGEXMATCH(N707, ""STATUS: QA Passed - Awaiting Release""), ""QA Passed - Awaiting Release"", IF(REGEXMATCH(N707, ""STATUS: Release to P"&amp;"rod""), ""Release to Prod"", """")))))))"),"In Progress")</f>
        <v>In Progress</v>
      </c>
    </row>
    <row r="708" hidden="1">
      <c r="A708" s="61" t="s">
        <v>52</v>
      </c>
      <c r="B708" s="12" t="s">
        <v>53</v>
      </c>
      <c r="C708" s="61">
        <v>143.0</v>
      </c>
      <c r="D708" s="62" t="s">
        <v>3413</v>
      </c>
      <c r="E708" s="56" t="s">
        <v>173</v>
      </c>
      <c r="F708" s="61" t="s">
        <v>3414</v>
      </c>
      <c r="G708" s="57" t="str">
        <f t="shared" si="1"/>
        <v>23-Sep-2025</v>
      </c>
      <c r="H708" s="61" t="s">
        <v>54</v>
      </c>
      <c r="I708" s="61" t="s">
        <v>3415</v>
      </c>
      <c r="J708" s="27" t="str">
        <f t="shared" si="4"/>
        <v>03-Nov-2025</v>
      </c>
      <c r="K708" s="61" t="s">
        <v>3416</v>
      </c>
      <c r="L708" s="27" t="str">
        <f t="shared" si="5"/>
        <v>03-Nov-2025</v>
      </c>
      <c r="M708" s="63" t="s">
        <v>285</v>
      </c>
      <c r="N708" s="61" t="s">
        <v>3417</v>
      </c>
      <c r="O708" s="61" t="s">
        <v>57</v>
      </c>
      <c r="P708" s="61">
        <v>4.0</v>
      </c>
      <c r="Q708" s="66" t="s">
        <v>3418</v>
      </c>
      <c r="R708" s="27" t="str">
        <f>IFERROR(__xludf.DUMMYFUNCTION("IF(REGEXMATCH(N708, ""PRIORITY: Low""), ""Low"", IF(REGEXMATCH(N708, ""PRIORITY: Medium""), ""Medium"", IF(REGEXMATCH(N708, ""PRIORITY: High""), ""High"", """")))
"),"High")</f>
        <v>High</v>
      </c>
      <c r="S708" s="27" t="str">
        <f>IFERROR(__xludf.DUMMYFUNCTION("IF(REGEXMATCH(N708, ""SKILL: Low""), ""Low"", IF(REGEXMATCH(N708, ""SKILL: Medium""), ""Medium"", IF(REGEXMATCH(N708, ""SKILL: High""), ""High"", """")))"),"Low")</f>
        <v>Low</v>
      </c>
      <c r="T708" s="27" t="str">
        <f>IFERROR(__xludf.DUMMYFUNCTION("IF(REGEXMATCH(N708, ""STATUS: Dev Complete - Awaiting QA""), ""Dev Complete - Awaiting QA"", IF(REGEXMATCH(N708, ""STATUS: Follow-Up Required""), ""Follow-Up Required"", IF(REGEXMATCH(N708, ""STATUS: In Progress""), ""In Progress"", IF(REGEXMATCH(N708, """&amp;"STATUS: In QA""), ""In QA"", IF(REGEXMATCH(N708, ""STATUS: Needs Customer Feedback""), ""Needs Customer Feedback"", IF(REGEXMATCH(N708, ""STATUS: QA Passed - Awaiting Release""), ""QA Passed - Awaiting Release"", IF(REGEXMATCH(N708, ""STATUS: Release to P"&amp;"rod""), ""Release to Prod"", """")))))))"),"")</f>
        <v/>
      </c>
    </row>
    <row r="709" hidden="1">
      <c r="A709" s="61" t="s">
        <v>52</v>
      </c>
      <c r="B709" s="12" t="s">
        <v>53</v>
      </c>
      <c r="C709" s="61">
        <v>138.0</v>
      </c>
      <c r="D709" s="62" t="s">
        <v>3419</v>
      </c>
      <c r="E709" s="56" t="s">
        <v>173</v>
      </c>
      <c r="F709" s="61" t="s">
        <v>3420</v>
      </c>
      <c r="G709" s="57" t="str">
        <f t="shared" si="1"/>
        <v>22-Sep-2025</v>
      </c>
      <c r="H709" s="61" t="s">
        <v>95</v>
      </c>
      <c r="I709" s="61" t="s">
        <v>3421</v>
      </c>
      <c r="J709" s="27" t="str">
        <f t="shared" si="4"/>
        <v>09-Dec-2025</v>
      </c>
      <c r="K709" s="61" t="s">
        <v>3422</v>
      </c>
      <c r="L709" s="27" t="str">
        <f t="shared" si="5"/>
        <v>26-Sep-2025</v>
      </c>
      <c r="M709" s="63" t="s">
        <v>291</v>
      </c>
      <c r="N709" s="61" t="s">
        <v>3423</v>
      </c>
      <c r="O709" s="61" t="s">
        <v>3403</v>
      </c>
      <c r="P709" s="61">
        <v>3.0</v>
      </c>
      <c r="Q709" s="66" t="s">
        <v>3424</v>
      </c>
      <c r="R709" s="27" t="str">
        <f>IFERROR(__xludf.DUMMYFUNCTION("IF(REGEXMATCH(N709, ""PRIORITY: Low""), ""Low"", IF(REGEXMATCH(N709, ""PRIORITY: Medium""), ""Medium"", IF(REGEXMATCH(N709, ""PRIORITY: High""), ""High"", """")))
"),"High")</f>
        <v>High</v>
      </c>
      <c r="S709" s="27" t="str">
        <f>IFERROR(__xludf.DUMMYFUNCTION("IF(REGEXMATCH(N709, ""SKILL: Low""), ""Low"", IF(REGEXMATCH(N709, ""SKILL: Medium""), ""Medium"", IF(REGEXMATCH(N709, ""SKILL: High""), ""High"", """")))"),"")</f>
        <v/>
      </c>
      <c r="T709" s="27" t="str">
        <f>IFERROR(__xludf.DUMMYFUNCTION("IF(REGEXMATCH(N709, ""STATUS: Dev Complete - Awaiting QA""), ""Dev Complete - Awaiting QA"", IF(REGEXMATCH(N709, ""STATUS: Follow-Up Required""), ""Follow-Up Required"", IF(REGEXMATCH(N709, ""STATUS: In Progress""), ""In Progress"", IF(REGEXMATCH(N709, """&amp;"STATUS: In QA""), ""In QA"", IF(REGEXMATCH(N709, ""STATUS: Needs Customer Feedback""), ""Needs Customer Feedback"", IF(REGEXMATCH(N709, ""STATUS: QA Passed - Awaiting Release""), ""QA Passed - Awaiting Release"", IF(REGEXMATCH(N709, ""STATUS: Release to P"&amp;"rod""), ""Release to Prod"", """")))))))"),"")</f>
        <v/>
      </c>
    </row>
    <row r="710" hidden="1">
      <c r="A710" s="61" t="s">
        <v>52</v>
      </c>
      <c r="B710" s="12" t="s">
        <v>53</v>
      </c>
      <c r="C710" s="61">
        <v>137.0</v>
      </c>
      <c r="D710" s="62" t="s">
        <v>3425</v>
      </c>
      <c r="E710" s="56" t="s">
        <v>173</v>
      </c>
      <c r="F710" s="61" t="s">
        <v>3426</v>
      </c>
      <c r="G710" s="57" t="str">
        <f t="shared" si="1"/>
        <v>19-Sep-2025</v>
      </c>
      <c r="H710" s="61" t="s">
        <v>95</v>
      </c>
      <c r="I710" s="61" t="s">
        <v>3427</v>
      </c>
      <c r="J710" s="27" t="str">
        <f t="shared" si="4"/>
        <v>25-Nov-2025</v>
      </c>
      <c r="K710" s="61" t="s">
        <v>3427</v>
      </c>
      <c r="L710" s="27" t="str">
        <f t="shared" si="5"/>
        <v>25-Nov-2025</v>
      </c>
      <c r="M710" s="63" t="s">
        <v>285</v>
      </c>
      <c r="N710" s="61" t="s">
        <v>3365</v>
      </c>
      <c r="O710" s="61" t="s">
        <v>2734</v>
      </c>
      <c r="P710" s="61">
        <v>3.0</v>
      </c>
      <c r="Q710" s="66" t="s">
        <v>3428</v>
      </c>
      <c r="R710" s="27" t="str">
        <f>IFERROR(__xludf.DUMMYFUNCTION("IF(REGEXMATCH(N710, ""PRIORITY: Low""), ""Low"", IF(REGEXMATCH(N710, ""PRIORITY: Medium""), ""Medium"", IF(REGEXMATCH(N710, ""PRIORITY: High""), ""High"", """")))
"),"Medium")</f>
        <v>Medium</v>
      </c>
      <c r="S710" s="27" t="str">
        <f>IFERROR(__xludf.DUMMYFUNCTION("IF(REGEXMATCH(N710, ""SKILL: Low""), ""Low"", IF(REGEXMATCH(N710, ""SKILL: Medium""), ""Medium"", IF(REGEXMATCH(N710, ""SKILL: High""), ""High"", """")))"),"Low")</f>
        <v>Low</v>
      </c>
      <c r="T710" s="27" t="str">
        <f>IFERROR(__xludf.DUMMYFUNCTION("IF(REGEXMATCH(N710, ""STATUS: Dev Complete - Awaiting QA""), ""Dev Complete - Awaiting QA"", IF(REGEXMATCH(N710, ""STATUS: Follow-Up Required""), ""Follow-Up Required"", IF(REGEXMATCH(N710, ""STATUS: In Progress""), ""In Progress"", IF(REGEXMATCH(N710, """&amp;"STATUS: In QA""), ""In QA"", IF(REGEXMATCH(N710, ""STATUS: Needs Customer Feedback""), ""Needs Customer Feedback"", IF(REGEXMATCH(N710, ""STATUS: QA Passed - Awaiting Release""), ""QA Passed - Awaiting Release"", IF(REGEXMATCH(N710, ""STATUS: Release to P"&amp;"rod""), ""Release to Prod"", """")))))))"),"In QA")</f>
        <v>In QA</v>
      </c>
    </row>
    <row r="711" hidden="1">
      <c r="A711" s="61" t="s">
        <v>52</v>
      </c>
      <c r="B711" s="12" t="s">
        <v>53</v>
      </c>
      <c r="C711" s="61">
        <v>133.0</v>
      </c>
      <c r="D711" s="62" t="s">
        <v>3429</v>
      </c>
      <c r="E711" s="56" t="s">
        <v>173</v>
      </c>
      <c r="F711" s="61" t="s">
        <v>3430</v>
      </c>
      <c r="G711" s="57" t="str">
        <f t="shared" si="1"/>
        <v>10-Sep-2025</v>
      </c>
      <c r="H711" s="61" t="s">
        <v>57</v>
      </c>
      <c r="I711" s="61" t="s">
        <v>3431</v>
      </c>
      <c r="J711" s="27" t="str">
        <f t="shared" si="4"/>
        <v>03-Nov-2025</v>
      </c>
      <c r="K711" s="61" t="s">
        <v>3431</v>
      </c>
      <c r="L711" s="27" t="str">
        <f t="shared" si="5"/>
        <v>03-Nov-2025</v>
      </c>
      <c r="M711" s="63" t="s">
        <v>249</v>
      </c>
      <c r="N711" s="61" t="s">
        <v>3417</v>
      </c>
      <c r="O711" s="61" t="s">
        <v>57</v>
      </c>
      <c r="P711" s="61">
        <v>3.0</v>
      </c>
      <c r="Q711" s="66" t="s">
        <v>3432</v>
      </c>
      <c r="R711" s="27" t="str">
        <f>IFERROR(__xludf.DUMMYFUNCTION("IF(REGEXMATCH(N711, ""PRIORITY: Low""), ""Low"", IF(REGEXMATCH(N711, ""PRIORITY: Medium""), ""Medium"", IF(REGEXMATCH(N711, ""PRIORITY: High""), ""High"", """")))
"),"High")</f>
        <v>High</v>
      </c>
      <c r="S711" s="27" t="str">
        <f>IFERROR(__xludf.DUMMYFUNCTION("IF(REGEXMATCH(N711, ""SKILL: Low""), ""Low"", IF(REGEXMATCH(N711, ""SKILL: Medium""), ""Medium"", IF(REGEXMATCH(N711, ""SKILL: High""), ""High"", """")))"),"Low")</f>
        <v>Low</v>
      </c>
      <c r="T711" s="27" t="str">
        <f>IFERROR(__xludf.DUMMYFUNCTION("IF(REGEXMATCH(N711, ""STATUS: Dev Complete - Awaiting QA""), ""Dev Complete - Awaiting QA"", IF(REGEXMATCH(N711, ""STATUS: Follow-Up Required""), ""Follow-Up Required"", IF(REGEXMATCH(N711, ""STATUS: In Progress""), ""In Progress"", IF(REGEXMATCH(N711, """&amp;"STATUS: In QA""), ""In QA"", IF(REGEXMATCH(N711, ""STATUS: Needs Customer Feedback""), ""Needs Customer Feedback"", IF(REGEXMATCH(N711, ""STATUS: QA Passed - Awaiting Release""), ""QA Passed - Awaiting Release"", IF(REGEXMATCH(N711, ""STATUS: Release to P"&amp;"rod""), ""Release to Prod"", """")))))))"),"")</f>
        <v/>
      </c>
    </row>
    <row r="712" hidden="1">
      <c r="A712" s="61" t="s">
        <v>52</v>
      </c>
      <c r="B712" s="12" t="s">
        <v>53</v>
      </c>
      <c r="C712" s="61">
        <v>132.0</v>
      </c>
      <c r="D712" s="62" t="s">
        <v>3433</v>
      </c>
      <c r="E712" s="56" t="s">
        <v>173</v>
      </c>
      <c r="F712" s="61" t="s">
        <v>3434</v>
      </c>
      <c r="G712" s="57" t="str">
        <f t="shared" si="1"/>
        <v>10-Sep-2025</v>
      </c>
      <c r="H712" s="61" t="s">
        <v>95</v>
      </c>
      <c r="I712" s="61" t="s">
        <v>3435</v>
      </c>
      <c r="J712" s="27" t="str">
        <f t="shared" si="4"/>
        <v>25-Nov-2025</v>
      </c>
      <c r="K712" s="61" t="s">
        <v>3436</v>
      </c>
      <c r="L712" s="27" t="str">
        <f t="shared" si="5"/>
        <v>25-Nov-2025</v>
      </c>
      <c r="M712" s="63" t="s">
        <v>285</v>
      </c>
      <c r="N712" s="61" t="s">
        <v>3437</v>
      </c>
      <c r="O712" s="61" t="s">
        <v>2734</v>
      </c>
      <c r="P712" s="61">
        <v>4.0</v>
      </c>
      <c r="Q712" s="66" t="s">
        <v>3438</v>
      </c>
      <c r="R712" s="27" t="str">
        <f>IFERROR(__xludf.DUMMYFUNCTION("IF(REGEXMATCH(N712, ""PRIORITY: Low""), ""Low"", IF(REGEXMATCH(N712, ""PRIORITY: Medium""), ""Medium"", IF(REGEXMATCH(N712, ""PRIORITY: High""), ""High"", """")))
"),"Low")</f>
        <v>Low</v>
      </c>
      <c r="S712" s="27" t="str">
        <f>IFERROR(__xludf.DUMMYFUNCTION("IF(REGEXMATCH(N712, ""SKILL: Low""), ""Low"", IF(REGEXMATCH(N712, ""SKILL: Medium""), ""Medium"", IF(REGEXMATCH(N712, ""SKILL: High""), ""High"", """")))"),"Low")</f>
        <v>Low</v>
      </c>
      <c r="T712" s="27" t="str">
        <f>IFERROR(__xludf.DUMMYFUNCTION("IF(REGEXMATCH(N712, ""STATUS: Dev Complete - Awaiting QA""), ""Dev Complete - Awaiting QA"", IF(REGEXMATCH(N712, ""STATUS: Follow-Up Required""), ""Follow-Up Required"", IF(REGEXMATCH(N712, ""STATUS: In Progress""), ""In Progress"", IF(REGEXMATCH(N712, """&amp;"STATUS: In QA""), ""In QA"", IF(REGEXMATCH(N712, ""STATUS: Needs Customer Feedback""), ""Needs Customer Feedback"", IF(REGEXMATCH(N712, ""STATUS: QA Passed - Awaiting Release""), ""QA Passed - Awaiting Release"", IF(REGEXMATCH(N712, ""STATUS: Release to P"&amp;"rod""), ""Release to Prod"", """")))))))"),"In QA")</f>
        <v>In QA</v>
      </c>
    </row>
    <row r="713" hidden="1">
      <c r="A713" s="61" t="s">
        <v>52</v>
      </c>
      <c r="B713" s="12" t="s">
        <v>53</v>
      </c>
      <c r="C713" s="61">
        <v>131.0</v>
      </c>
      <c r="D713" s="62" t="s">
        <v>3439</v>
      </c>
      <c r="E713" s="56" t="s">
        <v>173</v>
      </c>
      <c r="F713" s="61" t="s">
        <v>3440</v>
      </c>
      <c r="G713" s="57" t="str">
        <f t="shared" si="1"/>
        <v>09-Sep-2025</v>
      </c>
      <c r="H713" s="61" t="s">
        <v>92</v>
      </c>
      <c r="I713" s="61" t="s">
        <v>3441</v>
      </c>
      <c r="J713" s="27" t="str">
        <f t="shared" si="4"/>
        <v>25-Nov-2025</v>
      </c>
      <c r="K713" s="61" t="s">
        <v>3441</v>
      </c>
      <c r="L713" s="27" t="str">
        <f t="shared" si="5"/>
        <v>25-Nov-2025</v>
      </c>
      <c r="M713" s="63" t="s">
        <v>249</v>
      </c>
      <c r="N713" s="61" t="s">
        <v>3437</v>
      </c>
      <c r="O713" s="61" t="s">
        <v>2734</v>
      </c>
      <c r="P713" s="61">
        <v>4.0</v>
      </c>
      <c r="Q713" s="66" t="s">
        <v>3442</v>
      </c>
      <c r="R713" s="27" t="str">
        <f>IFERROR(__xludf.DUMMYFUNCTION("IF(REGEXMATCH(N713, ""PRIORITY: Low""), ""Low"", IF(REGEXMATCH(N713, ""PRIORITY: Medium""), ""Medium"", IF(REGEXMATCH(N713, ""PRIORITY: High""), ""High"", """")))
"),"Low")</f>
        <v>Low</v>
      </c>
      <c r="S713" s="27" t="str">
        <f>IFERROR(__xludf.DUMMYFUNCTION("IF(REGEXMATCH(N713, ""SKILL: Low""), ""Low"", IF(REGEXMATCH(N713, ""SKILL: Medium""), ""Medium"", IF(REGEXMATCH(N713, ""SKILL: High""), ""High"", """")))"),"Low")</f>
        <v>Low</v>
      </c>
      <c r="T713" s="27" t="str">
        <f>IFERROR(__xludf.DUMMYFUNCTION("IF(REGEXMATCH(N713, ""STATUS: Dev Complete - Awaiting QA""), ""Dev Complete - Awaiting QA"", IF(REGEXMATCH(N713, ""STATUS: Follow-Up Required""), ""Follow-Up Required"", IF(REGEXMATCH(N713, ""STATUS: In Progress""), ""In Progress"", IF(REGEXMATCH(N713, """&amp;"STATUS: In QA""), ""In QA"", IF(REGEXMATCH(N713, ""STATUS: Needs Customer Feedback""), ""Needs Customer Feedback"", IF(REGEXMATCH(N713, ""STATUS: QA Passed - Awaiting Release""), ""QA Passed - Awaiting Release"", IF(REGEXMATCH(N713, ""STATUS: Release to P"&amp;"rod""), ""Release to Prod"", """")))))))"),"In QA")</f>
        <v>In QA</v>
      </c>
    </row>
    <row r="714" hidden="1">
      <c r="A714" s="61" t="s">
        <v>52</v>
      </c>
      <c r="B714" s="12" t="s">
        <v>53</v>
      </c>
      <c r="C714" s="61">
        <v>130.0</v>
      </c>
      <c r="D714" s="62" t="s">
        <v>3443</v>
      </c>
      <c r="E714" s="56" t="s">
        <v>173</v>
      </c>
      <c r="F714" s="61" t="s">
        <v>3444</v>
      </c>
      <c r="G714" s="57" t="str">
        <f t="shared" si="1"/>
        <v>08-Sep-2025</v>
      </c>
      <c r="H714" s="61" t="s">
        <v>95</v>
      </c>
      <c r="I714" s="61" t="s">
        <v>3445</v>
      </c>
      <c r="J714" s="27" t="str">
        <f t="shared" si="4"/>
        <v>12-Sep-2025</v>
      </c>
      <c r="K714" s="61" t="s">
        <v>3445</v>
      </c>
      <c r="L714" s="27" t="str">
        <f t="shared" si="5"/>
        <v>12-Sep-2025</v>
      </c>
      <c r="M714" s="63" t="s">
        <v>291</v>
      </c>
      <c r="N714" s="61" t="s">
        <v>2810</v>
      </c>
      <c r="O714" s="61" t="s">
        <v>2058</v>
      </c>
      <c r="P714" s="61">
        <v>2.0</v>
      </c>
      <c r="Q714" s="66" t="s">
        <v>3446</v>
      </c>
      <c r="R714" s="27" t="str">
        <f>IFERROR(__xludf.DUMMYFUNCTION("IF(REGEXMATCH(N714, ""PRIORITY: Low""), ""Low"", IF(REGEXMATCH(N714, ""PRIORITY: Medium""), ""Medium"", IF(REGEXMATCH(N714, ""PRIORITY: High""), ""High"", """")))
"),"")</f>
        <v/>
      </c>
      <c r="S714" s="27" t="str">
        <f>IFERROR(__xludf.DUMMYFUNCTION("IF(REGEXMATCH(N714, ""SKILL: Low""), ""Low"", IF(REGEXMATCH(N714, ""SKILL: Medium""), ""Medium"", IF(REGEXMATCH(N714, ""SKILL: High""), ""High"", """")))"),"")</f>
        <v/>
      </c>
      <c r="T714" s="27" t="str">
        <f>IFERROR(__xludf.DUMMYFUNCTION("IF(REGEXMATCH(N714, ""STATUS: Dev Complete - Awaiting QA""), ""Dev Complete - Awaiting QA"", IF(REGEXMATCH(N714, ""STATUS: Follow-Up Required""), ""Follow-Up Required"", IF(REGEXMATCH(N714, ""STATUS: In Progress""), ""In Progress"", IF(REGEXMATCH(N714, """&amp;"STATUS: In QA""), ""In QA"", IF(REGEXMATCH(N714, ""STATUS: Needs Customer Feedback""), ""Needs Customer Feedback"", IF(REGEXMATCH(N714, ""STATUS: QA Passed - Awaiting Release""), ""QA Passed - Awaiting Release"", IF(REGEXMATCH(N714, ""STATUS: Release to P"&amp;"rod""), ""Release to Prod"", """")))))))"),"")</f>
        <v/>
      </c>
    </row>
    <row r="715" hidden="1">
      <c r="A715" s="61" t="s">
        <v>52</v>
      </c>
      <c r="B715" s="12" t="s">
        <v>53</v>
      </c>
      <c r="C715" s="61">
        <v>129.0</v>
      </c>
      <c r="D715" s="62" t="s">
        <v>3447</v>
      </c>
      <c r="E715" s="56" t="s">
        <v>173</v>
      </c>
      <c r="F715" s="61" t="s">
        <v>3448</v>
      </c>
      <c r="G715" s="57" t="str">
        <f t="shared" si="1"/>
        <v>05-Sep-2025</v>
      </c>
      <c r="H715" s="61" t="s">
        <v>95</v>
      </c>
      <c r="I715" s="61" t="s">
        <v>3449</v>
      </c>
      <c r="J715" s="27" t="str">
        <f t="shared" si="4"/>
        <v>09-Dec-2025</v>
      </c>
      <c r="K715" s="61" t="s">
        <v>3450</v>
      </c>
      <c r="L715" s="27" t="str">
        <f t="shared" si="5"/>
        <v>26-Sep-2025</v>
      </c>
      <c r="M715" s="63" t="s">
        <v>285</v>
      </c>
      <c r="N715" s="61" t="s">
        <v>3451</v>
      </c>
      <c r="O715" s="27"/>
      <c r="P715" s="61">
        <v>6.0</v>
      </c>
      <c r="Q715" s="66" t="s">
        <v>3452</v>
      </c>
      <c r="R715" s="27" t="str">
        <f>IFERROR(__xludf.DUMMYFUNCTION("IF(REGEXMATCH(N715, ""PRIORITY: Low""), ""Low"", IF(REGEXMATCH(N715, ""PRIORITY: Medium""), ""Medium"", IF(REGEXMATCH(N715, ""PRIORITY: High""), ""High"", """")))
"),"Medium")</f>
        <v>Medium</v>
      </c>
      <c r="S715" s="27" t="str">
        <f>IFERROR(__xludf.DUMMYFUNCTION("IF(REGEXMATCH(N715, ""SKILL: Low""), ""Low"", IF(REGEXMATCH(N715, ""SKILL: Medium""), ""Medium"", IF(REGEXMATCH(N715, ""SKILL: High""), ""High"", """")))"),"Low")</f>
        <v>Low</v>
      </c>
      <c r="T715" s="27" t="str">
        <f>IFERROR(__xludf.DUMMYFUNCTION("IF(REGEXMATCH(N715, ""STATUS: Dev Complete - Awaiting QA""), ""Dev Complete - Awaiting QA"", IF(REGEXMATCH(N715, ""STATUS: Follow-Up Required""), ""Follow-Up Required"", IF(REGEXMATCH(N715, ""STATUS: In Progress""), ""In Progress"", IF(REGEXMATCH(N715, """&amp;"STATUS: In QA""), ""In QA"", IF(REGEXMATCH(N715, ""STATUS: Needs Customer Feedback""), ""Needs Customer Feedback"", IF(REGEXMATCH(N715, ""STATUS: QA Passed - Awaiting Release""), ""QA Passed - Awaiting Release"", IF(REGEXMATCH(N715, ""STATUS: Release to P"&amp;"rod""), ""Release to Prod"", """")))))))"),"")</f>
        <v/>
      </c>
    </row>
    <row r="716" hidden="1">
      <c r="A716" s="61" t="s">
        <v>52</v>
      </c>
      <c r="B716" s="12" t="s">
        <v>53</v>
      </c>
      <c r="C716" s="61">
        <v>128.0</v>
      </c>
      <c r="D716" s="62" t="s">
        <v>3453</v>
      </c>
      <c r="E716" s="56" t="s">
        <v>173</v>
      </c>
      <c r="F716" s="61" t="s">
        <v>3454</v>
      </c>
      <c r="G716" s="57" t="str">
        <f t="shared" si="1"/>
        <v>05-Sep-2025</v>
      </c>
      <c r="H716" s="61" t="s">
        <v>95</v>
      </c>
      <c r="I716" s="61" t="s">
        <v>3449</v>
      </c>
      <c r="J716" s="27" t="str">
        <f t="shared" si="4"/>
        <v>09-Dec-2025</v>
      </c>
      <c r="K716" s="61" t="s">
        <v>3455</v>
      </c>
      <c r="L716" s="27" t="str">
        <f t="shared" si="5"/>
        <v>26-Sep-2025</v>
      </c>
      <c r="M716" s="63" t="s">
        <v>291</v>
      </c>
      <c r="N716" s="61" t="s">
        <v>3451</v>
      </c>
      <c r="O716" s="27"/>
      <c r="P716" s="61">
        <v>5.0</v>
      </c>
      <c r="Q716" s="66" t="s">
        <v>3456</v>
      </c>
      <c r="R716" s="27" t="str">
        <f>IFERROR(__xludf.DUMMYFUNCTION("IF(REGEXMATCH(N716, ""PRIORITY: Low""), ""Low"", IF(REGEXMATCH(N716, ""PRIORITY: Medium""), ""Medium"", IF(REGEXMATCH(N716, ""PRIORITY: High""), ""High"", """")))
"),"Medium")</f>
        <v>Medium</v>
      </c>
      <c r="S716" s="27" t="str">
        <f>IFERROR(__xludf.DUMMYFUNCTION("IF(REGEXMATCH(N716, ""SKILL: Low""), ""Low"", IF(REGEXMATCH(N716, ""SKILL: Medium""), ""Medium"", IF(REGEXMATCH(N716, ""SKILL: High""), ""High"", """")))"),"Low")</f>
        <v>Low</v>
      </c>
      <c r="T716" s="27" t="str">
        <f>IFERROR(__xludf.DUMMYFUNCTION("IF(REGEXMATCH(N716, ""STATUS: Dev Complete - Awaiting QA""), ""Dev Complete - Awaiting QA"", IF(REGEXMATCH(N716, ""STATUS: Follow-Up Required""), ""Follow-Up Required"", IF(REGEXMATCH(N716, ""STATUS: In Progress""), ""In Progress"", IF(REGEXMATCH(N716, """&amp;"STATUS: In QA""), ""In QA"", IF(REGEXMATCH(N716, ""STATUS: Needs Customer Feedback""), ""Needs Customer Feedback"", IF(REGEXMATCH(N716, ""STATUS: QA Passed - Awaiting Release""), ""QA Passed - Awaiting Release"", IF(REGEXMATCH(N716, ""STATUS: Release to P"&amp;"rod""), ""Release to Prod"", """")))))))"),"")</f>
        <v/>
      </c>
    </row>
    <row r="717" hidden="1">
      <c r="A717" s="61" t="s">
        <v>52</v>
      </c>
      <c r="B717" s="12" t="s">
        <v>53</v>
      </c>
      <c r="C717" s="61">
        <v>124.0</v>
      </c>
      <c r="D717" s="62" t="s">
        <v>3457</v>
      </c>
      <c r="E717" s="56" t="s">
        <v>173</v>
      </c>
      <c r="F717" s="61" t="s">
        <v>3458</v>
      </c>
      <c r="G717" s="57" t="str">
        <f t="shared" si="1"/>
        <v>05-Sep-2025</v>
      </c>
      <c r="H717" s="61" t="s">
        <v>57</v>
      </c>
      <c r="I717" s="61" t="s">
        <v>3459</v>
      </c>
      <c r="J717" s="27" t="str">
        <f t="shared" si="4"/>
        <v>26-Sep-2025</v>
      </c>
      <c r="K717" s="61" t="s">
        <v>3460</v>
      </c>
      <c r="L717" s="27" t="str">
        <f t="shared" si="5"/>
        <v>12-Sep-2025</v>
      </c>
      <c r="M717" s="63" t="s">
        <v>285</v>
      </c>
      <c r="N717" s="61" t="s">
        <v>3451</v>
      </c>
      <c r="O717" s="61" t="s">
        <v>57</v>
      </c>
      <c r="P717" s="61">
        <v>4.0</v>
      </c>
      <c r="Q717" s="66" t="s">
        <v>3461</v>
      </c>
      <c r="R717" s="27" t="str">
        <f>IFERROR(__xludf.DUMMYFUNCTION("IF(REGEXMATCH(N717, ""PRIORITY: Low""), ""Low"", IF(REGEXMATCH(N717, ""PRIORITY: Medium""), ""Medium"", IF(REGEXMATCH(N717, ""PRIORITY: High""), ""High"", """")))
"),"Medium")</f>
        <v>Medium</v>
      </c>
      <c r="S717" s="27" t="str">
        <f>IFERROR(__xludf.DUMMYFUNCTION("IF(REGEXMATCH(N717, ""SKILL: Low""), ""Low"", IF(REGEXMATCH(N717, ""SKILL: Medium""), ""Medium"", IF(REGEXMATCH(N717, ""SKILL: High""), ""High"", """")))"),"Low")</f>
        <v>Low</v>
      </c>
      <c r="T717" s="27" t="str">
        <f>IFERROR(__xludf.DUMMYFUNCTION("IF(REGEXMATCH(N717, ""STATUS: Dev Complete - Awaiting QA""), ""Dev Complete - Awaiting QA"", IF(REGEXMATCH(N717, ""STATUS: Follow-Up Required""), ""Follow-Up Required"", IF(REGEXMATCH(N717, ""STATUS: In Progress""), ""In Progress"", IF(REGEXMATCH(N717, """&amp;"STATUS: In QA""), ""In QA"", IF(REGEXMATCH(N717, ""STATUS: Needs Customer Feedback""), ""Needs Customer Feedback"", IF(REGEXMATCH(N717, ""STATUS: QA Passed - Awaiting Release""), ""QA Passed - Awaiting Release"", IF(REGEXMATCH(N717, ""STATUS: Release to P"&amp;"rod""), ""Release to Prod"", """")))))))"),"")</f>
        <v/>
      </c>
    </row>
    <row r="718" hidden="1">
      <c r="A718" s="61" t="s">
        <v>52</v>
      </c>
      <c r="B718" s="12" t="s">
        <v>53</v>
      </c>
      <c r="C718" s="61">
        <v>123.0</v>
      </c>
      <c r="D718" s="62" t="s">
        <v>3462</v>
      </c>
      <c r="E718" s="56" t="s">
        <v>173</v>
      </c>
      <c r="F718" s="61" t="s">
        <v>3463</v>
      </c>
      <c r="G718" s="57" t="str">
        <f t="shared" si="1"/>
        <v>05-Sep-2025</v>
      </c>
      <c r="H718" s="61" t="s">
        <v>57</v>
      </c>
      <c r="I718" s="61" t="s">
        <v>3464</v>
      </c>
      <c r="J718" s="27" t="str">
        <f t="shared" si="4"/>
        <v>26-Sep-2025</v>
      </c>
      <c r="K718" s="61" t="s">
        <v>3465</v>
      </c>
      <c r="L718" s="27" t="str">
        <f t="shared" si="5"/>
        <v>12-Sep-2025</v>
      </c>
      <c r="M718" s="63" t="s">
        <v>285</v>
      </c>
      <c r="N718" s="61" t="s">
        <v>3365</v>
      </c>
      <c r="O718" s="61" t="s">
        <v>57</v>
      </c>
      <c r="P718" s="61">
        <v>6.0</v>
      </c>
      <c r="Q718" s="66" t="s">
        <v>3466</v>
      </c>
      <c r="R718" s="27" t="str">
        <f>IFERROR(__xludf.DUMMYFUNCTION("IF(REGEXMATCH(N718, ""PRIORITY: Low""), ""Low"", IF(REGEXMATCH(N718, ""PRIORITY: Medium""), ""Medium"", IF(REGEXMATCH(N718, ""PRIORITY: High""), ""High"", """")))
"),"Medium")</f>
        <v>Medium</v>
      </c>
      <c r="S718" s="27" t="str">
        <f>IFERROR(__xludf.DUMMYFUNCTION("IF(REGEXMATCH(N718, ""SKILL: Low""), ""Low"", IF(REGEXMATCH(N718, ""SKILL: Medium""), ""Medium"", IF(REGEXMATCH(N718, ""SKILL: High""), ""High"", """")))"),"Low")</f>
        <v>Low</v>
      </c>
      <c r="T718" s="27" t="str">
        <f>IFERROR(__xludf.DUMMYFUNCTION("IF(REGEXMATCH(N718, ""STATUS: Dev Complete - Awaiting QA""), ""Dev Complete - Awaiting QA"", IF(REGEXMATCH(N718, ""STATUS: Follow-Up Required""), ""Follow-Up Required"", IF(REGEXMATCH(N718, ""STATUS: In Progress""), ""In Progress"", IF(REGEXMATCH(N718, """&amp;"STATUS: In QA""), ""In QA"", IF(REGEXMATCH(N718, ""STATUS: Needs Customer Feedback""), ""Needs Customer Feedback"", IF(REGEXMATCH(N718, ""STATUS: QA Passed - Awaiting Release""), ""QA Passed - Awaiting Release"", IF(REGEXMATCH(N718, ""STATUS: Release to P"&amp;"rod""), ""Release to Prod"", """")))))))"),"In QA")</f>
        <v>In QA</v>
      </c>
    </row>
    <row r="719" hidden="1">
      <c r="A719" s="61" t="s">
        <v>52</v>
      </c>
      <c r="B719" s="12" t="s">
        <v>53</v>
      </c>
      <c r="C719" s="61">
        <v>117.0</v>
      </c>
      <c r="D719" s="62" t="s">
        <v>3467</v>
      </c>
      <c r="E719" s="56" t="s">
        <v>173</v>
      </c>
      <c r="F719" s="61" t="s">
        <v>3468</v>
      </c>
      <c r="G719" s="57" t="str">
        <f t="shared" si="1"/>
        <v>03-Sep-2025</v>
      </c>
      <c r="H719" s="61" t="s">
        <v>95</v>
      </c>
      <c r="I719" s="61" t="s">
        <v>3464</v>
      </c>
      <c r="J719" s="27" t="str">
        <f t="shared" si="4"/>
        <v>26-Sep-2025</v>
      </c>
      <c r="K719" s="61" t="s">
        <v>3469</v>
      </c>
      <c r="L719" s="27" t="str">
        <f t="shared" si="5"/>
        <v>05-Sep-2025</v>
      </c>
      <c r="M719" s="63" t="s">
        <v>291</v>
      </c>
      <c r="N719" s="61" t="s">
        <v>2810</v>
      </c>
      <c r="O719" s="61" t="s">
        <v>3403</v>
      </c>
      <c r="P719" s="61">
        <v>2.0</v>
      </c>
      <c r="Q719" s="66" t="s">
        <v>3470</v>
      </c>
      <c r="R719" s="27" t="str">
        <f>IFERROR(__xludf.DUMMYFUNCTION("IF(REGEXMATCH(N719, ""PRIORITY: Low""), ""Low"", IF(REGEXMATCH(N719, ""PRIORITY: Medium""), ""Medium"", IF(REGEXMATCH(N719, ""PRIORITY: High""), ""High"", """")))
"),"")</f>
        <v/>
      </c>
      <c r="S719" s="27" t="str">
        <f>IFERROR(__xludf.DUMMYFUNCTION("IF(REGEXMATCH(N719, ""SKILL: Low""), ""Low"", IF(REGEXMATCH(N719, ""SKILL: Medium""), ""Medium"", IF(REGEXMATCH(N719, ""SKILL: High""), ""High"", """")))"),"")</f>
        <v/>
      </c>
      <c r="T719" s="27" t="str">
        <f>IFERROR(__xludf.DUMMYFUNCTION("IF(REGEXMATCH(N719, ""STATUS: Dev Complete - Awaiting QA""), ""Dev Complete - Awaiting QA"", IF(REGEXMATCH(N719, ""STATUS: Follow-Up Required""), ""Follow-Up Required"", IF(REGEXMATCH(N719, ""STATUS: In Progress""), ""In Progress"", IF(REGEXMATCH(N719, """&amp;"STATUS: In QA""), ""In QA"", IF(REGEXMATCH(N719, ""STATUS: Needs Customer Feedback""), ""Needs Customer Feedback"", IF(REGEXMATCH(N719, ""STATUS: QA Passed - Awaiting Release""), ""QA Passed - Awaiting Release"", IF(REGEXMATCH(N719, ""STATUS: Release to P"&amp;"rod""), ""Release to Prod"", """")))))))"),"")</f>
        <v/>
      </c>
    </row>
    <row r="720" hidden="1">
      <c r="A720" s="61" t="s">
        <v>52</v>
      </c>
      <c r="B720" s="12" t="s">
        <v>53</v>
      </c>
      <c r="C720" s="61">
        <v>116.0</v>
      </c>
      <c r="D720" s="62" t="s">
        <v>2946</v>
      </c>
      <c r="E720" s="56" t="s">
        <v>173</v>
      </c>
      <c r="F720" s="61" t="s">
        <v>3471</v>
      </c>
      <c r="G720" s="57" t="str">
        <f t="shared" si="1"/>
        <v>03-Sep-2025</v>
      </c>
      <c r="H720" s="61" t="s">
        <v>98</v>
      </c>
      <c r="I720" s="61" t="s">
        <v>3472</v>
      </c>
      <c r="J720" s="27" t="str">
        <f t="shared" si="4"/>
        <v>03-Sep-2025</v>
      </c>
      <c r="K720" s="61" t="s">
        <v>3472</v>
      </c>
      <c r="L720" s="27" t="str">
        <f t="shared" si="5"/>
        <v>03-Sep-2025</v>
      </c>
      <c r="M720" s="63" t="s">
        <v>15</v>
      </c>
      <c r="N720" s="61" t="s">
        <v>177</v>
      </c>
      <c r="O720" s="27"/>
      <c r="P720" s="61">
        <v>0.0</v>
      </c>
      <c r="Q720" s="66" t="s">
        <v>3473</v>
      </c>
      <c r="R720" s="27" t="str">
        <f>IFERROR(__xludf.DUMMYFUNCTION("IF(REGEXMATCH(N720, ""PRIORITY: Low""), ""Low"", IF(REGEXMATCH(N720, ""PRIORITY: Medium""), ""Medium"", IF(REGEXMATCH(N720, ""PRIORITY: High""), ""High"", """")))
"),"")</f>
        <v/>
      </c>
      <c r="S720" s="27" t="str">
        <f>IFERROR(__xludf.DUMMYFUNCTION("IF(REGEXMATCH(N720, ""SKILL: Low""), ""Low"", IF(REGEXMATCH(N720, ""SKILL: Medium""), ""Medium"", IF(REGEXMATCH(N720, ""SKILL: High""), ""High"", """")))"),"")</f>
        <v/>
      </c>
      <c r="T720" s="27" t="str">
        <f>IFERROR(__xludf.DUMMYFUNCTION("IF(REGEXMATCH(N720, ""STATUS: Dev Complete - Awaiting QA""), ""Dev Complete - Awaiting QA"", IF(REGEXMATCH(N720, ""STATUS: Follow-Up Required""), ""Follow-Up Required"", IF(REGEXMATCH(N720, ""STATUS: In Progress""), ""In Progress"", IF(REGEXMATCH(N720, """&amp;"STATUS: In QA""), ""In QA"", IF(REGEXMATCH(N720, ""STATUS: Needs Customer Feedback""), ""Needs Customer Feedback"", IF(REGEXMATCH(N720, ""STATUS: QA Passed - Awaiting Release""), ""QA Passed - Awaiting Release"", IF(REGEXMATCH(N720, ""STATUS: Release to P"&amp;"rod""), ""Release to Prod"", """")))))))"),"")</f>
        <v/>
      </c>
    </row>
    <row r="721" hidden="1">
      <c r="A721" s="61" t="s">
        <v>52</v>
      </c>
      <c r="B721" s="12" t="s">
        <v>53</v>
      </c>
      <c r="C721" s="61">
        <v>112.0</v>
      </c>
      <c r="D721" s="62" t="s">
        <v>3474</v>
      </c>
      <c r="E721" s="56" t="s">
        <v>173</v>
      </c>
      <c r="F721" s="61" t="s">
        <v>3475</v>
      </c>
      <c r="G721" s="57" t="str">
        <f t="shared" si="1"/>
        <v>02-Sep-2025</v>
      </c>
      <c r="H721" s="61" t="s">
        <v>57</v>
      </c>
      <c r="I721" s="61" t="s">
        <v>3476</v>
      </c>
      <c r="J721" s="27" t="str">
        <f t="shared" si="4"/>
        <v>02-Sep-2025</v>
      </c>
      <c r="K721" s="61" t="s">
        <v>3476</v>
      </c>
      <c r="L721" s="27" t="str">
        <f t="shared" si="5"/>
        <v>02-Sep-2025</v>
      </c>
      <c r="M721" s="63" t="s">
        <v>15</v>
      </c>
      <c r="N721" s="61" t="s">
        <v>3321</v>
      </c>
      <c r="O721" s="61" t="s">
        <v>51</v>
      </c>
      <c r="P721" s="61">
        <v>2.0</v>
      </c>
      <c r="Q721" s="66" t="s">
        <v>3477</v>
      </c>
      <c r="R721" s="27" t="str">
        <f>IFERROR(__xludf.DUMMYFUNCTION("IF(REGEXMATCH(N721, ""PRIORITY: Low""), ""Low"", IF(REGEXMATCH(N721, ""PRIORITY: Medium""), ""Medium"", IF(REGEXMATCH(N721, ""PRIORITY: High""), ""High"", """")))
"),"Low")</f>
        <v>Low</v>
      </c>
      <c r="S721" s="27" t="str">
        <f>IFERROR(__xludf.DUMMYFUNCTION("IF(REGEXMATCH(N721, ""SKILL: Low""), ""Low"", IF(REGEXMATCH(N721, ""SKILL: Medium""), ""Medium"", IF(REGEXMATCH(N721, ""SKILL: High""), ""High"", """")))"),"Low")</f>
        <v>Low</v>
      </c>
      <c r="T721" s="27" t="str">
        <f>IFERROR(__xludf.DUMMYFUNCTION("IF(REGEXMATCH(N721, ""STATUS: Dev Complete - Awaiting QA""), ""Dev Complete - Awaiting QA"", IF(REGEXMATCH(N721, ""STATUS: Follow-Up Required""), ""Follow-Up Required"", IF(REGEXMATCH(N721, ""STATUS: In Progress""), ""In Progress"", IF(REGEXMATCH(N721, """&amp;"STATUS: In QA""), ""In QA"", IF(REGEXMATCH(N721, ""STATUS: Needs Customer Feedback""), ""Needs Customer Feedback"", IF(REGEXMATCH(N721, ""STATUS: QA Passed - Awaiting Release""), ""QA Passed - Awaiting Release"", IF(REGEXMATCH(N721, ""STATUS: Release to P"&amp;"rod""), ""Release to Prod"", """")))))))"),"In Progress")</f>
        <v>In Progress</v>
      </c>
    </row>
    <row r="722" hidden="1">
      <c r="A722" s="61" t="s">
        <v>52</v>
      </c>
      <c r="B722" s="12" t="s">
        <v>53</v>
      </c>
      <c r="C722" s="61">
        <v>111.0</v>
      </c>
      <c r="D722" s="62" t="s">
        <v>3478</v>
      </c>
      <c r="E722" s="56" t="s">
        <v>173</v>
      </c>
      <c r="F722" s="61" t="s">
        <v>3479</v>
      </c>
      <c r="G722" s="57" t="str">
        <f t="shared" si="1"/>
        <v>02-Sep-2025</v>
      </c>
      <c r="H722" s="61" t="s">
        <v>57</v>
      </c>
      <c r="I722" s="61" t="s">
        <v>3480</v>
      </c>
      <c r="J722" s="27" t="str">
        <f t="shared" si="4"/>
        <v>08-Dec-2025</v>
      </c>
      <c r="K722" s="61" t="s">
        <v>3480</v>
      </c>
      <c r="L722" s="27" t="str">
        <f t="shared" si="5"/>
        <v>08-Dec-2025</v>
      </c>
      <c r="M722" s="63" t="s">
        <v>249</v>
      </c>
      <c r="N722" s="61" t="s">
        <v>3481</v>
      </c>
      <c r="O722" s="61" t="s">
        <v>3322</v>
      </c>
      <c r="P722" s="61">
        <v>3.0</v>
      </c>
      <c r="Q722" s="66" t="s">
        <v>3482</v>
      </c>
      <c r="R722" s="27" t="str">
        <f>IFERROR(__xludf.DUMMYFUNCTION("IF(REGEXMATCH(N722, ""PRIORITY: Low""), ""Low"", IF(REGEXMATCH(N722, ""PRIORITY: Medium""), ""Medium"", IF(REGEXMATCH(N722, ""PRIORITY: High""), ""High"", """")))
"),"Low")</f>
        <v>Low</v>
      </c>
      <c r="S722" s="27" t="str">
        <f>IFERROR(__xludf.DUMMYFUNCTION("IF(REGEXMATCH(N722, ""SKILL: Low""), ""Low"", IF(REGEXMATCH(N722, ""SKILL: Medium""), ""Medium"", IF(REGEXMATCH(N722, ""SKILL: High""), ""High"", """")))"),"Low")</f>
        <v>Low</v>
      </c>
      <c r="T722" s="27" t="str">
        <f>IFERROR(__xludf.DUMMYFUNCTION("IF(REGEXMATCH(N722, ""STATUS: Dev Complete - Awaiting QA""), ""Dev Complete - Awaiting QA"", IF(REGEXMATCH(N722, ""STATUS: Follow-Up Required""), ""Follow-Up Required"", IF(REGEXMATCH(N722, ""STATUS: In Progress""), ""In Progress"", IF(REGEXMATCH(N722, """&amp;"STATUS: In QA""), ""In QA"", IF(REGEXMATCH(N722, ""STATUS: Needs Customer Feedback""), ""Needs Customer Feedback"", IF(REGEXMATCH(N722, ""STATUS: QA Passed - Awaiting Release""), ""QA Passed - Awaiting Release"", IF(REGEXMATCH(N722, ""STATUS: Release to P"&amp;"rod""), ""Release to Prod"", """")))))))"),"")</f>
        <v/>
      </c>
    </row>
    <row r="723" hidden="1">
      <c r="A723" s="61" t="s">
        <v>52</v>
      </c>
      <c r="B723" s="12" t="s">
        <v>53</v>
      </c>
      <c r="C723" s="61">
        <v>110.0</v>
      </c>
      <c r="D723" s="62" t="s">
        <v>3483</v>
      </c>
      <c r="E723" s="56" t="s">
        <v>173</v>
      </c>
      <c r="F723" s="61" t="s">
        <v>3484</v>
      </c>
      <c r="G723" s="57" t="str">
        <f t="shared" si="1"/>
        <v>02-Sep-2025</v>
      </c>
      <c r="H723" s="61" t="s">
        <v>57</v>
      </c>
      <c r="I723" s="61" t="s">
        <v>3485</v>
      </c>
      <c r="J723" s="27" t="str">
        <f t="shared" si="4"/>
        <v>08-Dec-2025</v>
      </c>
      <c r="K723" s="61" t="s">
        <v>3485</v>
      </c>
      <c r="L723" s="27" t="str">
        <f t="shared" si="5"/>
        <v>08-Dec-2025</v>
      </c>
      <c r="M723" s="63" t="s">
        <v>249</v>
      </c>
      <c r="N723" s="61" t="s">
        <v>3481</v>
      </c>
      <c r="O723" s="61" t="s">
        <v>3322</v>
      </c>
      <c r="P723" s="61">
        <v>3.0</v>
      </c>
      <c r="Q723" s="66" t="s">
        <v>3486</v>
      </c>
      <c r="R723" s="27" t="str">
        <f>IFERROR(__xludf.DUMMYFUNCTION("IF(REGEXMATCH(N723, ""PRIORITY: Low""), ""Low"", IF(REGEXMATCH(N723, ""PRIORITY: Medium""), ""Medium"", IF(REGEXMATCH(N723, ""PRIORITY: High""), ""High"", """")))
"),"Low")</f>
        <v>Low</v>
      </c>
      <c r="S723" s="27" t="str">
        <f>IFERROR(__xludf.DUMMYFUNCTION("IF(REGEXMATCH(N723, ""SKILL: Low""), ""Low"", IF(REGEXMATCH(N723, ""SKILL: Medium""), ""Medium"", IF(REGEXMATCH(N723, ""SKILL: High""), ""High"", """")))"),"Low")</f>
        <v>Low</v>
      </c>
      <c r="T723" s="27" t="str">
        <f>IFERROR(__xludf.DUMMYFUNCTION("IF(REGEXMATCH(N723, ""STATUS: Dev Complete - Awaiting QA""), ""Dev Complete - Awaiting QA"", IF(REGEXMATCH(N723, ""STATUS: Follow-Up Required""), ""Follow-Up Required"", IF(REGEXMATCH(N723, ""STATUS: In Progress""), ""In Progress"", IF(REGEXMATCH(N723, """&amp;"STATUS: In QA""), ""In QA"", IF(REGEXMATCH(N723, ""STATUS: Needs Customer Feedback""), ""Needs Customer Feedback"", IF(REGEXMATCH(N723, ""STATUS: QA Passed - Awaiting Release""), ""QA Passed - Awaiting Release"", IF(REGEXMATCH(N723, ""STATUS: Release to P"&amp;"rod""), ""Release to Prod"", """")))))))"),"")</f>
        <v/>
      </c>
    </row>
    <row r="724" hidden="1">
      <c r="A724" s="61" t="s">
        <v>52</v>
      </c>
      <c r="B724" s="12" t="s">
        <v>53</v>
      </c>
      <c r="C724" s="61">
        <v>107.0</v>
      </c>
      <c r="D724" s="62" t="s">
        <v>3487</v>
      </c>
      <c r="E724" s="56" t="s">
        <v>173</v>
      </c>
      <c r="F724" s="61" t="s">
        <v>3488</v>
      </c>
      <c r="G724" s="57" t="str">
        <f t="shared" si="1"/>
        <v>30-Aug-2025</v>
      </c>
      <c r="H724" s="61" t="s">
        <v>84</v>
      </c>
      <c r="I724" s="61" t="s">
        <v>3489</v>
      </c>
      <c r="J724" s="27" t="str">
        <f t="shared" si="4"/>
        <v>25-Nov-2025</v>
      </c>
      <c r="K724" s="61" t="s">
        <v>3490</v>
      </c>
      <c r="L724" s="27" t="str">
        <f t="shared" si="5"/>
        <v>25-Nov-2025</v>
      </c>
      <c r="M724" s="63" t="s">
        <v>285</v>
      </c>
      <c r="N724" s="61" t="s">
        <v>3481</v>
      </c>
      <c r="O724" s="61" t="s">
        <v>2734</v>
      </c>
      <c r="P724" s="61">
        <v>5.0</v>
      </c>
      <c r="Q724" s="66" t="s">
        <v>3491</v>
      </c>
      <c r="R724" s="27" t="str">
        <f>IFERROR(__xludf.DUMMYFUNCTION("IF(REGEXMATCH(N724, ""PRIORITY: Low""), ""Low"", IF(REGEXMATCH(N724, ""PRIORITY: Medium""), ""Medium"", IF(REGEXMATCH(N724, ""PRIORITY: High""), ""High"", """")))
"),"Low")</f>
        <v>Low</v>
      </c>
      <c r="S724" s="27" t="str">
        <f>IFERROR(__xludf.DUMMYFUNCTION("IF(REGEXMATCH(N724, ""SKILL: Low""), ""Low"", IF(REGEXMATCH(N724, ""SKILL: Medium""), ""Medium"", IF(REGEXMATCH(N724, ""SKILL: High""), ""High"", """")))"),"Low")</f>
        <v>Low</v>
      </c>
      <c r="T724" s="27" t="str">
        <f>IFERROR(__xludf.DUMMYFUNCTION("IF(REGEXMATCH(N724, ""STATUS: Dev Complete - Awaiting QA""), ""Dev Complete - Awaiting QA"", IF(REGEXMATCH(N724, ""STATUS: Follow-Up Required""), ""Follow-Up Required"", IF(REGEXMATCH(N724, ""STATUS: In Progress""), ""In Progress"", IF(REGEXMATCH(N724, """&amp;"STATUS: In QA""), ""In QA"", IF(REGEXMATCH(N724, ""STATUS: Needs Customer Feedback""), ""Needs Customer Feedback"", IF(REGEXMATCH(N724, ""STATUS: QA Passed - Awaiting Release""), ""QA Passed - Awaiting Release"", IF(REGEXMATCH(N724, ""STATUS: Release to P"&amp;"rod""), ""Release to Prod"", """")))))))"),"")</f>
        <v/>
      </c>
    </row>
    <row r="725" hidden="1">
      <c r="A725" s="61" t="s">
        <v>52</v>
      </c>
      <c r="B725" s="12" t="s">
        <v>53</v>
      </c>
      <c r="C725" s="61">
        <v>106.0</v>
      </c>
      <c r="D725" s="62" t="s">
        <v>3492</v>
      </c>
      <c r="E725" s="56" t="s">
        <v>173</v>
      </c>
      <c r="F725" s="61" t="s">
        <v>3493</v>
      </c>
      <c r="G725" s="57" t="str">
        <f t="shared" si="1"/>
        <v>29-Aug-2025</v>
      </c>
      <c r="H725" s="61" t="s">
        <v>57</v>
      </c>
      <c r="I725" s="61" t="s">
        <v>3494</v>
      </c>
      <c r="J725" s="27" t="str">
        <f t="shared" si="4"/>
        <v>26-Sep-2025</v>
      </c>
      <c r="K725" s="61" t="s">
        <v>3495</v>
      </c>
      <c r="L725" s="27" t="str">
        <f t="shared" si="5"/>
        <v>05-Sep-2025</v>
      </c>
      <c r="M725" s="63" t="s">
        <v>291</v>
      </c>
      <c r="N725" s="61" t="s">
        <v>297</v>
      </c>
      <c r="O725" s="61" t="s">
        <v>57</v>
      </c>
      <c r="P725" s="61">
        <v>3.0</v>
      </c>
      <c r="Q725" s="66" t="s">
        <v>3496</v>
      </c>
      <c r="R725" s="27" t="str">
        <f>IFERROR(__xludf.DUMMYFUNCTION("IF(REGEXMATCH(N725, ""PRIORITY: Low""), ""Low"", IF(REGEXMATCH(N725, ""PRIORITY: Medium""), ""Medium"", IF(REGEXMATCH(N725, ""PRIORITY: High""), ""High"", """")))
"),"High")</f>
        <v>High</v>
      </c>
      <c r="S725" s="27" t="str">
        <f>IFERROR(__xludf.DUMMYFUNCTION("IF(REGEXMATCH(N725, ""SKILL: Low""), ""Low"", IF(REGEXMATCH(N725, ""SKILL: Medium""), ""Medium"", IF(REGEXMATCH(N725, ""SKILL: High""), ""High"", """")))"),"Medium")</f>
        <v>Medium</v>
      </c>
      <c r="T725" s="27" t="str">
        <f>IFERROR(__xludf.DUMMYFUNCTION("IF(REGEXMATCH(N725, ""STATUS: Dev Complete - Awaiting QA""), ""Dev Complete - Awaiting QA"", IF(REGEXMATCH(N725, ""STATUS: Follow-Up Required""), ""Follow-Up Required"", IF(REGEXMATCH(N725, ""STATUS: In Progress""), ""In Progress"", IF(REGEXMATCH(N725, """&amp;"STATUS: In QA""), ""In QA"", IF(REGEXMATCH(N725, ""STATUS: Needs Customer Feedback""), ""Needs Customer Feedback"", IF(REGEXMATCH(N725, ""STATUS: QA Passed - Awaiting Release""), ""QA Passed - Awaiting Release"", IF(REGEXMATCH(N725, ""STATUS: Release to P"&amp;"rod""), ""Release to Prod"", """")))))))"),"")</f>
        <v/>
      </c>
    </row>
    <row r="726" hidden="1">
      <c r="A726" s="61" t="s">
        <v>52</v>
      </c>
      <c r="B726" s="12" t="s">
        <v>53</v>
      </c>
      <c r="C726" s="61">
        <v>105.0</v>
      </c>
      <c r="D726" s="62" t="s">
        <v>3497</v>
      </c>
      <c r="E726" s="56" t="s">
        <v>173</v>
      </c>
      <c r="F726" s="61" t="s">
        <v>3498</v>
      </c>
      <c r="G726" s="57" t="str">
        <f t="shared" si="1"/>
        <v>29-Aug-2025</v>
      </c>
      <c r="H726" s="61" t="s">
        <v>83</v>
      </c>
      <c r="I726" s="61" t="s">
        <v>3499</v>
      </c>
      <c r="J726" s="27" t="str">
        <f t="shared" si="4"/>
        <v>13-Nov-2025</v>
      </c>
      <c r="K726" s="61" t="s">
        <v>3499</v>
      </c>
      <c r="L726" s="27" t="str">
        <f t="shared" si="5"/>
        <v>13-Nov-2025</v>
      </c>
      <c r="M726" s="63" t="s">
        <v>249</v>
      </c>
      <c r="N726" s="61" t="s">
        <v>3321</v>
      </c>
      <c r="O726" s="61" t="s">
        <v>51</v>
      </c>
      <c r="P726" s="61">
        <v>3.0</v>
      </c>
      <c r="Q726" s="66" t="s">
        <v>3500</v>
      </c>
      <c r="R726" s="27" t="str">
        <f>IFERROR(__xludf.DUMMYFUNCTION("IF(REGEXMATCH(N726, ""PRIORITY: Low""), ""Low"", IF(REGEXMATCH(N726, ""PRIORITY: Medium""), ""Medium"", IF(REGEXMATCH(N726, ""PRIORITY: High""), ""High"", """")))
"),"Low")</f>
        <v>Low</v>
      </c>
      <c r="S726" s="27" t="str">
        <f>IFERROR(__xludf.DUMMYFUNCTION("IF(REGEXMATCH(N726, ""SKILL: Low""), ""Low"", IF(REGEXMATCH(N726, ""SKILL: Medium""), ""Medium"", IF(REGEXMATCH(N726, ""SKILL: High""), ""High"", """")))"),"Low")</f>
        <v>Low</v>
      </c>
      <c r="T726" s="27" t="str">
        <f>IFERROR(__xludf.DUMMYFUNCTION("IF(REGEXMATCH(N726, ""STATUS: Dev Complete - Awaiting QA""), ""Dev Complete - Awaiting QA"", IF(REGEXMATCH(N726, ""STATUS: Follow-Up Required""), ""Follow-Up Required"", IF(REGEXMATCH(N726, ""STATUS: In Progress""), ""In Progress"", IF(REGEXMATCH(N726, """&amp;"STATUS: In QA""), ""In QA"", IF(REGEXMATCH(N726, ""STATUS: Needs Customer Feedback""), ""Needs Customer Feedback"", IF(REGEXMATCH(N726, ""STATUS: QA Passed - Awaiting Release""), ""QA Passed - Awaiting Release"", IF(REGEXMATCH(N726, ""STATUS: Release to P"&amp;"rod""), ""Release to Prod"", """")))))))"),"In Progress")</f>
        <v>In Progress</v>
      </c>
    </row>
    <row r="727" hidden="1">
      <c r="A727" s="61" t="s">
        <v>52</v>
      </c>
      <c r="B727" s="12" t="s">
        <v>53</v>
      </c>
      <c r="C727" s="61">
        <v>102.0</v>
      </c>
      <c r="D727" s="62" t="s">
        <v>3501</v>
      </c>
      <c r="E727" s="56" t="s">
        <v>173</v>
      </c>
      <c r="F727" s="61" t="s">
        <v>3502</v>
      </c>
      <c r="G727" s="57" t="str">
        <f t="shared" si="1"/>
        <v>28-Aug-2025</v>
      </c>
      <c r="H727" s="61" t="s">
        <v>57</v>
      </c>
      <c r="I727" s="61" t="s">
        <v>3494</v>
      </c>
      <c r="J727" s="27" t="str">
        <f t="shared" si="4"/>
        <v>26-Sep-2025</v>
      </c>
      <c r="K727" s="61" t="s">
        <v>3503</v>
      </c>
      <c r="L727" s="27" t="str">
        <f t="shared" si="5"/>
        <v>05-Sep-2025</v>
      </c>
      <c r="M727" s="63" t="s">
        <v>249</v>
      </c>
      <c r="N727" s="61" t="s">
        <v>3437</v>
      </c>
      <c r="O727" s="61" t="s">
        <v>2734</v>
      </c>
      <c r="P727" s="61">
        <v>5.0</v>
      </c>
      <c r="Q727" s="66" t="s">
        <v>3504</v>
      </c>
      <c r="R727" s="27" t="str">
        <f>IFERROR(__xludf.DUMMYFUNCTION("IF(REGEXMATCH(N727, ""PRIORITY: Low""), ""Low"", IF(REGEXMATCH(N727, ""PRIORITY: Medium""), ""Medium"", IF(REGEXMATCH(N727, ""PRIORITY: High""), ""High"", """")))
"),"Low")</f>
        <v>Low</v>
      </c>
      <c r="S727" s="27" t="str">
        <f>IFERROR(__xludf.DUMMYFUNCTION("IF(REGEXMATCH(N727, ""SKILL: Low""), ""Low"", IF(REGEXMATCH(N727, ""SKILL: Medium""), ""Medium"", IF(REGEXMATCH(N727, ""SKILL: High""), ""High"", """")))"),"Low")</f>
        <v>Low</v>
      </c>
      <c r="T727" s="27" t="str">
        <f>IFERROR(__xludf.DUMMYFUNCTION("IF(REGEXMATCH(N727, ""STATUS: Dev Complete - Awaiting QA""), ""Dev Complete - Awaiting QA"", IF(REGEXMATCH(N727, ""STATUS: Follow-Up Required""), ""Follow-Up Required"", IF(REGEXMATCH(N727, ""STATUS: In Progress""), ""In Progress"", IF(REGEXMATCH(N727, """&amp;"STATUS: In QA""), ""In QA"", IF(REGEXMATCH(N727, ""STATUS: Needs Customer Feedback""), ""Needs Customer Feedback"", IF(REGEXMATCH(N727, ""STATUS: QA Passed - Awaiting Release""), ""QA Passed - Awaiting Release"", IF(REGEXMATCH(N727, ""STATUS: Release to P"&amp;"rod""), ""Release to Prod"", """")))))))"),"In QA")</f>
        <v>In QA</v>
      </c>
    </row>
    <row r="728" hidden="1">
      <c r="A728" s="61" t="s">
        <v>52</v>
      </c>
      <c r="B728" s="12" t="s">
        <v>53</v>
      </c>
      <c r="C728" s="61">
        <v>101.0</v>
      </c>
      <c r="D728" s="62" t="s">
        <v>3505</v>
      </c>
      <c r="E728" s="56" t="s">
        <v>173</v>
      </c>
      <c r="F728" s="61" t="s">
        <v>3506</v>
      </c>
      <c r="G728" s="57" t="str">
        <f t="shared" si="1"/>
        <v>28-Aug-2025</v>
      </c>
      <c r="H728" s="61" t="s">
        <v>57</v>
      </c>
      <c r="I728" s="61" t="s">
        <v>3507</v>
      </c>
      <c r="J728" s="27" t="str">
        <f t="shared" si="4"/>
        <v>18-Nov-2025</v>
      </c>
      <c r="K728" s="61" t="s">
        <v>3507</v>
      </c>
      <c r="L728" s="27" t="str">
        <f t="shared" si="5"/>
        <v>18-Nov-2025</v>
      </c>
      <c r="M728" s="63" t="s">
        <v>249</v>
      </c>
      <c r="N728" s="61" t="s">
        <v>3321</v>
      </c>
      <c r="O728" s="61" t="s">
        <v>51</v>
      </c>
      <c r="P728" s="61">
        <v>1.0</v>
      </c>
      <c r="Q728" s="66" t="s">
        <v>3508</v>
      </c>
      <c r="R728" s="27" t="str">
        <f>IFERROR(__xludf.DUMMYFUNCTION("IF(REGEXMATCH(N728, ""PRIORITY: Low""), ""Low"", IF(REGEXMATCH(N728, ""PRIORITY: Medium""), ""Medium"", IF(REGEXMATCH(N728, ""PRIORITY: High""), ""High"", """")))
"),"Low")</f>
        <v>Low</v>
      </c>
      <c r="S728" s="27" t="str">
        <f>IFERROR(__xludf.DUMMYFUNCTION("IF(REGEXMATCH(N728, ""SKILL: Low""), ""Low"", IF(REGEXMATCH(N728, ""SKILL: Medium""), ""Medium"", IF(REGEXMATCH(N728, ""SKILL: High""), ""High"", """")))"),"Low")</f>
        <v>Low</v>
      </c>
      <c r="T728" s="27" t="str">
        <f>IFERROR(__xludf.DUMMYFUNCTION("IF(REGEXMATCH(N728, ""STATUS: Dev Complete - Awaiting QA""), ""Dev Complete - Awaiting QA"", IF(REGEXMATCH(N728, ""STATUS: Follow-Up Required""), ""Follow-Up Required"", IF(REGEXMATCH(N728, ""STATUS: In Progress""), ""In Progress"", IF(REGEXMATCH(N728, """&amp;"STATUS: In QA""), ""In QA"", IF(REGEXMATCH(N728, ""STATUS: Needs Customer Feedback""), ""Needs Customer Feedback"", IF(REGEXMATCH(N728, ""STATUS: QA Passed - Awaiting Release""), ""QA Passed - Awaiting Release"", IF(REGEXMATCH(N728, ""STATUS: Release to P"&amp;"rod""), ""Release to Prod"", """")))))))"),"In Progress")</f>
        <v>In Progress</v>
      </c>
    </row>
    <row r="729" hidden="1">
      <c r="A729" s="61" t="s">
        <v>52</v>
      </c>
      <c r="B729" s="12" t="s">
        <v>53</v>
      </c>
      <c r="C729" s="61">
        <v>100.0</v>
      </c>
      <c r="D729" s="62" t="s">
        <v>3509</v>
      </c>
      <c r="E729" s="56" t="s">
        <v>173</v>
      </c>
      <c r="F729" s="61" t="s">
        <v>3510</v>
      </c>
      <c r="G729" s="57" t="str">
        <f t="shared" si="1"/>
        <v>28-Aug-2025</v>
      </c>
      <c r="H729" s="61" t="s">
        <v>57</v>
      </c>
      <c r="I729" s="61" t="s">
        <v>3511</v>
      </c>
      <c r="J729" s="27" t="str">
        <f t="shared" si="4"/>
        <v>18-Sep-2025</v>
      </c>
      <c r="K729" s="61" t="s">
        <v>3511</v>
      </c>
      <c r="L729" s="27" t="str">
        <f t="shared" si="5"/>
        <v>18-Sep-2025</v>
      </c>
      <c r="M729" s="63" t="s">
        <v>249</v>
      </c>
      <c r="N729" s="61" t="s">
        <v>3321</v>
      </c>
      <c r="O729" s="61" t="s">
        <v>51</v>
      </c>
      <c r="P729" s="61">
        <v>1.0</v>
      </c>
      <c r="Q729" s="66" t="s">
        <v>3512</v>
      </c>
      <c r="R729" s="27" t="str">
        <f>IFERROR(__xludf.DUMMYFUNCTION("IF(REGEXMATCH(N729, ""PRIORITY: Low""), ""Low"", IF(REGEXMATCH(N729, ""PRIORITY: Medium""), ""Medium"", IF(REGEXMATCH(N729, ""PRIORITY: High""), ""High"", """")))
"),"Low")</f>
        <v>Low</v>
      </c>
      <c r="S729" s="27" t="str">
        <f>IFERROR(__xludf.DUMMYFUNCTION("IF(REGEXMATCH(N729, ""SKILL: Low""), ""Low"", IF(REGEXMATCH(N729, ""SKILL: Medium""), ""Medium"", IF(REGEXMATCH(N729, ""SKILL: High""), ""High"", """")))"),"Low")</f>
        <v>Low</v>
      </c>
      <c r="T729" s="27" t="str">
        <f>IFERROR(__xludf.DUMMYFUNCTION("IF(REGEXMATCH(N729, ""STATUS: Dev Complete - Awaiting QA""), ""Dev Complete - Awaiting QA"", IF(REGEXMATCH(N729, ""STATUS: Follow-Up Required""), ""Follow-Up Required"", IF(REGEXMATCH(N729, ""STATUS: In Progress""), ""In Progress"", IF(REGEXMATCH(N729, """&amp;"STATUS: In QA""), ""In QA"", IF(REGEXMATCH(N729, ""STATUS: Needs Customer Feedback""), ""Needs Customer Feedback"", IF(REGEXMATCH(N729, ""STATUS: QA Passed - Awaiting Release""), ""QA Passed - Awaiting Release"", IF(REGEXMATCH(N729, ""STATUS: Release to P"&amp;"rod""), ""Release to Prod"", """")))))))"),"In Progress")</f>
        <v>In Progress</v>
      </c>
    </row>
    <row r="730" hidden="1">
      <c r="A730" s="61" t="s">
        <v>52</v>
      </c>
      <c r="B730" s="12" t="s">
        <v>53</v>
      </c>
      <c r="C730" s="61">
        <v>99.0</v>
      </c>
      <c r="D730" s="62" t="s">
        <v>3513</v>
      </c>
      <c r="E730" s="56" t="s">
        <v>173</v>
      </c>
      <c r="F730" s="61" t="s">
        <v>3514</v>
      </c>
      <c r="G730" s="57" t="str">
        <f t="shared" si="1"/>
        <v>28-Aug-2025</v>
      </c>
      <c r="H730" s="61" t="s">
        <v>57</v>
      </c>
      <c r="I730" s="61" t="s">
        <v>3515</v>
      </c>
      <c r="J730" s="27" t="str">
        <f t="shared" si="4"/>
        <v>13-Nov-2025</v>
      </c>
      <c r="K730" s="61" t="s">
        <v>3515</v>
      </c>
      <c r="L730" s="27" t="str">
        <f t="shared" si="5"/>
        <v>13-Nov-2025</v>
      </c>
      <c r="M730" s="63" t="s">
        <v>249</v>
      </c>
      <c r="N730" s="61" t="s">
        <v>3321</v>
      </c>
      <c r="O730" s="61" t="s">
        <v>51</v>
      </c>
      <c r="P730" s="61">
        <v>0.0</v>
      </c>
      <c r="Q730" s="66" t="s">
        <v>3516</v>
      </c>
      <c r="R730" s="27" t="str">
        <f>IFERROR(__xludf.DUMMYFUNCTION("IF(REGEXMATCH(N730, ""PRIORITY: Low""), ""Low"", IF(REGEXMATCH(N730, ""PRIORITY: Medium""), ""Medium"", IF(REGEXMATCH(N730, ""PRIORITY: High""), ""High"", """")))
"),"Low")</f>
        <v>Low</v>
      </c>
      <c r="S730" s="27" t="str">
        <f>IFERROR(__xludf.DUMMYFUNCTION("IF(REGEXMATCH(N730, ""SKILL: Low""), ""Low"", IF(REGEXMATCH(N730, ""SKILL: Medium""), ""Medium"", IF(REGEXMATCH(N730, ""SKILL: High""), ""High"", """")))"),"Low")</f>
        <v>Low</v>
      </c>
      <c r="T730" s="27" t="str">
        <f>IFERROR(__xludf.DUMMYFUNCTION("IF(REGEXMATCH(N730, ""STATUS: Dev Complete - Awaiting QA""), ""Dev Complete - Awaiting QA"", IF(REGEXMATCH(N730, ""STATUS: Follow-Up Required""), ""Follow-Up Required"", IF(REGEXMATCH(N730, ""STATUS: In Progress""), ""In Progress"", IF(REGEXMATCH(N730, """&amp;"STATUS: In QA""), ""In QA"", IF(REGEXMATCH(N730, ""STATUS: Needs Customer Feedback""), ""Needs Customer Feedback"", IF(REGEXMATCH(N730, ""STATUS: QA Passed - Awaiting Release""), ""QA Passed - Awaiting Release"", IF(REGEXMATCH(N730, ""STATUS: Release to P"&amp;"rod""), ""Release to Prod"", """")))))))"),"In Progress")</f>
        <v>In Progress</v>
      </c>
    </row>
    <row r="731" hidden="1">
      <c r="A731" s="61" t="s">
        <v>52</v>
      </c>
      <c r="B731" s="12" t="s">
        <v>53</v>
      </c>
      <c r="C731" s="61">
        <v>98.0</v>
      </c>
      <c r="D731" s="62" t="s">
        <v>3517</v>
      </c>
      <c r="E731" s="56" t="s">
        <v>173</v>
      </c>
      <c r="F731" s="61" t="s">
        <v>3518</v>
      </c>
      <c r="G731" s="57" t="str">
        <f t="shared" si="1"/>
        <v>28-Aug-2025</v>
      </c>
      <c r="H731" s="61" t="s">
        <v>57</v>
      </c>
      <c r="I731" s="61" t="s">
        <v>3519</v>
      </c>
      <c r="J731" s="27" t="str">
        <f t="shared" si="4"/>
        <v>26-Sep-2025</v>
      </c>
      <c r="K731" s="61" t="s">
        <v>3519</v>
      </c>
      <c r="L731" s="27" t="str">
        <f t="shared" si="5"/>
        <v>26-Sep-2025</v>
      </c>
      <c r="M731" s="63" t="s">
        <v>285</v>
      </c>
      <c r="N731" s="61" t="s">
        <v>297</v>
      </c>
      <c r="O731" s="61" t="s">
        <v>51</v>
      </c>
      <c r="P731" s="61">
        <v>7.0</v>
      </c>
      <c r="Q731" s="66" t="s">
        <v>3520</v>
      </c>
      <c r="R731" s="27" t="str">
        <f>IFERROR(__xludf.DUMMYFUNCTION("IF(REGEXMATCH(N731, ""PRIORITY: Low""), ""Low"", IF(REGEXMATCH(N731, ""PRIORITY: Medium""), ""Medium"", IF(REGEXMATCH(N731, ""PRIORITY: High""), ""High"", """")))
"),"High")</f>
        <v>High</v>
      </c>
      <c r="S731" s="27" t="str">
        <f>IFERROR(__xludf.DUMMYFUNCTION("IF(REGEXMATCH(N731, ""SKILL: Low""), ""Low"", IF(REGEXMATCH(N731, ""SKILL: Medium""), ""Medium"", IF(REGEXMATCH(N731, ""SKILL: High""), ""High"", """")))"),"Medium")</f>
        <v>Medium</v>
      </c>
      <c r="T731" s="27" t="str">
        <f>IFERROR(__xludf.DUMMYFUNCTION("IF(REGEXMATCH(N731, ""STATUS: Dev Complete - Awaiting QA""), ""Dev Complete - Awaiting QA"", IF(REGEXMATCH(N731, ""STATUS: Follow-Up Required""), ""Follow-Up Required"", IF(REGEXMATCH(N731, ""STATUS: In Progress""), ""In Progress"", IF(REGEXMATCH(N731, """&amp;"STATUS: In QA""), ""In QA"", IF(REGEXMATCH(N731, ""STATUS: Needs Customer Feedback""), ""Needs Customer Feedback"", IF(REGEXMATCH(N731, ""STATUS: QA Passed - Awaiting Release""), ""QA Passed - Awaiting Release"", IF(REGEXMATCH(N731, ""STATUS: Release to P"&amp;"rod""), ""Release to Prod"", """")))))))"),"")</f>
        <v/>
      </c>
    </row>
    <row r="732" hidden="1">
      <c r="A732" s="61" t="s">
        <v>52</v>
      </c>
      <c r="B732" s="12" t="s">
        <v>53</v>
      </c>
      <c r="C732" s="61">
        <v>97.0</v>
      </c>
      <c r="D732" s="62" t="s">
        <v>3521</v>
      </c>
      <c r="E732" s="56" t="s">
        <v>173</v>
      </c>
      <c r="F732" s="61" t="s">
        <v>3522</v>
      </c>
      <c r="G732" s="57" t="str">
        <f t="shared" si="1"/>
        <v>28-Aug-2025</v>
      </c>
      <c r="H732" s="61" t="s">
        <v>57</v>
      </c>
      <c r="I732" s="61" t="s">
        <v>3523</v>
      </c>
      <c r="J732" s="27" t="str">
        <f t="shared" si="4"/>
        <v>26-Sep-2025</v>
      </c>
      <c r="K732" s="61" t="s">
        <v>3524</v>
      </c>
      <c r="L732" s="27" t="str">
        <f t="shared" si="5"/>
        <v>29-Aug-2025</v>
      </c>
      <c r="M732" s="63" t="s">
        <v>15</v>
      </c>
      <c r="N732" s="61" t="s">
        <v>3417</v>
      </c>
      <c r="O732" s="27"/>
      <c r="P732" s="61">
        <v>1.0</v>
      </c>
      <c r="Q732" s="66" t="s">
        <v>3525</v>
      </c>
      <c r="R732" s="27" t="str">
        <f>IFERROR(__xludf.DUMMYFUNCTION("IF(REGEXMATCH(N732, ""PRIORITY: Low""), ""Low"", IF(REGEXMATCH(N732, ""PRIORITY: Medium""), ""Medium"", IF(REGEXMATCH(N732, ""PRIORITY: High""), ""High"", """")))
"),"High")</f>
        <v>High</v>
      </c>
      <c r="S732" s="27" t="str">
        <f>IFERROR(__xludf.DUMMYFUNCTION("IF(REGEXMATCH(N732, ""SKILL: Low""), ""Low"", IF(REGEXMATCH(N732, ""SKILL: Medium""), ""Medium"", IF(REGEXMATCH(N732, ""SKILL: High""), ""High"", """")))"),"Low")</f>
        <v>Low</v>
      </c>
      <c r="T732" s="27" t="str">
        <f>IFERROR(__xludf.DUMMYFUNCTION("IF(REGEXMATCH(N732, ""STATUS: Dev Complete - Awaiting QA""), ""Dev Complete - Awaiting QA"", IF(REGEXMATCH(N732, ""STATUS: Follow-Up Required""), ""Follow-Up Required"", IF(REGEXMATCH(N732, ""STATUS: In Progress""), ""In Progress"", IF(REGEXMATCH(N732, """&amp;"STATUS: In QA""), ""In QA"", IF(REGEXMATCH(N732, ""STATUS: Needs Customer Feedback""), ""Needs Customer Feedback"", IF(REGEXMATCH(N732, ""STATUS: QA Passed - Awaiting Release""), ""QA Passed - Awaiting Release"", IF(REGEXMATCH(N732, ""STATUS: Release to P"&amp;"rod""), ""Release to Prod"", """")))))))"),"")</f>
        <v/>
      </c>
    </row>
    <row r="733" hidden="1">
      <c r="A733" s="61" t="s">
        <v>52</v>
      </c>
      <c r="B733" s="12" t="s">
        <v>53</v>
      </c>
      <c r="C733" s="61">
        <v>96.0</v>
      </c>
      <c r="D733" s="62" t="s">
        <v>3526</v>
      </c>
      <c r="E733" s="56" t="s">
        <v>173</v>
      </c>
      <c r="F733" s="61" t="s">
        <v>3527</v>
      </c>
      <c r="G733" s="57" t="str">
        <f t="shared" si="1"/>
        <v>28-Aug-2025</v>
      </c>
      <c r="H733" s="61" t="s">
        <v>57</v>
      </c>
      <c r="I733" s="61" t="s">
        <v>3528</v>
      </c>
      <c r="J733" s="27" t="str">
        <f t="shared" si="4"/>
        <v>21-Sep-2025</v>
      </c>
      <c r="K733" s="61" t="s">
        <v>3528</v>
      </c>
      <c r="L733" s="27" t="str">
        <f t="shared" si="5"/>
        <v>21-Sep-2025</v>
      </c>
      <c r="M733" s="63" t="s">
        <v>285</v>
      </c>
      <c r="N733" s="61" t="s">
        <v>3481</v>
      </c>
      <c r="O733" s="61" t="s">
        <v>51</v>
      </c>
      <c r="P733" s="61">
        <v>2.0</v>
      </c>
      <c r="Q733" s="66" t="s">
        <v>3529</v>
      </c>
      <c r="R733" s="27" t="str">
        <f>IFERROR(__xludf.DUMMYFUNCTION("IF(REGEXMATCH(N733, ""PRIORITY: Low""), ""Low"", IF(REGEXMATCH(N733, ""PRIORITY: Medium""), ""Medium"", IF(REGEXMATCH(N733, ""PRIORITY: High""), ""High"", """")))
"),"Low")</f>
        <v>Low</v>
      </c>
      <c r="S733" s="27" t="str">
        <f>IFERROR(__xludf.DUMMYFUNCTION("IF(REGEXMATCH(N733, ""SKILL: Low""), ""Low"", IF(REGEXMATCH(N733, ""SKILL: Medium""), ""Medium"", IF(REGEXMATCH(N733, ""SKILL: High""), ""High"", """")))"),"Low")</f>
        <v>Low</v>
      </c>
      <c r="T733" s="27" t="str">
        <f>IFERROR(__xludf.DUMMYFUNCTION("IF(REGEXMATCH(N733, ""STATUS: Dev Complete - Awaiting QA""), ""Dev Complete - Awaiting QA"", IF(REGEXMATCH(N733, ""STATUS: Follow-Up Required""), ""Follow-Up Required"", IF(REGEXMATCH(N733, ""STATUS: In Progress""), ""In Progress"", IF(REGEXMATCH(N733, """&amp;"STATUS: In QA""), ""In QA"", IF(REGEXMATCH(N733, ""STATUS: Needs Customer Feedback""), ""Needs Customer Feedback"", IF(REGEXMATCH(N733, ""STATUS: QA Passed - Awaiting Release""), ""QA Passed - Awaiting Release"", IF(REGEXMATCH(N733, ""STATUS: Release to P"&amp;"rod""), ""Release to Prod"", """")))))))"),"")</f>
        <v/>
      </c>
    </row>
    <row r="734">
      <c r="A734" s="61" t="s">
        <v>52</v>
      </c>
      <c r="B734" s="12" t="s">
        <v>53</v>
      </c>
      <c r="C734" s="61">
        <v>95.0</v>
      </c>
      <c r="D734" s="62" t="s">
        <v>3530</v>
      </c>
      <c r="E734" s="56" t="s">
        <v>246</v>
      </c>
      <c r="F734" s="61" t="s">
        <v>3531</v>
      </c>
      <c r="G734" s="57" t="str">
        <f t="shared" si="1"/>
        <v>28-Aug-2025</v>
      </c>
      <c r="H734" s="61" t="s">
        <v>57</v>
      </c>
      <c r="I734" s="61" t="s">
        <v>3532</v>
      </c>
      <c r="J734" s="27" t="str">
        <f t="shared" si="4"/>
        <v>17-Nov-2025</v>
      </c>
      <c r="K734" s="27"/>
      <c r="L734" s="27" t="str">
        <f t="shared" si="5"/>
        <v/>
      </c>
      <c r="M734" s="63" t="s">
        <v>249</v>
      </c>
      <c r="N734" s="61" t="s">
        <v>3533</v>
      </c>
      <c r="O734" s="67" t="s">
        <v>51</v>
      </c>
      <c r="P734" s="61">
        <v>2.0</v>
      </c>
      <c r="Q734" s="66" t="s">
        <v>3534</v>
      </c>
      <c r="R734" s="27" t="str">
        <f>IFERROR(__xludf.DUMMYFUNCTION("IF(REGEXMATCH(N734, ""PRIORITY: Low""), ""Low"", IF(REGEXMATCH(N734, ""PRIORITY: Medium""), ""Medium"", IF(REGEXMATCH(N734, ""PRIORITY: High""), ""High"", """")))
"),"Low")</f>
        <v>Low</v>
      </c>
      <c r="S734" s="27" t="str">
        <f>IFERROR(__xludf.DUMMYFUNCTION("IF(REGEXMATCH(N734, ""SKILL: Low""), ""Low"", IF(REGEXMATCH(N734, ""SKILL: Medium""), ""Medium"", IF(REGEXMATCH(N734, ""SKILL: High""), ""High"", """")))"),"Medium")</f>
        <v>Medium</v>
      </c>
      <c r="T734" s="27" t="str">
        <f>IFERROR(__xludf.DUMMYFUNCTION("IF(REGEXMATCH(N734, ""STATUS: Dev Complete - Awaiting QA""), ""Dev Complete - Awaiting QA"", IF(REGEXMATCH(N734, ""STATUS: Follow-Up Required""), ""Follow-Up Required"", IF(REGEXMATCH(N734, ""STATUS: In Progress""), ""In Progress"", IF(REGEXMATCH(N734, """&amp;"STATUS: In QA""), ""In QA"", IF(REGEXMATCH(N734, ""STATUS: Needs Customer Feedback""), ""Needs Customer Feedback"", IF(REGEXMATCH(N734, ""STATUS: QA Passed - Awaiting Release""), ""QA Passed - Awaiting Release"", IF(REGEXMATCH(N734, ""STATUS: Release to P"&amp;"rod""), ""Release to Prod"", """")))))))"),"Follow-Up Required")</f>
        <v>Follow-Up Required</v>
      </c>
    </row>
    <row r="735" hidden="1">
      <c r="A735" s="61" t="s">
        <v>52</v>
      </c>
      <c r="B735" s="12" t="s">
        <v>53</v>
      </c>
      <c r="C735" s="61">
        <v>94.0</v>
      </c>
      <c r="D735" s="62" t="s">
        <v>3535</v>
      </c>
      <c r="E735" s="56" t="s">
        <v>173</v>
      </c>
      <c r="F735" s="61" t="s">
        <v>3536</v>
      </c>
      <c r="G735" s="57" t="str">
        <f t="shared" si="1"/>
        <v>28-Aug-2025</v>
      </c>
      <c r="H735" s="61" t="s">
        <v>57</v>
      </c>
      <c r="I735" s="61" t="s">
        <v>3537</v>
      </c>
      <c r="J735" s="27" t="str">
        <f t="shared" si="4"/>
        <v>13-Nov-2025</v>
      </c>
      <c r="K735" s="61" t="s">
        <v>3537</v>
      </c>
      <c r="L735" s="27" t="str">
        <f t="shared" si="5"/>
        <v>13-Nov-2025</v>
      </c>
      <c r="M735" s="63" t="s">
        <v>249</v>
      </c>
      <c r="N735" s="61" t="s">
        <v>3533</v>
      </c>
      <c r="O735" s="61" t="s">
        <v>57</v>
      </c>
      <c r="P735" s="61">
        <v>2.0</v>
      </c>
      <c r="Q735" s="66" t="s">
        <v>3538</v>
      </c>
      <c r="R735" s="27" t="str">
        <f>IFERROR(__xludf.DUMMYFUNCTION("IF(REGEXMATCH(N735, ""PRIORITY: Low""), ""Low"", IF(REGEXMATCH(N735, ""PRIORITY: Medium""), ""Medium"", IF(REGEXMATCH(N735, ""PRIORITY: High""), ""High"", """")))
"),"Low")</f>
        <v>Low</v>
      </c>
      <c r="S735" s="27" t="str">
        <f>IFERROR(__xludf.DUMMYFUNCTION("IF(REGEXMATCH(N735, ""SKILL: Low""), ""Low"", IF(REGEXMATCH(N735, ""SKILL: Medium""), ""Medium"", IF(REGEXMATCH(N735, ""SKILL: High""), ""High"", """")))"),"Medium")</f>
        <v>Medium</v>
      </c>
      <c r="T735" s="27" t="str">
        <f>IFERROR(__xludf.DUMMYFUNCTION("IF(REGEXMATCH(N735, ""STATUS: Dev Complete - Awaiting QA""), ""Dev Complete - Awaiting QA"", IF(REGEXMATCH(N735, ""STATUS: Follow-Up Required""), ""Follow-Up Required"", IF(REGEXMATCH(N735, ""STATUS: In Progress""), ""In Progress"", IF(REGEXMATCH(N735, """&amp;"STATUS: In QA""), ""In QA"", IF(REGEXMATCH(N735, ""STATUS: Needs Customer Feedback""), ""Needs Customer Feedback"", IF(REGEXMATCH(N735, ""STATUS: QA Passed - Awaiting Release""), ""QA Passed - Awaiting Release"", IF(REGEXMATCH(N735, ""STATUS: Release to P"&amp;"rod""), ""Release to Prod"", """")))))))"),"Follow-Up Required")</f>
        <v>Follow-Up Required</v>
      </c>
    </row>
    <row r="736" hidden="1">
      <c r="A736" s="61" t="s">
        <v>52</v>
      </c>
      <c r="B736" s="12" t="s">
        <v>53</v>
      </c>
      <c r="C736" s="61">
        <v>91.0</v>
      </c>
      <c r="D736" s="62" t="s">
        <v>3539</v>
      </c>
      <c r="E736" s="56" t="s">
        <v>173</v>
      </c>
      <c r="F736" s="61" t="s">
        <v>3540</v>
      </c>
      <c r="G736" s="57" t="str">
        <f t="shared" si="1"/>
        <v>28-Aug-2025</v>
      </c>
      <c r="H736" s="61" t="s">
        <v>57</v>
      </c>
      <c r="I736" s="61" t="s">
        <v>3541</v>
      </c>
      <c r="J736" s="27" t="str">
        <f t="shared" si="4"/>
        <v>18-Sep-2025</v>
      </c>
      <c r="K736" s="61" t="s">
        <v>3541</v>
      </c>
      <c r="L736" s="27" t="str">
        <f t="shared" si="5"/>
        <v>18-Sep-2025</v>
      </c>
      <c r="M736" s="63" t="s">
        <v>285</v>
      </c>
      <c r="N736" s="61" t="s">
        <v>3451</v>
      </c>
      <c r="O736" s="61" t="s">
        <v>51</v>
      </c>
      <c r="P736" s="61">
        <v>2.0</v>
      </c>
      <c r="Q736" s="66" t="s">
        <v>3542</v>
      </c>
      <c r="R736" s="27" t="str">
        <f>IFERROR(__xludf.DUMMYFUNCTION("IF(REGEXMATCH(N736, ""PRIORITY: Low""), ""Low"", IF(REGEXMATCH(N736, ""PRIORITY: Medium""), ""Medium"", IF(REGEXMATCH(N736, ""PRIORITY: High""), ""High"", """")))
"),"Medium")</f>
        <v>Medium</v>
      </c>
      <c r="S736" s="27" t="str">
        <f>IFERROR(__xludf.DUMMYFUNCTION("IF(REGEXMATCH(N736, ""SKILL: Low""), ""Low"", IF(REGEXMATCH(N736, ""SKILL: Medium""), ""Medium"", IF(REGEXMATCH(N736, ""SKILL: High""), ""High"", """")))"),"Low")</f>
        <v>Low</v>
      </c>
      <c r="T736" s="27" t="str">
        <f>IFERROR(__xludf.DUMMYFUNCTION("IF(REGEXMATCH(N736, ""STATUS: Dev Complete - Awaiting QA""), ""Dev Complete - Awaiting QA"", IF(REGEXMATCH(N736, ""STATUS: Follow-Up Required""), ""Follow-Up Required"", IF(REGEXMATCH(N736, ""STATUS: In Progress""), ""In Progress"", IF(REGEXMATCH(N736, """&amp;"STATUS: In QA""), ""In QA"", IF(REGEXMATCH(N736, ""STATUS: Needs Customer Feedback""), ""Needs Customer Feedback"", IF(REGEXMATCH(N736, ""STATUS: QA Passed - Awaiting Release""), ""QA Passed - Awaiting Release"", IF(REGEXMATCH(N736, ""STATUS: Release to P"&amp;"rod""), ""Release to Prod"", """")))))))"),"")</f>
        <v/>
      </c>
    </row>
    <row r="737" hidden="1">
      <c r="A737" s="61" t="s">
        <v>52</v>
      </c>
      <c r="B737" s="12" t="s">
        <v>53</v>
      </c>
      <c r="C737" s="61">
        <v>87.0</v>
      </c>
      <c r="D737" s="62" t="s">
        <v>3543</v>
      </c>
      <c r="E737" s="56" t="s">
        <v>173</v>
      </c>
      <c r="F737" s="61" t="s">
        <v>3544</v>
      </c>
      <c r="G737" s="57" t="str">
        <f t="shared" si="1"/>
        <v>27-Aug-2025</v>
      </c>
      <c r="H737" s="61" t="s">
        <v>57</v>
      </c>
      <c r="I737" s="61" t="s">
        <v>3545</v>
      </c>
      <c r="J737" s="27" t="str">
        <f t="shared" si="4"/>
        <v>08-Sep-2025</v>
      </c>
      <c r="K737" s="61" t="s">
        <v>3545</v>
      </c>
      <c r="L737" s="27" t="str">
        <f t="shared" si="5"/>
        <v>08-Sep-2025</v>
      </c>
      <c r="M737" s="63" t="s">
        <v>285</v>
      </c>
      <c r="N737" s="61" t="s">
        <v>3546</v>
      </c>
      <c r="O737" s="61" t="s">
        <v>57</v>
      </c>
      <c r="P737" s="61">
        <v>3.0</v>
      </c>
      <c r="Q737" s="66" t="s">
        <v>3547</v>
      </c>
      <c r="R737" s="27" t="str">
        <f>IFERROR(__xludf.DUMMYFUNCTION("IF(REGEXMATCH(N737, ""PRIORITY: Low""), ""Low"", IF(REGEXMATCH(N737, ""PRIORITY: Medium""), ""Medium"", IF(REGEXMATCH(N737, ""PRIORITY: High""), ""High"", """")))
"),"Low")</f>
        <v>Low</v>
      </c>
      <c r="S737" s="27" t="str">
        <f>IFERROR(__xludf.DUMMYFUNCTION("IF(REGEXMATCH(N737, ""SKILL: Low""), ""Low"", IF(REGEXMATCH(N737, ""SKILL: Medium""), ""Medium"", IF(REGEXMATCH(N737, ""SKILL: High""), ""High"", """")))"),"Low")</f>
        <v>Low</v>
      </c>
      <c r="T737" s="27" t="str">
        <f>IFERROR(__xludf.DUMMYFUNCTION("IF(REGEXMATCH(N737, ""STATUS: Dev Complete - Awaiting QA""), ""Dev Complete - Awaiting QA"", IF(REGEXMATCH(N737, ""STATUS: Follow-Up Required""), ""Follow-Up Required"", IF(REGEXMATCH(N737, ""STATUS: In Progress""), ""In Progress"", IF(REGEXMATCH(N737, """&amp;"STATUS: In QA""), ""In QA"", IF(REGEXMATCH(N737, ""STATUS: Needs Customer Feedback""), ""Needs Customer Feedback"", IF(REGEXMATCH(N737, ""STATUS: QA Passed - Awaiting Release""), ""QA Passed - Awaiting Release"", IF(REGEXMATCH(N737, ""STATUS: Release to P"&amp;"rod""), ""Release to Prod"", """")))))))"),"In QA")</f>
        <v>In QA</v>
      </c>
    </row>
    <row r="738" hidden="1">
      <c r="A738" s="61" t="s">
        <v>52</v>
      </c>
      <c r="B738" s="12" t="s">
        <v>53</v>
      </c>
      <c r="C738" s="61">
        <v>85.0</v>
      </c>
      <c r="D738" s="62" t="s">
        <v>3548</v>
      </c>
      <c r="E738" s="56" t="s">
        <v>173</v>
      </c>
      <c r="F738" s="61" t="s">
        <v>3549</v>
      </c>
      <c r="G738" s="57" t="str">
        <f t="shared" si="1"/>
        <v>27-Aug-2025</v>
      </c>
      <c r="H738" s="61" t="s">
        <v>57</v>
      </c>
      <c r="I738" s="61" t="s">
        <v>3550</v>
      </c>
      <c r="J738" s="27" t="str">
        <f t="shared" si="4"/>
        <v>17-Nov-2025</v>
      </c>
      <c r="K738" s="61" t="s">
        <v>3550</v>
      </c>
      <c r="L738" s="27" t="str">
        <f t="shared" si="5"/>
        <v>17-Nov-2025</v>
      </c>
      <c r="M738" s="63" t="s">
        <v>249</v>
      </c>
      <c r="N738" s="61" t="s">
        <v>3384</v>
      </c>
      <c r="O738" s="61" t="s">
        <v>2734</v>
      </c>
      <c r="P738" s="61">
        <v>4.0</v>
      </c>
      <c r="Q738" s="66" t="s">
        <v>3551</v>
      </c>
      <c r="R738" s="27" t="str">
        <f>IFERROR(__xludf.DUMMYFUNCTION("IF(REGEXMATCH(N738, ""PRIORITY: Low""), ""Low"", IF(REGEXMATCH(N738, ""PRIORITY: Medium""), ""Medium"", IF(REGEXMATCH(N738, ""PRIORITY: High""), ""High"", """")))
"),"High")</f>
        <v>High</v>
      </c>
      <c r="S738" s="27" t="str">
        <f>IFERROR(__xludf.DUMMYFUNCTION("IF(REGEXMATCH(N738, ""SKILL: Low""), ""Low"", IF(REGEXMATCH(N738, ""SKILL: Medium""), ""Medium"", IF(REGEXMATCH(N738, ""SKILL: High""), ""High"", """")))"),"Medium")</f>
        <v>Medium</v>
      </c>
      <c r="T738" s="27" t="str">
        <f>IFERROR(__xludf.DUMMYFUNCTION("IF(REGEXMATCH(N738, ""STATUS: Dev Complete - Awaiting QA""), ""Dev Complete - Awaiting QA"", IF(REGEXMATCH(N738, ""STATUS: Follow-Up Required""), ""Follow-Up Required"", IF(REGEXMATCH(N738, ""STATUS: In Progress""), ""In Progress"", IF(REGEXMATCH(N738, """&amp;"STATUS: In QA""), ""In QA"", IF(REGEXMATCH(N738, ""STATUS: Needs Customer Feedback""), ""Needs Customer Feedback"", IF(REGEXMATCH(N738, ""STATUS: QA Passed - Awaiting Release""), ""QA Passed - Awaiting Release"", IF(REGEXMATCH(N738, ""STATUS: Release to P"&amp;"rod""), ""Release to Prod"", """")))))))"),"In QA")</f>
        <v>In QA</v>
      </c>
    </row>
    <row r="739" hidden="1">
      <c r="A739" s="61" t="s">
        <v>52</v>
      </c>
      <c r="B739" s="12" t="s">
        <v>53</v>
      </c>
      <c r="C739" s="61">
        <v>84.0</v>
      </c>
      <c r="D739" s="62" t="s">
        <v>3552</v>
      </c>
      <c r="E739" s="56" t="s">
        <v>173</v>
      </c>
      <c r="F739" s="61" t="s">
        <v>3553</v>
      </c>
      <c r="G739" s="57" t="str">
        <f t="shared" si="1"/>
        <v>27-Aug-2025</v>
      </c>
      <c r="H739" s="61" t="s">
        <v>57</v>
      </c>
      <c r="I739" s="61" t="s">
        <v>3554</v>
      </c>
      <c r="J739" s="27" t="str">
        <f t="shared" si="4"/>
        <v>24-Oct-2025</v>
      </c>
      <c r="K739" s="61" t="s">
        <v>3554</v>
      </c>
      <c r="L739" s="27" t="str">
        <f t="shared" si="5"/>
        <v>24-Oct-2025</v>
      </c>
      <c r="M739" s="63" t="s">
        <v>249</v>
      </c>
      <c r="N739" s="61" t="s">
        <v>3555</v>
      </c>
      <c r="O739" s="61" t="s">
        <v>51</v>
      </c>
      <c r="P739" s="61">
        <v>1.0</v>
      </c>
      <c r="Q739" s="66" t="s">
        <v>3556</v>
      </c>
      <c r="R739" s="27" t="str">
        <f>IFERROR(__xludf.DUMMYFUNCTION("IF(REGEXMATCH(N739, ""PRIORITY: Low""), ""Low"", IF(REGEXMATCH(N739, ""PRIORITY: Medium""), ""Medium"", IF(REGEXMATCH(N739, ""PRIORITY: High""), ""High"", """")))
"),"Medium")</f>
        <v>Medium</v>
      </c>
      <c r="S739" s="27" t="str">
        <f>IFERROR(__xludf.DUMMYFUNCTION("IF(REGEXMATCH(N739, ""SKILL: Low""), ""Low"", IF(REGEXMATCH(N739, ""SKILL: Medium""), ""Medium"", IF(REGEXMATCH(N739, ""SKILL: High""), ""High"", """")))"),"Low")</f>
        <v>Low</v>
      </c>
      <c r="T739" s="27" t="str">
        <f>IFERROR(__xludf.DUMMYFUNCTION("IF(REGEXMATCH(N739, ""STATUS: Dev Complete - Awaiting QA""), ""Dev Complete - Awaiting QA"", IF(REGEXMATCH(N739, ""STATUS: Follow-Up Required""), ""Follow-Up Required"", IF(REGEXMATCH(N739, ""STATUS: In Progress""), ""In Progress"", IF(REGEXMATCH(N739, """&amp;"STATUS: In QA""), ""In QA"", IF(REGEXMATCH(N739, ""STATUS: Needs Customer Feedback""), ""Needs Customer Feedback"", IF(REGEXMATCH(N739, ""STATUS: QA Passed - Awaiting Release""), ""QA Passed - Awaiting Release"", IF(REGEXMATCH(N739, ""STATUS: Release to P"&amp;"rod""), ""Release to Prod"", """")))))))"),"In Progress")</f>
        <v>In Progress</v>
      </c>
    </row>
    <row r="740" hidden="1">
      <c r="A740" s="61" t="s">
        <v>52</v>
      </c>
      <c r="B740" s="12" t="s">
        <v>53</v>
      </c>
      <c r="C740" s="61">
        <v>83.0</v>
      </c>
      <c r="D740" s="62" t="s">
        <v>3557</v>
      </c>
      <c r="E740" s="56" t="s">
        <v>173</v>
      </c>
      <c r="F740" s="61" t="s">
        <v>3558</v>
      </c>
      <c r="G740" s="57" t="str">
        <f t="shared" si="1"/>
        <v>27-Aug-2025</v>
      </c>
      <c r="H740" s="61" t="s">
        <v>57</v>
      </c>
      <c r="I740" s="61" t="s">
        <v>3523</v>
      </c>
      <c r="J740" s="27" t="str">
        <f t="shared" si="4"/>
        <v>26-Sep-2025</v>
      </c>
      <c r="K740" s="61" t="s">
        <v>3559</v>
      </c>
      <c r="L740" s="27" t="str">
        <f t="shared" si="5"/>
        <v>29-Aug-2025</v>
      </c>
      <c r="M740" s="63" t="s">
        <v>285</v>
      </c>
      <c r="N740" s="61" t="s">
        <v>297</v>
      </c>
      <c r="O740" s="61" t="s">
        <v>2734</v>
      </c>
      <c r="P740" s="61">
        <v>3.0</v>
      </c>
      <c r="Q740" s="66" t="s">
        <v>3560</v>
      </c>
      <c r="R740" s="27" t="str">
        <f>IFERROR(__xludf.DUMMYFUNCTION("IF(REGEXMATCH(N740, ""PRIORITY: Low""), ""Low"", IF(REGEXMATCH(N740, ""PRIORITY: Medium""), ""Medium"", IF(REGEXMATCH(N740, ""PRIORITY: High""), ""High"", """")))
"),"High")</f>
        <v>High</v>
      </c>
      <c r="S740" s="27" t="str">
        <f>IFERROR(__xludf.DUMMYFUNCTION("IF(REGEXMATCH(N740, ""SKILL: Low""), ""Low"", IF(REGEXMATCH(N740, ""SKILL: Medium""), ""Medium"", IF(REGEXMATCH(N740, ""SKILL: High""), ""High"", """")))"),"Medium")</f>
        <v>Medium</v>
      </c>
      <c r="T740" s="27" t="str">
        <f>IFERROR(__xludf.DUMMYFUNCTION("IF(REGEXMATCH(N740, ""STATUS: Dev Complete - Awaiting QA""), ""Dev Complete - Awaiting QA"", IF(REGEXMATCH(N740, ""STATUS: Follow-Up Required""), ""Follow-Up Required"", IF(REGEXMATCH(N740, ""STATUS: In Progress""), ""In Progress"", IF(REGEXMATCH(N740, """&amp;"STATUS: In QA""), ""In QA"", IF(REGEXMATCH(N740, ""STATUS: Needs Customer Feedback""), ""Needs Customer Feedback"", IF(REGEXMATCH(N740, ""STATUS: QA Passed - Awaiting Release""), ""QA Passed - Awaiting Release"", IF(REGEXMATCH(N740, ""STATUS: Release to P"&amp;"rod""), ""Release to Prod"", """")))))))"),"")</f>
        <v/>
      </c>
    </row>
    <row r="741" hidden="1">
      <c r="A741" s="61" t="s">
        <v>52</v>
      </c>
      <c r="B741" s="12" t="s">
        <v>53</v>
      </c>
      <c r="C741" s="61">
        <v>82.0</v>
      </c>
      <c r="D741" s="62" t="s">
        <v>3561</v>
      </c>
      <c r="E741" s="56" t="s">
        <v>173</v>
      </c>
      <c r="F741" s="61" t="s">
        <v>3562</v>
      </c>
      <c r="G741" s="57" t="str">
        <f t="shared" si="1"/>
        <v>27-Aug-2025</v>
      </c>
      <c r="H741" s="61" t="s">
        <v>57</v>
      </c>
      <c r="I741" s="61" t="s">
        <v>3563</v>
      </c>
      <c r="J741" s="27" t="str">
        <f t="shared" si="4"/>
        <v>08-Sep-2025</v>
      </c>
      <c r="K741" s="61" t="s">
        <v>3563</v>
      </c>
      <c r="L741" s="27" t="str">
        <f t="shared" si="5"/>
        <v>08-Sep-2025</v>
      </c>
      <c r="M741" s="63" t="s">
        <v>249</v>
      </c>
      <c r="N741" s="61" t="s">
        <v>3546</v>
      </c>
      <c r="O741" s="61" t="s">
        <v>57</v>
      </c>
      <c r="P741" s="61">
        <v>3.0</v>
      </c>
      <c r="Q741" s="66" t="s">
        <v>3564</v>
      </c>
      <c r="R741" s="27" t="str">
        <f>IFERROR(__xludf.DUMMYFUNCTION("IF(REGEXMATCH(N741, ""PRIORITY: Low""), ""Low"", IF(REGEXMATCH(N741, ""PRIORITY: Medium""), ""Medium"", IF(REGEXMATCH(N741, ""PRIORITY: High""), ""High"", """")))
"),"Low")</f>
        <v>Low</v>
      </c>
      <c r="S741" s="27" t="str">
        <f>IFERROR(__xludf.DUMMYFUNCTION("IF(REGEXMATCH(N741, ""SKILL: Low""), ""Low"", IF(REGEXMATCH(N741, ""SKILL: Medium""), ""Medium"", IF(REGEXMATCH(N741, ""SKILL: High""), ""High"", """")))"),"Low")</f>
        <v>Low</v>
      </c>
      <c r="T741" s="27" t="str">
        <f>IFERROR(__xludf.DUMMYFUNCTION("IF(REGEXMATCH(N741, ""STATUS: Dev Complete - Awaiting QA""), ""Dev Complete - Awaiting QA"", IF(REGEXMATCH(N741, ""STATUS: Follow-Up Required""), ""Follow-Up Required"", IF(REGEXMATCH(N741, ""STATUS: In Progress""), ""In Progress"", IF(REGEXMATCH(N741, """&amp;"STATUS: In QA""), ""In QA"", IF(REGEXMATCH(N741, ""STATUS: Needs Customer Feedback""), ""Needs Customer Feedback"", IF(REGEXMATCH(N741, ""STATUS: QA Passed - Awaiting Release""), ""QA Passed - Awaiting Release"", IF(REGEXMATCH(N741, ""STATUS: Release to P"&amp;"rod""), ""Release to Prod"", """")))))))"),"In QA")</f>
        <v>In QA</v>
      </c>
    </row>
    <row r="742" hidden="1">
      <c r="A742" s="61" t="s">
        <v>52</v>
      </c>
      <c r="B742" s="12" t="s">
        <v>53</v>
      </c>
      <c r="C742" s="61">
        <v>81.0</v>
      </c>
      <c r="D742" s="62" t="s">
        <v>3565</v>
      </c>
      <c r="E742" s="56" t="s">
        <v>173</v>
      </c>
      <c r="F742" s="61" t="s">
        <v>3566</v>
      </c>
      <c r="G742" s="57" t="str">
        <f t="shared" si="1"/>
        <v>27-Aug-2025</v>
      </c>
      <c r="H742" s="61" t="s">
        <v>57</v>
      </c>
      <c r="I742" s="61" t="s">
        <v>3567</v>
      </c>
      <c r="J742" s="27" t="str">
        <f t="shared" si="4"/>
        <v>25-Nov-2025</v>
      </c>
      <c r="K742" s="61" t="s">
        <v>3567</v>
      </c>
      <c r="L742" s="27" t="str">
        <f t="shared" si="5"/>
        <v>25-Nov-2025</v>
      </c>
      <c r="M742" s="63" t="s">
        <v>285</v>
      </c>
      <c r="N742" s="61" t="s">
        <v>3375</v>
      </c>
      <c r="O742" s="61" t="s">
        <v>3568</v>
      </c>
      <c r="P742" s="61">
        <v>3.0</v>
      </c>
      <c r="Q742" s="66" t="s">
        <v>3569</v>
      </c>
      <c r="R742" s="27" t="str">
        <f>IFERROR(__xludf.DUMMYFUNCTION("IF(REGEXMATCH(N742, ""PRIORITY: Low""), ""Low"", IF(REGEXMATCH(N742, ""PRIORITY: Medium""), ""Medium"", IF(REGEXMATCH(N742, ""PRIORITY: High""), ""High"", """")))
"),"Medium")</f>
        <v>Medium</v>
      </c>
      <c r="S742" s="27" t="str">
        <f>IFERROR(__xludf.DUMMYFUNCTION("IF(REGEXMATCH(N742, ""SKILL: Low""), ""Low"", IF(REGEXMATCH(N742, ""SKILL: Medium""), ""Medium"", IF(REGEXMATCH(N742, ""SKILL: High""), ""High"", """")))"),"Medium")</f>
        <v>Medium</v>
      </c>
      <c r="T742" s="27" t="str">
        <f>IFERROR(__xludf.DUMMYFUNCTION("IF(REGEXMATCH(N742, ""STATUS: Dev Complete - Awaiting QA""), ""Dev Complete - Awaiting QA"", IF(REGEXMATCH(N742, ""STATUS: Follow-Up Required""), ""Follow-Up Required"", IF(REGEXMATCH(N742, ""STATUS: In Progress""), ""In Progress"", IF(REGEXMATCH(N742, """&amp;"STATUS: In QA""), ""In QA"", IF(REGEXMATCH(N742, ""STATUS: Needs Customer Feedback""), ""Needs Customer Feedback"", IF(REGEXMATCH(N742, ""STATUS: QA Passed - Awaiting Release""), ""QA Passed - Awaiting Release"", IF(REGEXMATCH(N742, ""STATUS: Release to P"&amp;"rod""), ""Release to Prod"", """")))))))"),"In QA")</f>
        <v>In QA</v>
      </c>
    </row>
    <row r="743" hidden="1">
      <c r="A743" s="61" t="s">
        <v>52</v>
      </c>
      <c r="B743" s="12" t="s">
        <v>53</v>
      </c>
      <c r="C743" s="61">
        <v>80.0</v>
      </c>
      <c r="D743" s="62" t="s">
        <v>3570</v>
      </c>
      <c r="E743" s="56" t="s">
        <v>173</v>
      </c>
      <c r="F743" s="61" t="s">
        <v>3571</v>
      </c>
      <c r="G743" s="57" t="str">
        <f t="shared" si="1"/>
        <v>27-Aug-2025</v>
      </c>
      <c r="H743" s="61" t="s">
        <v>57</v>
      </c>
      <c r="I743" s="61" t="s">
        <v>3572</v>
      </c>
      <c r="J743" s="27" t="str">
        <f t="shared" si="4"/>
        <v>06-Sep-2025</v>
      </c>
      <c r="K743" s="61" t="s">
        <v>3572</v>
      </c>
      <c r="L743" s="27" t="str">
        <f t="shared" si="5"/>
        <v>06-Sep-2025</v>
      </c>
      <c r="M743" s="63" t="s">
        <v>15</v>
      </c>
      <c r="N743" s="61" t="s">
        <v>3437</v>
      </c>
      <c r="O743" s="61" t="s">
        <v>57</v>
      </c>
      <c r="P743" s="61">
        <v>3.0</v>
      </c>
      <c r="Q743" s="66" t="s">
        <v>3573</v>
      </c>
      <c r="R743" s="27" t="str">
        <f>IFERROR(__xludf.DUMMYFUNCTION("IF(REGEXMATCH(N743, ""PRIORITY: Low""), ""Low"", IF(REGEXMATCH(N743, ""PRIORITY: Medium""), ""Medium"", IF(REGEXMATCH(N743, ""PRIORITY: High""), ""High"", """")))
"),"Low")</f>
        <v>Low</v>
      </c>
      <c r="S743" s="27" t="str">
        <f>IFERROR(__xludf.DUMMYFUNCTION("IF(REGEXMATCH(N743, ""SKILL: Low""), ""Low"", IF(REGEXMATCH(N743, ""SKILL: Medium""), ""Medium"", IF(REGEXMATCH(N743, ""SKILL: High""), ""High"", """")))"),"Low")</f>
        <v>Low</v>
      </c>
      <c r="T743" s="27" t="str">
        <f>IFERROR(__xludf.DUMMYFUNCTION("IF(REGEXMATCH(N743, ""STATUS: Dev Complete - Awaiting QA""), ""Dev Complete - Awaiting QA"", IF(REGEXMATCH(N743, ""STATUS: Follow-Up Required""), ""Follow-Up Required"", IF(REGEXMATCH(N743, ""STATUS: In Progress""), ""In Progress"", IF(REGEXMATCH(N743, """&amp;"STATUS: In QA""), ""In QA"", IF(REGEXMATCH(N743, ""STATUS: Needs Customer Feedback""), ""Needs Customer Feedback"", IF(REGEXMATCH(N743, ""STATUS: QA Passed - Awaiting Release""), ""QA Passed - Awaiting Release"", IF(REGEXMATCH(N743, ""STATUS: Release to P"&amp;"rod""), ""Release to Prod"", """")))))))"),"In QA")</f>
        <v>In QA</v>
      </c>
    </row>
    <row r="744" hidden="1">
      <c r="A744" s="61" t="s">
        <v>52</v>
      </c>
      <c r="B744" s="12" t="s">
        <v>53</v>
      </c>
      <c r="C744" s="61">
        <v>79.0</v>
      </c>
      <c r="D744" s="62" t="s">
        <v>3574</v>
      </c>
      <c r="E744" s="56" t="s">
        <v>173</v>
      </c>
      <c r="F744" s="61" t="s">
        <v>3575</v>
      </c>
      <c r="G744" s="57" t="str">
        <f t="shared" si="1"/>
        <v>27-Aug-2025</v>
      </c>
      <c r="H744" s="61" t="s">
        <v>57</v>
      </c>
      <c r="I744" s="61" t="s">
        <v>3576</v>
      </c>
      <c r="J744" s="27" t="str">
        <f t="shared" si="4"/>
        <v>26-Sep-2025</v>
      </c>
      <c r="K744" s="61" t="s">
        <v>3577</v>
      </c>
      <c r="L744" s="27" t="str">
        <f t="shared" si="5"/>
        <v>05-Sep-2025</v>
      </c>
      <c r="M744" s="63" t="s">
        <v>249</v>
      </c>
      <c r="N744" s="61" t="s">
        <v>3437</v>
      </c>
      <c r="O744" s="61" t="s">
        <v>2734</v>
      </c>
      <c r="P744" s="61">
        <v>5.0</v>
      </c>
      <c r="Q744" s="66" t="s">
        <v>3578</v>
      </c>
      <c r="R744" s="27" t="str">
        <f>IFERROR(__xludf.DUMMYFUNCTION("IF(REGEXMATCH(N744, ""PRIORITY: Low""), ""Low"", IF(REGEXMATCH(N744, ""PRIORITY: Medium""), ""Medium"", IF(REGEXMATCH(N744, ""PRIORITY: High""), ""High"", """")))
"),"Low")</f>
        <v>Low</v>
      </c>
      <c r="S744" s="27" t="str">
        <f>IFERROR(__xludf.DUMMYFUNCTION("IF(REGEXMATCH(N744, ""SKILL: Low""), ""Low"", IF(REGEXMATCH(N744, ""SKILL: Medium""), ""Medium"", IF(REGEXMATCH(N744, ""SKILL: High""), ""High"", """")))"),"Low")</f>
        <v>Low</v>
      </c>
      <c r="T744" s="27" t="str">
        <f>IFERROR(__xludf.DUMMYFUNCTION("IF(REGEXMATCH(N744, ""STATUS: Dev Complete - Awaiting QA""), ""Dev Complete - Awaiting QA"", IF(REGEXMATCH(N744, ""STATUS: Follow-Up Required""), ""Follow-Up Required"", IF(REGEXMATCH(N744, ""STATUS: In Progress""), ""In Progress"", IF(REGEXMATCH(N744, """&amp;"STATUS: In QA""), ""In QA"", IF(REGEXMATCH(N744, ""STATUS: Needs Customer Feedback""), ""Needs Customer Feedback"", IF(REGEXMATCH(N744, ""STATUS: QA Passed - Awaiting Release""), ""QA Passed - Awaiting Release"", IF(REGEXMATCH(N744, ""STATUS: Release to P"&amp;"rod""), ""Release to Prod"", """")))))))"),"In QA")</f>
        <v>In QA</v>
      </c>
    </row>
    <row r="745" hidden="1">
      <c r="A745" s="61" t="s">
        <v>52</v>
      </c>
      <c r="B745" s="12" t="s">
        <v>53</v>
      </c>
      <c r="C745" s="61">
        <v>77.0</v>
      </c>
      <c r="D745" s="62" t="s">
        <v>3579</v>
      </c>
      <c r="E745" s="56" t="s">
        <v>173</v>
      </c>
      <c r="F745" s="61" t="s">
        <v>3580</v>
      </c>
      <c r="G745" s="57" t="str">
        <f t="shared" si="1"/>
        <v>26-Aug-2025</v>
      </c>
      <c r="H745" s="61" t="s">
        <v>51</v>
      </c>
      <c r="I745" s="61" t="s">
        <v>3581</v>
      </c>
      <c r="J745" s="27" t="str">
        <f t="shared" si="4"/>
        <v>18-Sep-2025</v>
      </c>
      <c r="K745" s="61" t="s">
        <v>3582</v>
      </c>
      <c r="L745" s="27" t="str">
        <f t="shared" si="5"/>
        <v>18-Sep-2025</v>
      </c>
      <c r="M745" s="63" t="s">
        <v>285</v>
      </c>
      <c r="N745" s="61" t="s">
        <v>3481</v>
      </c>
      <c r="O745" s="61" t="s">
        <v>51</v>
      </c>
      <c r="P745" s="61">
        <v>1.0</v>
      </c>
      <c r="Q745" s="66" t="s">
        <v>3583</v>
      </c>
      <c r="R745" s="27" t="str">
        <f>IFERROR(__xludf.DUMMYFUNCTION("IF(REGEXMATCH(N745, ""PRIORITY: Low""), ""Low"", IF(REGEXMATCH(N745, ""PRIORITY: Medium""), ""Medium"", IF(REGEXMATCH(N745, ""PRIORITY: High""), ""High"", """")))
"),"Low")</f>
        <v>Low</v>
      </c>
      <c r="S745" s="27" t="str">
        <f>IFERROR(__xludf.DUMMYFUNCTION("IF(REGEXMATCH(N745, ""SKILL: Low""), ""Low"", IF(REGEXMATCH(N745, ""SKILL: Medium""), ""Medium"", IF(REGEXMATCH(N745, ""SKILL: High""), ""High"", """")))"),"Low")</f>
        <v>Low</v>
      </c>
      <c r="T745" s="27" t="str">
        <f>IFERROR(__xludf.DUMMYFUNCTION("IF(REGEXMATCH(N745, ""STATUS: Dev Complete - Awaiting QA""), ""Dev Complete - Awaiting QA"", IF(REGEXMATCH(N745, ""STATUS: Follow-Up Required""), ""Follow-Up Required"", IF(REGEXMATCH(N745, ""STATUS: In Progress""), ""In Progress"", IF(REGEXMATCH(N745, """&amp;"STATUS: In QA""), ""In QA"", IF(REGEXMATCH(N745, ""STATUS: Needs Customer Feedback""), ""Needs Customer Feedback"", IF(REGEXMATCH(N745, ""STATUS: QA Passed - Awaiting Release""), ""QA Passed - Awaiting Release"", IF(REGEXMATCH(N745, ""STATUS: Release to P"&amp;"rod""), ""Release to Prod"", """")))))))"),"")</f>
        <v/>
      </c>
    </row>
    <row r="746" hidden="1">
      <c r="A746" s="61" t="s">
        <v>52</v>
      </c>
      <c r="B746" s="12" t="s">
        <v>53</v>
      </c>
      <c r="C746" s="61">
        <v>76.0</v>
      </c>
      <c r="D746" s="62" t="s">
        <v>3584</v>
      </c>
      <c r="E746" s="56" t="s">
        <v>173</v>
      </c>
      <c r="F746" s="61" t="s">
        <v>3585</v>
      </c>
      <c r="G746" s="57" t="str">
        <f t="shared" si="1"/>
        <v>26-Aug-2025</v>
      </c>
      <c r="H746" s="61" t="s">
        <v>51</v>
      </c>
      <c r="I746" s="61" t="s">
        <v>3586</v>
      </c>
      <c r="J746" s="27" t="str">
        <f t="shared" si="4"/>
        <v>08-Sep-2025</v>
      </c>
      <c r="K746" s="61" t="s">
        <v>3586</v>
      </c>
      <c r="L746" s="27" t="str">
        <f t="shared" si="5"/>
        <v>08-Sep-2025</v>
      </c>
      <c r="M746" s="63" t="s">
        <v>249</v>
      </c>
      <c r="N746" s="61" t="s">
        <v>3546</v>
      </c>
      <c r="O746" s="61" t="s">
        <v>57</v>
      </c>
      <c r="P746" s="61">
        <v>4.0</v>
      </c>
      <c r="Q746" s="66" t="s">
        <v>3587</v>
      </c>
      <c r="R746" s="27" t="str">
        <f>IFERROR(__xludf.DUMMYFUNCTION("IF(REGEXMATCH(N746, ""PRIORITY: Low""), ""Low"", IF(REGEXMATCH(N746, ""PRIORITY: Medium""), ""Medium"", IF(REGEXMATCH(N746, ""PRIORITY: High""), ""High"", """")))
"),"Low")</f>
        <v>Low</v>
      </c>
      <c r="S746" s="27" t="str">
        <f>IFERROR(__xludf.DUMMYFUNCTION("IF(REGEXMATCH(N746, ""SKILL: Low""), ""Low"", IF(REGEXMATCH(N746, ""SKILL: Medium""), ""Medium"", IF(REGEXMATCH(N746, ""SKILL: High""), ""High"", """")))"),"Low")</f>
        <v>Low</v>
      </c>
      <c r="T746" s="27" t="str">
        <f>IFERROR(__xludf.DUMMYFUNCTION("IF(REGEXMATCH(N746, ""STATUS: Dev Complete - Awaiting QA""), ""Dev Complete - Awaiting QA"", IF(REGEXMATCH(N746, ""STATUS: Follow-Up Required""), ""Follow-Up Required"", IF(REGEXMATCH(N746, ""STATUS: In Progress""), ""In Progress"", IF(REGEXMATCH(N746, """&amp;"STATUS: In QA""), ""In QA"", IF(REGEXMATCH(N746, ""STATUS: Needs Customer Feedback""), ""Needs Customer Feedback"", IF(REGEXMATCH(N746, ""STATUS: QA Passed - Awaiting Release""), ""QA Passed - Awaiting Release"", IF(REGEXMATCH(N746, ""STATUS: Release to P"&amp;"rod""), ""Release to Prod"", """")))))))"),"In QA")</f>
        <v>In QA</v>
      </c>
    </row>
    <row r="747" hidden="1">
      <c r="A747" s="61" t="s">
        <v>52</v>
      </c>
      <c r="B747" s="12" t="s">
        <v>53</v>
      </c>
      <c r="C747" s="61">
        <v>72.0</v>
      </c>
      <c r="D747" s="62" t="s">
        <v>3588</v>
      </c>
      <c r="E747" s="56" t="s">
        <v>173</v>
      </c>
      <c r="F747" s="61" t="s">
        <v>3589</v>
      </c>
      <c r="G747" s="57" t="str">
        <f t="shared" si="1"/>
        <v>25-Aug-2025</v>
      </c>
      <c r="H747" s="61" t="s">
        <v>84</v>
      </c>
      <c r="I747" s="61" t="s">
        <v>3590</v>
      </c>
      <c r="J747" s="27" t="str">
        <f t="shared" si="4"/>
        <v>25-Aug-2025</v>
      </c>
      <c r="K747" s="61" t="s">
        <v>3590</v>
      </c>
      <c r="L747" s="27" t="str">
        <f t="shared" si="5"/>
        <v>25-Aug-2025</v>
      </c>
      <c r="M747" s="63" t="s">
        <v>285</v>
      </c>
      <c r="N747" s="61" t="s">
        <v>3591</v>
      </c>
      <c r="O747" s="61" t="s">
        <v>57</v>
      </c>
      <c r="P747" s="61">
        <v>1.0</v>
      </c>
      <c r="Q747" s="66" t="s">
        <v>3592</v>
      </c>
      <c r="R747" s="27" t="str">
        <f>IFERROR(__xludf.DUMMYFUNCTION("IF(REGEXMATCH(N747, ""PRIORITY: Low""), ""Low"", IF(REGEXMATCH(N747, ""PRIORITY: Medium""), ""Medium"", IF(REGEXMATCH(N747, ""PRIORITY: High""), ""High"", """")))
"),"Medium")</f>
        <v>Medium</v>
      </c>
      <c r="S747" s="27" t="str">
        <f>IFERROR(__xludf.DUMMYFUNCTION("IF(REGEXMATCH(N747, ""SKILL: Low""), ""Low"", IF(REGEXMATCH(N747, ""SKILL: Medium""), ""Medium"", IF(REGEXMATCH(N747, ""SKILL: High""), ""High"", """")))"),"Medium")</f>
        <v>Medium</v>
      </c>
      <c r="T747" s="27" t="str">
        <f>IFERROR(__xludf.DUMMYFUNCTION("IF(REGEXMATCH(N747, ""STATUS: Dev Complete - Awaiting QA""), ""Dev Complete - Awaiting QA"", IF(REGEXMATCH(N747, ""STATUS: Follow-Up Required""), ""Follow-Up Required"", IF(REGEXMATCH(N747, ""STATUS: In Progress""), ""In Progress"", IF(REGEXMATCH(N747, """&amp;"STATUS: In QA""), ""In QA"", IF(REGEXMATCH(N747, ""STATUS: Needs Customer Feedback""), ""Needs Customer Feedback"", IF(REGEXMATCH(N747, ""STATUS: QA Passed - Awaiting Release""), ""QA Passed - Awaiting Release"", IF(REGEXMATCH(N747, ""STATUS: Release to P"&amp;"rod""), ""Release to Prod"", """")))))))"),"In Progress")</f>
        <v>In Progress</v>
      </c>
    </row>
    <row r="748" hidden="1">
      <c r="A748" s="61" t="s">
        <v>52</v>
      </c>
      <c r="B748" s="12" t="s">
        <v>53</v>
      </c>
      <c r="C748" s="61">
        <v>71.0</v>
      </c>
      <c r="D748" s="62" t="s">
        <v>3593</v>
      </c>
      <c r="E748" s="56" t="s">
        <v>173</v>
      </c>
      <c r="F748" s="61" t="s">
        <v>3594</v>
      </c>
      <c r="G748" s="57" t="str">
        <f t="shared" si="1"/>
        <v>25-Aug-2025</v>
      </c>
      <c r="H748" s="61" t="s">
        <v>51</v>
      </c>
      <c r="I748" s="61" t="s">
        <v>3595</v>
      </c>
      <c r="J748" s="27" t="str">
        <f t="shared" si="4"/>
        <v>29-Aug-2025</v>
      </c>
      <c r="K748" s="61" t="s">
        <v>3595</v>
      </c>
      <c r="L748" s="27" t="str">
        <f t="shared" si="5"/>
        <v>29-Aug-2025</v>
      </c>
      <c r="M748" s="63" t="s">
        <v>285</v>
      </c>
      <c r="N748" s="61" t="s">
        <v>3481</v>
      </c>
      <c r="O748" s="61" t="s">
        <v>51</v>
      </c>
      <c r="P748" s="61">
        <v>2.0</v>
      </c>
      <c r="Q748" s="66" t="s">
        <v>3596</v>
      </c>
      <c r="R748" s="27" t="str">
        <f>IFERROR(__xludf.DUMMYFUNCTION("IF(REGEXMATCH(N748, ""PRIORITY: Low""), ""Low"", IF(REGEXMATCH(N748, ""PRIORITY: Medium""), ""Medium"", IF(REGEXMATCH(N748, ""PRIORITY: High""), ""High"", """")))
"),"Low")</f>
        <v>Low</v>
      </c>
      <c r="S748" s="27" t="str">
        <f>IFERROR(__xludf.DUMMYFUNCTION("IF(REGEXMATCH(N748, ""SKILL: Low""), ""Low"", IF(REGEXMATCH(N748, ""SKILL: Medium""), ""Medium"", IF(REGEXMATCH(N748, ""SKILL: High""), ""High"", """")))"),"Low")</f>
        <v>Low</v>
      </c>
      <c r="T748" s="27" t="str">
        <f>IFERROR(__xludf.DUMMYFUNCTION("IF(REGEXMATCH(N748, ""STATUS: Dev Complete - Awaiting QA""), ""Dev Complete - Awaiting QA"", IF(REGEXMATCH(N748, ""STATUS: Follow-Up Required""), ""Follow-Up Required"", IF(REGEXMATCH(N748, ""STATUS: In Progress""), ""In Progress"", IF(REGEXMATCH(N748, """&amp;"STATUS: In QA""), ""In QA"", IF(REGEXMATCH(N748, ""STATUS: Needs Customer Feedback""), ""Needs Customer Feedback"", IF(REGEXMATCH(N748, ""STATUS: QA Passed - Awaiting Release""), ""QA Passed - Awaiting Release"", IF(REGEXMATCH(N748, ""STATUS: Release to P"&amp;"rod""), ""Release to Prod"", """")))))))"),"")</f>
        <v/>
      </c>
    </row>
    <row r="749" hidden="1">
      <c r="A749" s="61" t="s">
        <v>52</v>
      </c>
      <c r="B749" s="12" t="s">
        <v>53</v>
      </c>
      <c r="C749" s="61">
        <v>67.0</v>
      </c>
      <c r="D749" s="62" t="s">
        <v>3597</v>
      </c>
      <c r="E749" s="56" t="s">
        <v>173</v>
      </c>
      <c r="F749" s="61" t="s">
        <v>3598</v>
      </c>
      <c r="G749" s="57" t="str">
        <f t="shared" si="1"/>
        <v>22-Aug-2025</v>
      </c>
      <c r="H749" s="61" t="s">
        <v>57</v>
      </c>
      <c r="I749" s="61" t="s">
        <v>3599</v>
      </c>
      <c r="J749" s="27" t="str">
        <f t="shared" si="4"/>
        <v>29-Aug-2025</v>
      </c>
      <c r="K749" s="61" t="s">
        <v>3599</v>
      </c>
      <c r="L749" s="27" t="str">
        <f t="shared" si="5"/>
        <v>29-Aug-2025</v>
      </c>
      <c r="M749" s="63" t="s">
        <v>249</v>
      </c>
      <c r="N749" s="61" t="s">
        <v>3481</v>
      </c>
      <c r="O749" s="61" t="s">
        <v>51</v>
      </c>
      <c r="P749" s="61">
        <v>2.0</v>
      </c>
      <c r="Q749" s="66" t="s">
        <v>3600</v>
      </c>
      <c r="R749" s="27" t="str">
        <f>IFERROR(__xludf.DUMMYFUNCTION("IF(REGEXMATCH(N749, ""PRIORITY: Low""), ""Low"", IF(REGEXMATCH(N749, ""PRIORITY: Medium""), ""Medium"", IF(REGEXMATCH(N749, ""PRIORITY: High""), ""High"", """")))
"),"Low")</f>
        <v>Low</v>
      </c>
      <c r="S749" s="27" t="str">
        <f>IFERROR(__xludf.DUMMYFUNCTION("IF(REGEXMATCH(N749, ""SKILL: Low""), ""Low"", IF(REGEXMATCH(N749, ""SKILL: Medium""), ""Medium"", IF(REGEXMATCH(N749, ""SKILL: High""), ""High"", """")))"),"Low")</f>
        <v>Low</v>
      </c>
      <c r="T749" s="27" t="str">
        <f>IFERROR(__xludf.DUMMYFUNCTION("IF(REGEXMATCH(N749, ""STATUS: Dev Complete - Awaiting QA""), ""Dev Complete - Awaiting QA"", IF(REGEXMATCH(N749, ""STATUS: Follow-Up Required""), ""Follow-Up Required"", IF(REGEXMATCH(N749, ""STATUS: In Progress""), ""In Progress"", IF(REGEXMATCH(N749, """&amp;"STATUS: In QA""), ""In QA"", IF(REGEXMATCH(N749, ""STATUS: Needs Customer Feedback""), ""Needs Customer Feedback"", IF(REGEXMATCH(N749, ""STATUS: QA Passed - Awaiting Release""), ""QA Passed - Awaiting Release"", IF(REGEXMATCH(N749, ""STATUS: Release to P"&amp;"rod""), ""Release to Prod"", """")))))))"),"")</f>
        <v/>
      </c>
    </row>
    <row r="750" hidden="1">
      <c r="A750" s="61" t="s">
        <v>52</v>
      </c>
      <c r="B750" s="12" t="s">
        <v>53</v>
      </c>
      <c r="C750" s="61">
        <v>63.0</v>
      </c>
      <c r="D750" s="62" t="s">
        <v>3601</v>
      </c>
      <c r="E750" s="56" t="s">
        <v>173</v>
      </c>
      <c r="F750" s="61" t="s">
        <v>3602</v>
      </c>
      <c r="G750" s="57" t="str">
        <f t="shared" si="1"/>
        <v>20-Aug-2025</v>
      </c>
      <c r="H750" s="61" t="s">
        <v>51</v>
      </c>
      <c r="I750" s="61" t="s">
        <v>3603</v>
      </c>
      <c r="J750" s="27" t="str">
        <f t="shared" si="4"/>
        <v>29-Aug-2025</v>
      </c>
      <c r="K750" s="61" t="s">
        <v>3603</v>
      </c>
      <c r="L750" s="27" t="str">
        <f t="shared" si="5"/>
        <v>29-Aug-2025</v>
      </c>
      <c r="M750" s="63" t="s">
        <v>249</v>
      </c>
      <c r="N750" s="61" t="s">
        <v>1903</v>
      </c>
      <c r="O750" s="61" t="s">
        <v>51</v>
      </c>
      <c r="P750" s="61">
        <v>2.0</v>
      </c>
      <c r="Q750" s="66" t="s">
        <v>3604</v>
      </c>
      <c r="R750" s="27" t="str">
        <f>IFERROR(__xludf.DUMMYFUNCTION("IF(REGEXMATCH(N750, ""PRIORITY: Low""), ""Low"", IF(REGEXMATCH(N750, ""PRIORITY: Medium""), ""Medium"", IF(REGEXMATCH(N750, ""PRIORITY: High""), ""High"", """")))
"),"Medium")</f>
        <v>Medium</v>
      </c>
      <c r="S750" s="27" t="str">
        <f>IFERROR(__xludf.DUMMYFUNCTION("IF(REGEXMATCH(N750, ""SKILL: Low""), ""Low"", IF(REGEXMATCH(N750, ""SKILL: Medium""), ""Medium"", IF(REGEXMATCH(N750, ""SKILL: High""), ""High"", """")))"),"Medium")</f>
        <v>Medium</v>
      </c>
      <c r="T750" s="27" t="str">
        <f>IFERROR(__xludf.DUMMYFUNCTION("IF(REGEXMATCH(N750, ""STATUS: Dev Complete - Awaiting QA""), ""Dev Complete - Awaiting QA"", IF(REGEXMATCH(N750, ""STATUS: Follow-Up Required""), ""Follow-Up Required"", IF(REGEXMATCH(N750, ""STATUS: In Progress""), ""In Progress"", IF(REGEXMATCH(N750, """&amp;"STATUS: In QA""), ""In QA"", IF(REGEXMATCH(N750, ""STATUS: Needs Customer Feedback""), ""Needs Customer Feedback"", IF(REGEXMATCH(N750, ""STATUS: QA Passed - Awaiting Release""), ""QA Passed - Awaiting Release"", IF(REGEXMATCH(N750, ""STATUS: Release to P"&amp;"rod""), ""Release to Prod"", """")))))))"),"")</f>
        <v/>
      </c>
    </row>
    <row r="751" hidden="1">
      <c r="A751" s="61" t="s">
        <v>52</v>
      </c>
      <c r="B751" s="12" t="s">
        <v>53</v>
      </c>
      <c r="C751" s="61">
        <v>59.0</v>
      </c>
      <c r="D751" s="62" t="s">
        <v>3605</v>
      </c>
      <c r="E751" s="56" t="s">
        <v>173</v>
      </c>
      <c r="F751" s="61" t="s">
        <v>3606</v>
      </c>
      <c r="G751" s="57" t="str">
        <f t="shared" si="1"/>
        <v>15-Aug-2025</v>
      </c>
      <c r="H751" s="61" t="s">
        <v>57</v>
      </c>
      <c r="I751" s="61" t="s">
        <v>3576</v>
      </c>
      <c r="J751" s="27" t="str">
        <f t="shared" si="4"/>
        <v>26-Sep-2025</v>
      </c>
      <c r="K751" s="61" t="s">
        <v>3607</v>
      </c>
      <c r="L751" s="27" t="str">
        <f t="shared" si="5"/>
        <v>29-Aug-2025</v>
      </c>
      <c r="M751" s="63" t="s">
        <v>291</v>
      </c>
      <c r="N751" s="61" t="s">
        <v>3451</v>
      </c>
      <c r="O751" s="27"/>
      <c r="P751" s="61">
        <v>2.0</v>
      </c>
      <c r="Q751" s="66" t="s">
        <v>3608</v>
      </c>
      <c r="R751" s="27" t="str">
        <f>IFERROR(__xludf.DUMMYFUNCTION("IF(REGEXMATCH(N751, ""PRIORITY: Low""), ""Low"", IF(REGEXMATCH(N751, ""PRIORITY: Medium""), ""Medium"", IF(REGEXMATCH(N751, ""PRIORITY: High""), ""High"", """")))
"),"Medium")</f>
        <v>Medium</v>
      </c>
      <c r="S751" s="27" t="str">
        <f>IFERROR(__xludf.DUMMYFUNCTION("IF(REGEXMATCH(N751, ""SKILL: Low""), ""Low"", IF(REGEXMATCH(N751, ""SKILL: Medium""), ""Medium"", IF(REGEXMATCH(N751, ""SKILL: High""), ""High"", """")))"),"Low")</f>
        <v>Low</v>
      </c>
      <c r="T751" s="27" t="str">
        <f>IFERROR(__xludf.DUMMYFUNCTION("IF(REGEXMATCH(N751, ""STATUS: Dev Complete - Awaiting QA""), ""Dev Complete - Awaiting QA"", IF(REGEXMATCH(N751, ""STATUS: Follow-Up Required""), ""Follow-Up Required"", IF(REGEXMATCH(N751, ""STATUS: In Progress""), ""In Progress"", IF(REGEXMATCH(N751, """&amp;"STATUS: In QA""), ""In QA"", IF(REGEXMATCH(N751, ""STATUS: Needs Customer Feedback""), ""Needs Customer Feedback"", IF(REGEXMATCH(N751, ""STATUS: QA Passed - Awaiting Release""), ""QA Passed - Awaiting Release"", IF(REGEXMATCH(N751, ""STATUS: Release to P"&amp;"rod""), ""Release to Prod"", """")))))))"),"")</f>
        <v/>
      </c>
    </row>
    <row r="752" hidden="1">
      <c r="A752" s="61" t="s">
        <v>52</v>
      </c>
      <c r="B752" s="12" t="s">
        <v>53</v>
      </c>
      <c r="C752" s="61">
        <v>57.0</v>
      </c>
      <c r="D752" s="62" t="s">
        <v>3609</v>
      </c>
      <c r="E752" s="56" t="s">
        <v>173</v>
      </c>
      <c r="F752" s="61" t="s">
        <v>3610</v>
      </c>
      <c r="G752" s="57" t="str">
        <f t="shared" si="1"/>
        <v>15-Aug-2025</v>
      </c>
      <c r="H752" s="61" t="s">
        <v>57</v>
      </c>
      <c r="I752" s="61" t="s">
        <v>3611</v>
      </c>
      <c r="J752" s="27" t="str">
        <f t="shared" si="4"/>
        <v>29-Aug-2025</v>
      </c>
      <c r="K752" s="61" t="s">
        <v>3612</v>
      </c>
      <c r="L752" s="27" t="str">
        <f t="shared" si="5"/>
        <v>29-Aug-2025</v>
      </c>
      <c r="M752" s="63" t="s">
        <v>15</v>
      </c>
      <c r="N752" s="61" t="s">
        <v>3613</v>
      </c>
      <c r="O752" s="61" t="s">
        <v>51</v>
      </c>
      <c r="P752" s="61">
        <v>1.0</v>
      </c>
      <c r="Q752" s="66" t="s">
        <v>3614</v>
      </c>
      <c r="R752" s="27" t="str">
        <f>IFERROR(__xludf.DUMMYFUNCTION("IF(REGEXMATCH(N752, ""PRIORITY: Low""), ""Low"", IF(REGEXMATCH(N752, ""PRIORITY: Medium""), ""Medium"", IF(REGEXMATCH(N752, ""PRIORITY: High""), ""High"", """")))
"),"Medium")</f>
        <v>Medium</v>
      </c>
      <c r="S752" s="27" t="str">
        <f>IFERROR(__xludf.DUMMYFUNCTION("IF(REGEXMATCH(N752, ""SKILL: Low""), ""Low"", IF(REGEXMATCH(N752, ""SKILL: Medium""), ""Medium"", IF(REGEXMATCH(N752, ""SKILL: High""), ""High"", """")))"),"Low")</f>
        <v>Low</v>
      </c>
      <c r="T752" s="27" t="str">
        <f>IFERROR(__xludf.DUMMYFUNCTION("IF(REGEXMATCH(N752, ""STATUS: Dev Complete - Awaiting QA""), ""Dev Complete - Awaiting QA"", IF(REGEXMATCH(N752, ""STATUS: Follow-Up Required""), ""Follow-Up Required"", IF(REGEXMATCH(N752, ""STATUS: In Progress""), ""In Progress"", IF(REGEXMATCH(N752, """&amp;"STATUS: In QA""), ""In QA"", IF(REGEXMATCH(N752, ""STATUS: Needs Customer Feedback""), ""Needs Customer Feedback"", IF(REGEXMATCH(N752, ""STATUS: QA Passed - Awaiting Release""), ""QA Passed - Awaiting Release"", IF(REGEXMATCH(N752, ""STATUS: Release to P"&amp;"rod""), ""Release to Prod"", """")))))))"),"")</f>
        <v/>
      </c>
    </row>
    <row r="753" hidden="1">
      <c r="A753" s="61" t="s">
        <v>52</v>
      </c>
      <c r="B753" s="12" t="s">
        <v>53</v>
      </c>
      <c r="C753" s="61">
        <v>56.0</v>
      </c>
      <c r="D753" s="62" t="s">
        <v>3615</v>
      </c>
      <c r="E753" s="56" t="s">
        <v>173</v>
      </c>
      <c r="F753" s="61" t="s">
        <v>3616</v>
      </c>
      <c r="G753" s="57" t="str">
        <f t="shared" si="1"/>
        <v>15-Aug-2025</v>
      </c>
      <c r="H753" s="61" t="s">
        <v>57</v>
      </c>
      <c r="I753" s="61" t="s">
        <v>3617</v>
      </c>
      <c r="J753" s="27" t="str">
        <f t="shared" si="4"/>
        <v>26-Sep-2025</v>
      </c>
      <c r="K753" s="61" t="s">
        <v>3618</v>
      </c>
      <c r="L753" s="27" t="str">
        <f t="shared" si="5"/>
        <v>29-Aug-2025</v>
      </c>
      <c r="M753" s="63" t="s">
        <v>249</v>
      </c>
      <c r="N753" s="61" t="s">
        <v>3451</v>
      </c>
      <c r="O753" s="27"/>
      <c r="P753" s="61">
        <v>2.0</v>
      </c>
      <c r="Q753" s="66" t="s">
        <v>3619</v>
      </c>
      <c r="R753" s="27" t="str">
        <f>IFERROR(__xludf.DUMMYFUNCTION("IF(REGEXMATCH(N753, ""PRIORITY: Low""), ""Low"", IF(REGEXMATCH(N753, ""PRIORITY: Medium""), ""Medium"", IF(REGEXMATCH(N753, ""PRIORITY: High""), ""High"", """")))
"),"Medium")</f>
        <v>Medium</v>
      </c>
      <c r="S753" s="27" t="str">
        <f>IFERROR(__xludf.DUMMYFUNCTION("IF(REGEXMATCH(N753, ""SKILL: Low""), ""Low"", IF(REGEXMATCH(N753, ""SKILL: Medium""), ""Medium"", IF(REGEXMATCH(N753, ""SKILL: High""), ""High"", """")))"),"Low")</f>
        <v>Low</v>
      </c>
      <c r="T753" s="27" t="str">
        <f>IFERROR(__xludf.DUMMYFUNCTION("IF(REGEXMATCH(N753, ""STATUS: Dev Complete - Awaiting QA""), ""Dev Complete - Awaiting QA"", IF(REGEXMATCH(N753, ""STATUS: Follow-Up Required""), ""Follow-Up Required"", IF(REGEXMATCH(N753, ""STATUS: In Progress""), ""In Progress"", IF(REGEXMATCH(N753, """&amp;"STATUS: In QA""), ""In QA"", IF(REGEXMATCH(N753, ""STATUS: Needs Customer Feedback""), ""Needs Customer Feedback"", IF(REGEXMATCH(N753, ""STATUS: QA Passed - Awaiting Release""), ""QA Passed - Awaiting Release"", IF(REGEXMATCH(N753, ""STATUS: Release to P"&amp;"rod""), ""Release to Prod"", """")))))))"),"")</f>
        <v/>
      </c>
    </row>
    <row r="754" hidden="1">
      <c r="A754" s="61" t="s">
        <v>52</v>
      </c>
      <c r="B754" s="12" t="s">
        <v>53</v>
      </c>
      <c r="C754" s="61">
        <v>55.0</v>
      </c>
      <c r="D754" s="62" t="s">
        <v>3620</v>
      </c>
      <c r="E754" s="56" t="s">
        <v>173</v>
      </c>
      <c r="F754" s="61" t="s">
        <v>3621</v>
      </c>
      <c r="G754" s="57" t="str">
        <f t="shared" si="1"/>
        <v>15-Aug-2025</v>
      </c>
      <c r="H754" s="61" t="s">
        <v>57</v>
      </c>
      <c r="I754" s="61" t="s">
        <v>3617</v>
      </c>
      <c r="J754" s="27" t="str">
        <f t="shared" si="4"/>
        <v>26-Sep-2025</v>
      </c>
      <c r="K754" s="61" t="s">
        <v>3622</v>
      </c>
      <c r="L754" s="27" t="str">
        <f t="shared" si="5"/>
        <v>29-Aug-2025</v>
      </c>
      <c r="M754" s="63" t="s">
        <v>15</v>
      </c>
      <c r="N754" s="61" t="s">
        <v>3451</v>
      </c>
      <c r="O754" s="27"/>
      <c r="P754" s="61">
        <v>1.0</v>
      </c>
      <c r="Q754" s="66" t="s">
        <v>3623</v>
      </c>
      <c r="R754" s="27" t="str">
        <f>IFERROR(__xludf.DUMMYFUNCTION("IF(REGEXMATCH(N754, ""PRIORITY: Low""), ""Low"", IF(REGEXMATCH(N754, ""PRIORITY: Medium""), ""Medium"", IF(REGEXMATCH(N754, ""PRIORITY: High""), ""High"", """")))
"),"Medium")</f>
        <v>Medium</v>
      </c>
      <c r="S754" s="27" t="str">
        <f>IFERROR(__xludf.DUMMYFUNCTION("IF(REGEXMATCH(N754, ""SKILL: Low""), ""Low"", IF(REGEXMATCH(N754, ""SKILL: Medium""), ""Medium"", IF(REGEXMATCH(N754, ""SKILL: High""), ""High"", """")))"),"Low")</f>
        <v>Low</v>
      </c>
      <c r="T754" s="27" t="str">
        <f>IFERROR(__xludf.DUMMYFUNCTION("IF(REGEXMATCH(N754, ""STATUS: Dev Complete - Awaiting QA""), ""Dev Complete - Awaiting QA"", IF(REGEXMATCH(N754, ""STATUS: Follow-Up Required""), ""Follow-Up Required"", IF(REGEXMATCH(N754, ""STATUS: In Progress""), ""In Progress"", IF(REGEXMATCH(N754, """&amp;"STATUS: In QA""), ""In QA"", IF(REGEXMATCH(N754, ""STATUS: Needs Customer Feedback""), ""Needs Customer Feedback"", IF(REGEXMATCH(N754, ""STATUS: QA Passed - Awaiting Release""), ""QA Passed - Awaiting Release"", IF(REGEXMATCH(N754, ""STATUS: Release to P"&amp;"rod""), ""Release to Prod"", """")))))))"),"")</f>
        <v/>
      </c>
    </row>
    <row r="755" hidden="1">
      <c r="A755" s="61" t="s">
        <v>52</v>
      </c>
      <c r="B755" s="12" t="s">
        <v>53</v>
      </c>
      <c r="C755" s="61">
        <v>54.0</v>
      </c>
      <c r="D755" s="62" t="s">
        <v>3624</v>
      </c>
      <c r="E755" s="56" t="s">
        <v>173</v>
      </c>
      <c r="F755" s="61" t="s">
        <v>3625</v>
      </c>
      <c r="G755" s="57" t="str">
        <f t="shared" si="1"/>
        <v>15-Aug-2025</v>
      </c>
      <c r="H755" s="61" t="s">
        <v>57</v>
      </c>
      <c r="I755" s="61" t="s">
        <v>3626</v>
      </c>
      <c r="J755" s="27" t="str">
        <f t="shared" si="4"/>
        <v>17-Nov-2025</v>
      </c>
      <c r="K755" s="61" t="s">
        <v>3626</v>
      </c>
      <c r="L755" s="27" t="str">
        <f t="shared" si="5"/>
        <v>17-Nov-2025</v>
      </c>
      <c r="M755" s="63" t="s">
        <v>285</v>
      </c>
      <c r="N755" s="61" t="s">
        <v>3384</v>
      </c>
      <c r="O755" s="61" t="s">
        <v>2734</v>
      </c>
      <c r="P755" s="61">
        <v>4.0</v>
      </c>
      <c r="Q755" s="66" t="s">
        <v>3627</v>
      </c>
      <c r="R755" s="27" t="str">
        <f>IFERROR(__xludf.DUMMYFUNCTION("IF(REGEXMATCH(N755, ""PRIORITY: Low""), ""Low"", IF(REGEXMATCH(N755, ""PRIORITY: Medium""), ""Medium"", IF(REGEXMATCH(N755, ""PRIORITY: High""), ""High"", """")))
"),"High")</f>
        <v>High</v>
      </c>
      <c r="S755" s="27" t="str">
        <f>IFERROR(__xludf.DUMMYFUNCTION("IF(REGEXMATCH(N755, ""SKILL: Low""), ""Low"", IF(REGEXMATCH(N755, ""SKILL: Medium""), ""Medium"", IF(REGEXMATCH(N755, ""SKILL: High""), ""High"", """")))"),"Medium")</f>
        <v>Medium</v>
      </c>
      <c r="T755" s="27" t="str">
        <f>IFERROR(__xludf.DUMMYFUNCTION("IF(REGEXMATCH(N755, ""STATUS: Dev Complete - Awaiting QA""), ""Dev Complete - Awaiting QA"", IF(REGEXMATCH(N755, ""STATUS: Follow-Up Required""), ""Follow-Up Required"", IF(REGEXMATCH(N755, ""STATUS: In Progress""), ""In Progress"", IF(REGEXMATCH(N755, """&amp;"STATUS: In QA""), ""In QA"", IF(REGEXMATCH(N755, ""STATUS: Needs Customer Feedback""), ""Needs Customer Feedback"", IF(REGEXMATCH(N755, ""STATUS: QA Passed - Awaiting Release""), ""QA Passed - Awaiting Release"", IF(REGEXMATCH(N755, ""STATUS: Release to P"&amp;"rod""), ""Release to Prod"", """")))))))"),"In QA")</f>
        <v>In QA</v>
      </c>
    </row>
    <row r="756" hidden="1">
      <c r="A756" s="61" t="s">
        <v>52</v>
      </c>
      <c r="B756" s="12" t="s">
        <v>53</v>
      </c>
      <c r="C756" s="61">
        <v>53.0</v>
      </c>
      <c r="D756" s="62" t="s">
        <v>3628</v>
      </c>
      <c r="E756" s="56" t="s">
        <v>173</v>
      </c>
      <c r="F756" s="61" t="s">
        <v>3629</v>
      </c>
      <c r="G756" s="57" t="str">
        <f t="shared" si="1"/>
        <v>15-Aug-2025</v>
      </c>
      <c r="H756" s="61" t="s">
        <v>57</v>
      </c>
      <c r="I756" s="61" t="s">
        <v>3630</v>
      </c>
      <c r="J756" s="27" t="str">
        <f t="shared" si="4"/>
        <v>29-Aug-2025</v>
      </c>
      <c r="K756" s="61" t="s">
        <v>3630</v>
      </c>
      <c r="L756" s="27" t="str">
        <f t="shared" si="5"/>
        <v>29-Aug-2025</v>
      </c>
      <c r="M756" s="63" t="s">
        <v>249</v>
      </c>
      <c r="N756" s="61" t="s">
        <v>3481</v>
      </c>
      <c r="O756" s="61" t="s">
        <v>51</v>
      </c>
      <c r="P756" s="61">
        <v>1.0</v>
      </c>
      <c r="Q756" s="66" t="s">
        <v>3631</v>
      </c>
      <c r="R756" s="27" t="str">
        <f>IFERROR(__xludf.DUMMYFUNCTION("IF(REGEXMATCH(N756, ""PRIORITY: Low""), ""Low"", IF(REGEXMATCH(N756, ""PRIORITY: Medium""), ""Medium"", IF(REGEXMATCH(N756, ""PRIORITY: High""), ""High"", """")))
"),"Low")</f>
        <v>Low</v>
      </c>
      <c r="S756" s="27" t="str">
        <f>IFERROR(__xludf.DUMMYFUNCTION("IF(REGEXMATCH(N756, ""SKILL: Low""), ""Low"", IF(REGEXMATCH(N756, ""SKILL: Medium""), ""Medium"", IF(REGEXMATCH(N756, ""SKILL: High""), ""High"", """")))"),"Low")</f>
        <v>Low</v>
      </c>
      <c r="T756" s="27" t="str">
        <f>IFERROR(__xludf.DUMMYFUNCTION("IF(REGEXMATCH(N756, ""STATUS: Dev Complete - Awaiting QA""), ""Dev Complete - Awaiting QA"", IF(REGEXMATCH(N756, ""STATUS: Follow-Up Required""), ""Follow-Up Required"", IF(REGEXMATCH(N756, ""STATUS: In Progress""), ""In Progress"", IF(REGEXMATCH(N756, """&amp;"STATUS: In QA""), ""In QA"", IF(REGEXMATCH(N756, ""STATUS: Needs Customer Feedback""), ""Needs Customer Feedback"", IF(REGEXMATCH(N756, ""STATUS: QA Passed - Awaiting Release""), ""QA Passed - Awaiting Release"", IF(REGEXMATCH(N756, ""STATUS: Release to P"&amp;"rod""), ""Release to Prod"", """")))))))"),"")</f>
        <v/>
      </c>
    </row>
    <row r="757" hidden="1">
      <c r="A757" s="61" t="s">
        <v>52</v>
      </c>
      <c r="B757" s="12" t="s">
        <v>53</v>
      </c>
      <c r="C757" s="61">
        <v>52.0</v>
      </c>
      <c r="D757" s="62" t="s">
        <v>3632</v>
      </c>
      <c r="E757" s="56" t="s">
        <v>173</v>
      </c>
      <c r="F757" s="61" t="s">
        <v>3633</v>
      </c>
      <c r="G757" s="57" t="str">
        <f t="shared" si="1"/>
        <v>15-Aug-2025</v>
      </c>
      <c r="H757" s="61" t="s">
        <v>57</v>
      </c>
      <c r="I757" s="61" t="s">
        <v>3634</v>
      </c>
      <c r="J757" s="27" t="str">
        <f t="shared" si="4"/>
        <v>26-Sep-2025</v>
      </c>
      <c r="K757" s="61" t="s">
        <v>3635</v>
      </c>
      <c r="L757" s="27" t="str">
        <f t="shared" si="5"/>
        <v>29-Aug-2025</v>
      </c>
      <c r="M757" s="63" t="s">
        <v>291</v>
      </c>
      <c r="N757" s="61" t="s">
        <v>1903</v>
      </c>
      <c r="O757" s="27"/>
      <c r="P757" s="61">
        <v>3.0</v>
      </c>
      <c r="Q757" s="66" t="s">
        <v>3636</v>
      </c>
      <c r="R757" s="27" t="str">
        <f>IFERROR(__xludf.DUMMYFUNCTION("IF(REGEXMATCH(N757, ""PRIORITY: Low""), ""Low"", IF(REGEXMATCH(N757, ""PRIORITY: Medium""), ""Medium"", IF(REGEXMATCH(N757, ""PRIORITY: High""), ""High"", """")))
"),"Medium")</f>
        <v>Medium</v>
      </c>
      <c r="S757" s="27" t="str">
        <f>IFERROR(__xludf.DUMMYFUNCTION("IF(REGEXMATCH(N757, ""SKILL: Low""), ""Low"", IF(REGEXMATCH(N757, ""SKILL: Medium""), ""Medium"", IF(REGEXMATCH(N757, ""SKILL: High""), ""High"", """")))"),"Medium")</f>
        <v>Medium</v>
      </c>
      <c r="T757" s="27" t="str">
        <f>IFERROR(__xludf.DUMMYFUNCTION("IF(REGEXMATCH(N757, ""STATUS: Dev Complete - Awaiting QA""), ""Dev Complete - Awaiting QA"", IF(REGEXMATCH(N757, ""STATUS: Follow-Up Required""), ""Follow-Up Required"", IF(REGEXMATCH(N757, ""STATUS: In Progress""), ""In Progress"", IF(REGEXMATCH(N757, """&amp;"STATUS: In QA""), ""In QA"", IF(REGEXMATCH(N757, ""STATUS: Needs Customer Feedback""), ""Needs Customer Feedback"", IF(REGEXMATCH(N757, ""STATUS: QA Passed - Awaiting Release""), ""QA Passed - Awaiting Release"", IF(REGEXMATCH(N757, ""STATUS: Release to P"&amp;"rod""), ""Release to Prod"", """")))))))"),"")</f>
        <v/>
      </c>
    </row>
    <row r="758" hidden="1">
      <c r="A758" s="61" t="s">
        <v>52</v>
      </c>
      <c r="B758" s="12" t="s">
        <v>53</v>
      </c>
      <c r="C758" s="61">
        <v>48.0</v>
      </c>
      <c r="D758" s="62" t="s">
        <v>3637</v>
      </c>
      <c r="E758" s="56" t="s">
        <v>173</v>
      </c>
      <c r="F758" s="61" t="s">
        <v>3638</v>
      </c>
      <c r="G758" s="57" t="str">
        <f t="shared" si="1"/>
        <v>14-Aug-2025</v>
      </c>
      <c r="H758" s="61" t="s">
        <v>54</v>
      </c>
      <c r="I758" s="61" t="s">
        <v>3639</v>
      </c>
      <c r="J758" s="27" t="str">
        <f t="shared" si="4"/>
        <v>29-Aug-2025</v>
      </c>
      <c r="K758" s="61" t="s">
        <v>3639</v>
      </c>
      <c r="L758" s="27" t="str">
        <f t="shared" si="5"/>
        <v>29-Aug-2025</v>
      </c>
      <c r="M758" s="63" t="s">
        <v>285</v>
      </c>
      <c r="N758" s="61" t="s">
        <v>3481</v>
      </c>
      <c r="O758" s="61" t="s">
        <v>3568</v>
      </c>
      <c r="P758" s="61">
        <v>1.0</v>
      </c>
      <c r="Q758" s="66" t="s">
        <v>3640</v>
      </c>
      <c r="R758" s="27" t="str">
        <f>IFERROR(__xludf.DUMMYFUNCTION("IF(REGEXMATCH(N758, ""PRIORITY: Low""), ""Low"", IF(REGEXMATCH(N758, ""PRIORITY: Medium""), ""Medium"", IF(REGEXMATCH(N758, ""PRIORITY: High""), ""High"", """")))
"),"Low")</f>
        <v>Low</v>
      </c>
      <c r="S758" s="27" t="str">
        <f>IFERROR(__xludf.DUMMYFUNCTION("IF(REGEXMATCH(N758, ""SKILL: Low""), ""Low"", IF(REGEXMATCH(N758, ""SKILL: Medium""), ""Medium"", IF(REGEXMATCH(N758, ""SKILL: High""), ""High"", """")))"),"Low")</f>
        <v>Low</v>
      </c>
      <c r="T758" s="27" t="str">
        <f>IFERROR(__xludf.DUMMYFUNCTION("IF(REGEXMATCH(N758, ""STATUS: Dev Complete - Awaiting QA""), ""Dev Complete - Awaiting QA"", IF(REGEXMATCH(N758, ""STATUS: Follow-Up Required""), ""Follow-Up Required"", IF(REGEXMATCH(N758, ""STATUS: In Progress""), ""In Progress"", IF(REGEXMATCH(N758, """&amp;"STATUS: In QA""), ""In QA"", IF(REGEXMATCH(N758, ""STATUS: Needs Customer Feedback""), ""Needs Customer Feedback"", IF(REGEXMATCH(N758, ""STATUS: QA Passed - Awaiting Release""), ""QA Passed - Awaiting Release"", IF(REGEXMATCH(N758, ""STATUS: Release to P"&amp;"rod""), ""Release to Prod"", """")))))))"),"")</f>
        <v/>
      </c>
    </row>
    <row r="759" hidden="1">
      <c r="A759" s="61" t="s">
        <v>52</v>
      </c>
      <c r="B759" s="12" t="s">
        <v>53</v>
      </c>
      <c r="C759" s="61">
        <v>47.0</v>
      </c>
      <c r="D759" s="62" t="s">
        <v>3641</v>
      </c>
      <c r="E759" s="56" t="s">
        <v>173</v>
      </c>
      <c r="F759" s="61" t="s">
        <v>3642</v>
      </c>
      <c r="G759" s="57" t="str">
        <f t="shared" si="1"/>
        <v>14-Aug-2025</v>
      </c>
      <c r="H759" s="61" t="s">
        <v>54</v>
      </c>
      <c r="I759" s="61" t="s">
        <v>3643</v>
      </c>
      <c r="J759" s="27" t="str">
        <f t="shared" si="4"/>
        <v>06-Nov-2025</v>
      </c>
      <c r="K759" s="61" t="s">
        <v>3643</v>
      </c>
      <c r="L759" s="27" t="str">
        <f t="shared" si="5"/>
        <v>06-Nov-2025</v>
      </c>
      <c r="M759" s="63" t="s">
        <v>249</v>
      </c>
      <c r="N759" s="61" t="s">
        <v>3644</v>
      </c>
      <c r="O759" s="61" t="s">
        <v>3568</v>
      </c>
      <c r="P759" s="61">
        <v>3.0</v>
      </c>
      <c r="Q759" s="66" t="s">
        <v>3645</v>
      </c>
      <c r="R759" s="27" t="str">
        <f>IFERROR(__xludf.DUMMYFUNCTION("IF(REGEXMATCH(N759, ""PRIORITY: Low""), ""Low"", IF(REGEXMATCH(N759, ""PRIORITY: Medium""), ""Medium"", IF(REGEXMATCH(N759, ""PRIORITY: High""), ""High"", """")))
"),"Low")</f>
        <v>Low</v>
      </c>
      <c r="S759" s="27" t="str">
        <f>IFERROR(__xludf.DUMMYFUNCTION("IF(REGEXMATCH(N759, ""SKILL: Low""), ""Low"", IF(REGEXMATCH(N759, ""SKILL: Medium""), ""Medium"", IF(REGEXMATCH(N759, ""SKILL: High""), ""High"", """")))"),"Low")</f>
        <v>Low</v>
      </c>
      <c r="T759" s="27" t="str">
        <f>IFERROR(__xludf.DUMMYFUNCTION("IF(REGEXMATCH(N759, ""STATUS: Dev Complete - Awaiting QA""), ""Dev Complete - Awaiting QA"", IF(REGEXMATCH(N759, ""STATUS: Follow-Up Required""), ""Follow-Up Required"", IF(REGEXMATCH(N759, ""STATUS: In Progress""), ""In Progress"", IF(REGEXMATCH(N759, """&amp;"STATUS: In QA""), ""In QA"", IF(REGEXMATCH(N759, ""STATUS: Needs Customer Feedback""), ""Needs Customer Feedback"", IF(REGEXMATCH(N759, ""STATUS: QA Passed - Awaiting Release""), ""QA Passed - Awaiting Release"", IF(REGEXMATCH(N759, ""STATUS: Release to P"&amp;"rod""), ""Release to Prod"", """")))))))"),"Follow-Up Required")</f>
        <v>Follow-Up Required</v>
      </c>
    </row>
    <row r="760" hidden="1">
      <c r="A760" s="61" t="s">
        <v>52</v>
      </c>
      <c r="B760" s="12" t="s">
        <v>53</v>
      </c>
      <c r="C760" s="61">
        <v>41.0</v>
      </c>
      <c r="D760" s="62" t="s">
        <v>3646</v>
      </c>
      <c r="E760" s="56" t="s">
        <v>173</v>
      </c>
      <c r="F760" s="61" t="s">
        <v>3647</v>
      </c>
      <c r="G760" s="57" t="str">
        <f t="shared" si="1"/>
        <v>14-Aug-2025</v>
      </c>
      <c r="H760" s="61" t="s">
        <v>57</v>
      </c>
      <c r="I760" s="61" t="s">
        <v>3648</v>
      </c>
      <c r="J760" s="27" t="str">
        <f t="shared" si="4"/>
        <v>25-Aug-2025</v>
      </c>
      <c r="K760" s="61" t="s">
        <v>3648</v>
      </c>
      <c r="L760" s="27" t="str">
        <f t="shared" si="5"/>
        <v>25-Aug-2025</v>
      </c>
      <c r="M760" s="63" t="s">
        <v>285</v>
      </c>
      <c r="N760" s="61" t="s">
        <v>3649</v>
      </c>
      <c r="O760" s="61" t="s">
        <v>57</v>
      </c>
      <c r="P760" s="61">
        <v>2.0</v>
      </c>
      <c r="Q760" s="66" t="s">
        <v>3650</v>
      </c>
      <c r="R760" s="27" t="str">
        <f>IFERROR(__xludf.DUMMYFUNCTION("IF(REGEXMATCH(N760, ""PRIORITY: Low""), ""Low"", IF(REGEXMATCH(N760, ""PRIORITY: Medium""), ""Medium"", IF(REGEXMATCH(N760, ""PRIORITY: High""), ""High"", """")))
"),"Low")</f>
        <v>Low</v>
      </c>
      <c r="S760" s="27" t="str">
        <f>IFERROR(__xludf.DUMMYFUNCTION("IF(REGEXMATCH(N760, ""SKILL: Low""), ""Low"", IF(REGEXMATCH(N760, ""SKILL: Medium""), ""Medium"", IF(REGEXMATCH(N760, ""SKILL: High""), ""High"", """")))"),"Low")</f>
        <v>Low</v>
      </c>
      <c r="T760" s="27" t="str">
        <f>IFERROR(__xludf.DUMMYFUNCTION("IF(REGEXMATCH(N760, ""STATUS: Dev Complete - Awaiting QA""), ""Dev Complete - Awaiting QA"", IF(REGEXMATCH(N760, ""STATUS: Follow-Up Required""), ""Follow-Up Required"", IF(REGEXMATCH(N760, ""STATUS: In Progress""), ""In Progress"", IF(REGEXMATCH(N760, """&amp;"STATUS: In QA""), ""In QA"", IF(REGEXMATCH(N760, ""STATUS: Needs Customer Feedback""), ""Needs Customer Feedback"", IF(REGEXMATCH(N760, ""STATUS: QA Passed - Awaiting Release""), ""QA Passed - Awaiting Release"", IF(REGEXMATCH(N760, ""STATUS: Release to P"&amp;"rod""), ""Release to Prod"", """")))))))"),"")</f>
        <v/>
      </c>
    </row>
    <row r="761" hidden="1">
      <c r="A761" s="61" t="s">
        <v>52</v>
      </c>
      <c r="B761" s="12" t="s">
        <v>53</v>
      </c>
      <c r="C761" s="61">
        <v>39.0</v>
      </c>
      <c r="D761" s="62" t="s">
        <v>3651</v>
      </c>
      <c r="E761" s="56" t="s">
        <v>173</v>
      </c>
      <c r="F761" s="61" t="s">
        <v>3652</v>
      </c>
      <c r="G761" s="57" t="str">
        <f t="shared" si="1"/>
        <v>14-Aug-2025</v>
      </c>
      <c r="H761" s="61" t="s">
        <v>57</v>
      </c>
      <c r="I761" s="61" t="s">
        <v>3653</v>
      </c>
      <c r="J761" s="27" t="str">
        <f t="shared" si="4"/>
        <v>29-Aug-2025</v>
      </c>
      <c r="K761" s="61" t="s">
        <v>3653</v>
      </c>
      <c r="L761" s="27" t="str">
        <f t="shared" si="5"/>
        <v>29-Aug-2025</v>
      </c>
      <c r="M761" s="63" t="s">
        <v>285</v>
      </c>
      <c r="N761" s="61" t="s">
        <v>3481</v>
      </c>
      <c r="O761" s="61" t="s">
        <v>57</v>
      </c>
      <c r="P761" s="61">
        <v>3.0</v>
      </c>
      <c r="Q761" s="66" t="s">
        <v>3654</v>
      </c>
      <c r="R761" s="27" t="str">
        <f>IFERROR(__xludf.DUMMYFUNCTION("IF(REGEXMATCH(N761, ""PRIORITY: Low""), ""Low"", IF(REGEXMATCH(N761, ""PRIORITY: Medium""), ""Medium"", IF(REGEXMATCH(N761, ""PRIORITY: High""), ""High"", """")))
"),"Low")</f>
        <v>Low</v>
      </c>
      <c r="S761" s="27" t="str">
        <f>IFERROR(__xludf.DUMMYFUNCTION("IF(REGEXMATCH(N761, ""SKILL: Low""), ""Low"", IF(REGEXMATCH(N761, ""SKILL: Medium""), ""Medium"", IF(REGEXMATCH(N761, ""SKILL: High""), ""High"", """")))"),"Low")</f>
        <v>Low</v>
      </c>
      <c r="T761" s="27" t="str">
        <f>IFERROR(__xludf.DUMMYFUNCTION("IF(REGEXMATCH(N761, ""STATUS: Dev Complete - Awaiting QA""), ""Dev Complete - Awaiting QA"", IF(REGEXMATCH(N761, ""STATUS: Follow-Up Required""), ""Follow-Up Required"", IF(REGEXMATCH(N761, ""STATUS: In Progress""), ""In Progress"", IF(REGEXMATCH(N761, """&amp;"STATUS: In QA""), ""In QA"", IF(REGEXMATCH(N761, ""STATUS: Needs Customer Feedback""), ""Needs Customer Feedback"", IF(REGEXMATCH(N761, ""STATUS: QA Passed - Awaiting Release""), ""QA Passed - Awaiting Release"", IF(REGEXMATCH(N761, ""STATUS: Release to P"&amp;"rod""), ""Release to Prod"", """")))))))"),"")</f>
        <v/>
      </c>
    </row>
    <row r="762" hidden="1">
      <c r="A762" s="61" t="s">
        <v>52</v>
      </c>
      <c r="B762" s="12" t="s">
        <v>53</v>
      </c>
      <c r="C762" s="61">
        <v>38.0</v>
      </c>
      <c r="D762" s="62" t="s">
        <v>3655</v>
      </c>
      <c r="E762" s="56" t="s">
        <v>173</v>
      </c>
      <c r="F762" s="61" t="s">
        <v>3656</v>
      </c>
      <c r="G762" s="57" t="str">
        <f t="shared" si="1"/>
        <v>14-Aug-2025</v>
      </c>
      <c r="H762" s="61" t="s">
        <v>57</v>
      </c>
      <c r="I762" s="61" t="s">
        <v>3657</v>
      </c>
      <c r="J762" s="27" t="str">
        <f t="shared" si="4"/>
        <v>29-Aug-2025</v>
      </c>
      <c r="K762" s="61" t="s">
        <v>3657</v>
      </c>
      <c r="L762" s="27" t="str">
        <f t="shared" si="5"/>
        <v>29-Aug-2025</v>
      </c>
      <c r="M762" s="63" t="s">
        <v>249</v>
      </c>
      <c r="N762" s="61" t="s">
        <v>3481</v>
      </c>
      <c r="O762" s="61" t="s">
        <v>51</v>
      </c>
      <c r="P762" s="61">
        <v>1.0</v>
      </c>
      <c r="Q762" s="66" t="s">
        <v>3658</v>
      </c>
      <c r="R762" s="27" t="str">
        <f>IFERROR(__xludf.DUMMYFUNCTION("IF(REGEXMATCH(N762, ""PRIORITY: Low""), ""Low"", IF(REGEXMATCH(N762, ""PRIORITY: Medium""), ""Medium"", IF(REGEXMATCH(N762, ""PRIORITY: High""), ""High"", """")))
"),"Low")</f>
        <v>Low</v>
      </c>
      <c r="S762" s="27" t="str">
        <f>IFERROR(__xludf.DUMMYFUNCTION("IF(REGEXMATCH(N762, ""SKILL: Low""), ""Low"", IF(REGEXMATCH(N762, ""SKILL: Medium""), ""Medium"", IF(REGEXMATCH(N762, ""SKILL: High""), ""High"", """")))"),"Low")</f>
        <v>Low</v>
      </c>
      <c r="T762" s="27" t="str">
        <f>IFERROR(__xludf.DUMMYFUNCTION("IF(REGEXMATCH(N762, ""STATUS: Dev Complete - Awaiting QA""), ""Dev Complete - Awaiting QA"", IF(REGEXMATCH(N762, ""STATUS: Follow-Up Required""), ""Follow-Up Required"", IF(REGEXMATCH(N762, ""STATUS: In Progress""), ""In Progress"", IF(REGEXMATCH(N762, """&amp;"STATUS: In QA""), ""In QA"", IF(REGEXMATCH(N762, ""STATUS: Needs Customer Feedback""), ""Needs Customer Feedback"", IF(REGEXMATCH(N762, ""STATUS: QA Passed - Awaiting Release""), ""QA Passed - Awaiting Release"", IF(REGEXMATCH(N762, ""STATUS: Release to P"&amp;"rod""), ""Release to Prod"", """")))))))"),"")</f>
        <v/>
      </c>
    </row>
    <row r="763" hidden="1">
      <c r="A763" s="61" t="s">
        <v>52</v>
      </c>
      <c r="B763" s="12" t="s">
        <v>53</v>
      </c>
      <c r="C763" s="61">
        <v>36.0</v>
      </c>
      <c r="D763" s="62" t="s">
        <v>3659</v>
      </c>
      <c r="E763" s="56" t="s">
        <v>173</v>
      </c>
      <c r="F763" s="61" t="s">
        <v>3660</v>
      </c>
      <c r="G763" s="57" t="str">
        <f t="shared" si="1"/>
        <v>14-Aug-2025</v>
      </c>
      <c r="H763" s="61" t="s">
        <v>57</v>
      </c>
      <c r="I763" s="61" t="s">
        <v>3661</v>
      </c>
      <c r="J763" s="27" t="str">
        <f t="shared" si="4"/>
        <v>29-Aug-2025</v>
      </c>
      <c r="K763" s="61" t="s">
        <v>3661</v>
      </c>
      <c r="L763" s="27" t="str">
        <f t="shared" si="5"/>
        <v>29-Aug-2025</v>
      </c>
      <c r="M763" s="63" t="s">
        <v>249</v>
      </c>
      <c r="N763" s="61" t="s">
        <v>3451</v>
      </c>
      <c r="O763" s="61" t="s">
        <v>2734</v>
      </c>
      <c r="P763" s="61">
        <v>1.0</v>
      </c>
      <c r="Q763" s="66" t="s">
        <v>3662</v>
      </c>
      <c r="R763" s="27" t="str">
        <f>IFERROR(__xludf.DUMMYFUNCTION("IF(REGEXMATCH(N763, ""PRIORITY: Low""), ""Low"", IF(REGEXMATCH(N763, ""PRIORITY: Medium""), ""Medium"", IF(REGEXMATCH(N763, ""PRIORITY: High""), ""High"", """")))
"),"Medium")</f>
        <v>Medium</v>
      </c>
      <c r="S763" s="27" t="str">
        <f>IFERROR(__xludf.DUMMYFUNCTION("IF(REGEXMATCH(N763, ""SKILL: Low""), ""Low"", IF(REGEXMATCH(N763, ""SKILL: Medium""), ""Medium"", IF(REGEXMATCH(N763, ""SKILL: High""), ""High"", """")))"),"Low")</f>
        <v>Low</v>
      </c>
      <c r="T763" s="27" t="str">
        <f>IFERROR(__xludf.DUMMYFUNCTION("IF(REGEXMATCH(N763, ""STATUS: Dev Complete - Awaiting QA""), ""Dev Complete - Awaiting QA"", IF(REGEXMATCH(N763, ""STATUS: Follow-Up Required""), ""Follow-Up Required"", IF(REGEXMATCH(N763, ""STATUS: In Progress""), ""In Progress"", IF(REGEXMATCH(N763, """&amp;"STATUS: In QA""), ""In QA"", IF(REGEXMATCH(N763, ""STATUS: Needs Customer Feedback""), ""Needs Customer Feedback"", IF(REGEXMATCH(N763, ""STATUS: QA Passed - Awaiting Release""), ""QA Passed - Awaiting Release"", IF(REGEXMATCH(N763, ""STATUS: Release to P"&amp;"rod""), ""Release to Prod"", """")))))))"),"")</f>
        <v/>
      </c>
    </row>
    <row r="764" hidden="1">
      <c r="A764" s="61" t="s">
        <v>52</v>
      </c>
      <c r="B764" s="12" t="s">
        <v>53</v>
      </c>
      <c r="C764" s="61">
        <v>35.0</v>
      </c>
      <c r="D764" s="62" t="s">
        <v>3663</v>
      </c>
      <c r="E764" s="56" t="s">
        <v>173</v>
      </c>
      <c r="F764" s="61" t="s">
        <v>3664</v>
      </c>
      <c r="G764" s="57" t="str">
        <f t="shared" si="1"/>
        <v>14-Aug-2025</v>
      </c>
      <c r="H764" s="61" t="s">
        <v>57</v>
      </c>
      <c r="I764" s="61" t="s">
        <v>3665</v>
      </c>
      <c r="J764" s="27" t="str">
        <f t="shared" si="4"/>
        <v>29-Aug-2025</v>
      </c>
      <c r="K764" s="61" t="s">
        <v>3665</v>
      </c>
      <c r="L764" s="27" t="str">
        <f t="shared" si="5"/>
        <v>29-Aug-2025</v>
      </c>
      <c r="M764" s="63" t="s">
        <v>285</v>
      </c>
      <c r="N764" s="61" t="s">
        <v>3451</v>
      </c>
      <c r="O764" s="61" t="s">
        <v>2734</v>
      </c>
      <c r="P764" s="61">
        <v>2.0</v>
      </c>
      <c r="Q764" s="66" t="s">
        <v>3666</v>
      </c>
      <c r="R764" s="27" t="str">
        <f>IFERROR(__xludf.DUMMYFUNCTION("IF(REGEXMATCH(N764, ""PRIORITY: Low""), ""Low"", IF(REGEXMATCH(N764, ""PRIORITY: Medium""), ""Medium"", IF(REGEXMATCH(N764, ""PRIORITY: High""), ""High"", """")))
"),"Medium")</f>
        <v>Medium</v>
      </c>
      <c r="S764" s="27" t="str">
        <f>IFERROR(__xludf.DUMMYFUNCTION("IF(REGEXMATCH(N764, ""SKILL: Low""), ""Low"", IF(REGEXMATCH(N764, ""SKILL: Medium""), ""Medium"", IF(REGEXMATCH(N764, ""SKILL: High""), ""High"", """")))"),"Low")</f>
        <v>Low</v>
      </c>
      <c r="T764" s="27" t="str">
        <f>IFERROR(__xludf.DUMMYFUNCTION("IF(REGEXMATCH(N764, ""STATUS: Dev Complete - Awaiting QA""), ""Dev Complete - Awaiting QA"", IF(REGEXMATCH(N764, ""STATUS: Follow-Up Required""), ""Follow-Up Required"", IF(REGEXMATCH(N764, ""STATUS: In Progress""), ""In Progress"", IF(REGEXMATCH(N764, """&amp;"STATUS: In QA""), ""In QA"", IF(REGEXMATCH(N764, ""STATUS: Needs Customer Feedback""), ""Needs Customer Feedback"", IF(REGEXMATCH(N764, ""STATUS: QA Passed - Awaiting Release""), ""QA Passed - Awaiting Release"", IF(REGEXMATCH(N764, ""STATUS: Release to P"&amp;"rod""), ""Release to Prod"", """")))))))"),"")</f>
        <v/>
      </c>
    </row>
    <row r="765" hidden="1">
      <c r="A765" s="61" t="s">
        <v>52</v>
      </c>
      <c r="B765" s="12" t="s">
        <v>53</v>
      </c>
      <c r="C765" s="61">
        <v>34.0</v>
      </c>
      <c r="D765" s="62" t="s">
        <v>3667</v>
      </c>
      <c r="E765" s="56" t="s">
        <v>173</v>
      </c>
      <c r="F765" s="61" t="s">
        <v>3668</v>
      </c>
      <c r="G765" s="57" t="str">
        <f t="shared" si="1"/>
        <v>14-Aug-2025</v>
      </c>
      <c r="H765" s="61" t="s">
        <v>57</v>
      </c>
      <c r="I765" s="61" t="s">
        <v>3669</v>
      </c>
      <c r="J765" s="27" t="str">
        <f t="shared" si="4"/>
        <v>26-Sep-2025</v>
      </c>
      <c r="K765" s="61" t="s">
        <v>3670</v>
      </c>
      <c r="L765" s="27" t="str">
        <f t="shared" si="5"/>
        <v>29-Aug-2025</v>
      </c>
      <c r="M765" s="63" t="s">
        <v>249</v>
      </c>
      <c r="N765" s="61" t="s">
        <v>3451</v>
      </c>
      <c r="O765" s="61" t="s">
        <v>2734</v>
      </c>
      <c r="P765" s="61">
        <v>2.0</v>
      </c>
      <c r="Q765" s="66" t="s">
        <v>3671</v>
      </c>
      <c r="R765" s="27" t="str">
        <f>IFERROR(__xludf.DUMMYFUNCTION("IF(REGEXMATCH(N765, ""PRIORITY: Low""), ""Low"", IF(REGEXMATCH(N765, ""PRIORITY: Medium""), ""Medium"", IF(REGEXMATCH(N765, ""PRIORITY: High""), ""High"", """")))
"),"Medium")</f>
        <v>Medium</v>
      </c>
      <c r="S765" s="27" t="str">
        <f>IFERROR(__xludf.DUMMYFUNCTION("IF(REGEXMATCH(N765, ""SKILL: Low""), ""Low"", IF(REGEXMATCH(N765, ""SKILL: Medium""), ""Medium"", IF(REGEXMATCH(N765, ""SKILL: High""), ""High"", """")))"),"Low")</f>
        <v>Low</v>
      </c>
      <c r="T765" s="27" t="str">
        <f>IFERROR(__xludf.DUMMYFUNCTION("IF(REGEXMATCH(N765, ""STATUS: Dev Complete - Awaiting QA""), ""Dev Complete - Awaiting QA"", IF(REGEXMATCH(N765, ""STATUS: Follow-Up Required""), ""Follow-Up Required"", IF(REGEXMATCH(N765, ""STATUS: In Progress""), ""In Progress"", IF(REGEXMATCH(N765, """&amp;"STATUS: In QA""), ""In QA"", IF(REGEXMATCH(N765, ""STATUS: Needs Customer Feedback""), ""Needs Customer Feedback"", IF(REGEXMATCH(N765, ""STATUS: QA Passed - Awaiting Release""), ""QA Passed - Awaiting Release"", IF(REGEXMATCH(N765, ""STATUS: Release to P"&amp;"rod""), ""Release to Prod"", """")))))))"),"")</f>
        <v/>
      </c>
    </row>
    <row r="766" hidden="1">
      <c r="A766" s="61" t="s">
        <v>52</v>
      </c>
      <c r="B766" s="12" t="s">
        <v>53</v>
      </c>
      <c r="C766" s="61">
        <v>32.0</v>
      </c>
      <c r="D766" s="62" t="s">
        <v>3672</v>
      </c>
      <c r="E766" s="56" t="s">
        <v>173</v>
      </c>
      <c r="F766" s="61" t="s">
        <v>3673</v>
      </c>
      <c r="G766" s="57" t="str">
        <f t="shared" si="1"/>
        <v>14-Aug-2025</v>
      </c>
      <c r="H766" s="61" t="s">
        <v>57</v>
      </c>
      <c r="I766" s="61" t="s">
        <v>3669</v>
      </c>
      <c r="J766" s="27" t="str">
        <f t="shared" si="4"/>
        <v>26-Sep-2025</v>
      </c>
      <c r="K766" s="61" t="s">
        <v>3674</v>
      </c>
      <c r="L766" s="27" t="str">
        <f t="shared" si="5"/>
        <v>29-Aug-2025</v>
      </c>
      <c r="M766" s="63" t="s">
        <v>249</v>
      </c>
      <c r="N766" s="61" t="s">
        <v>3417</v>
      </c>
      <c r="O766" s="61" t="s">
        <v>57</v>
      </c>
      <c r="P766" s="61">
        <v>2.0</v>
      </c>
      <c r="Q766" s="66" t="s">
        <v>3675</v>
      </c>
      <c r="R766" s="27" t="str">
        <f>IFERROR(__xludf.DUMMYFUNCTION("IF(REGEXMATCH(N766, ""PRIORITY: Low""), ""Low"", IF(REGEXMATCH(N766, ""PRIORITY: Medium""), ""Medium"", IF(REGEXMATCH(N766, ""PRIORITY: High""), ""High"", """")))
"),"High")</f>
        <v>High</v>
      </c>
      <c r="S766" s="27" t="str">
        <f>IFERROR(__xludf.DUMMYFUNCTION("IF(REGEXMATCH(N766, ""SKILL: Low""), ""Low"", IF(REGEXMATCH(N766, ""SKILL: Medium""), ""Medium"", IF(REGEXMATCH(N766, ""SKILL: High""), ""High"", """")))"),"Low")</f>
        <v>Low</v>
      </c>
      <c r="T766" s="27" t="str">
        <f>IFERROR(__xludf.DUMMYFUNCTION("IF(REGEXMATCH(N766, ""STATUS: Dev Complete - Awaiting QA""), ""Dev Complete - Awaiting QA"", IF(REGEXMATCH(N766, ""STATUS: Follow-Up Required""), ""Follow-Up Required"", IF(REGEXMATCH(N766, ""STATUS: In Progress""), ""In Progress"", IF(REGEXMATCH(N766, """&amp;"STATUS: In QA""), ""In QA"", IF(REGEXMATCH(N766, ""STATUS: Needs Customer Feedback""), ""Needs Customer Feedback"", IF(REGEXMATCH(N766, ""STATUS: QA Passed - Awaiting Release""), ""QA Passed - Awaiting Release"", IF(REGEXMATCH(N766, ""STATUS: Release to P"&amp;"rod""), ""Release to Prod"", """")))))))"),"")</f>
        <v/>
      </c>
    </row>
    <row r="767" hidden="1">
      <c r="A767" s="61" t="s">
        <v>52</v>
      </c>
      <c r="B767" s="12" t="s">
        <v>53</v>
      </c>
      <c r="C767" s="61">
        <v>31.0</v>
      </c>
      <c r="D767" s="62" t="s">
        <v>3676</v>
      </c>
      <c r="E767" s="56" t="s">
        <v>173</v>
      </c>
      <c r="F767" s="61" t="s">
        <v>3677</v>
      </c>
      <c r="G767" s="57" t="str">
        <f t="shared" si="1"/>
        <v>14-Aug-2025</v>
      </c>
      <c r="H767" s="61" t="s">
        <v>57</v>
      </c>
      <c r="I767" s="61" t="s">
        <v>3669</v>
      </c>
      <c r="J767" s="27" t="str">
        <f t="shared" si="4"/>
        <v>26-Sep-2025</v>
      </c>
      <c r="K767" s="61" t="s">
        <v>3678</v>
      </c>
      <c r="L767" s="27" t="str">
        <f t="shared" si="5"/>
        <v>29-Aug-2025</v>
      </c>
      <c r="M767" s="63" t="s">
        <v>291</v>
      </c>
      <c r="N767" s="61" t="s">
        <v>3417</v>
      </c>
      <c r="O767" s="61" t="s">
        <v>57</v>
      </c>
      <c r="P767" s="61">
        <v>1.0</v>
      </c>
      <c r="Q767" s="66" t="s">
        <v>3679</v>
      </c>
      <c r="R767" s="27" t="str">
        <f>IFERROR(__xludf.DUMMYFUNCTION("IF(REGEXMATCH(N767, ""PRIORITY: Low""), ""Low"", IF(REGEXMATCH(N767, ""PRIORITY: Medium""), ""Medium"", IF(REGEXMATCH(N767, ""PRIORITY: High""), ""High"", """")))
"),"High")</f>
        <v>High</v>
      </c>
      <c r="S767" s="27" t="str">
        <f>IFERROR(__xludf.DUMMYFUNCTION("IF(REGEXMATCH(N767, ""SKILL: Low""), ""Low"", IF(REGEXMATCH(N767, ""SKILL: Medium""), ""Medium"", IF(REGEXMATCH(N767, ""SKILL: High""), ""High"", """")))"),"Low")</f>
        <v>Low</v>
      </c>
      <c r="T767" s="27" t="str">
        <f>IFERROR(__xludf.DUMMYFUNCTION("IF(REGEXMATCH(N767, ""STATUS: Dev Complete - Awaiting QA""), ""Dev Complete - Awaiting QA"", IF(REGEXMATCH(N767, ""STATUS: Follow-Up Required""), ""Follow-Up Required"", IF(REGEXMATCH(N767, ""STATUS: In Progress""), ""In Progress"", IF(REGEXMATCH(N767, """&amp;"STATUS: In QA""), ""In QA"", IF(REGEXMATCH(N767, ""STATUS: Needs Customer Feedback""), ""Needs Customer Feedback"", IF(REGEXMATCH(N767, ""STATUS: QA Passed - Awaiting Release""), ""QA Passed - Awaiting Release"", IF(REGEXMATCH(N767, ""STATUS: Release to P"&amp;"rod""), ""Release to Prod"", """")))))))"),"")</f>
        <v/>
      </c>
    </row>
    <row r="768" hidden="1">
      <c r="A768" s="61" t="s">
        <v>52</v>
      </c>
      <c r="B768" s="12" t="s">
        <v>53</v>
      </c>
      <c r="C768" s="61">
        <v>29.0</v>
      </c>
      <c r="D768" s="62" t="s">
        <v>3680</v>
      </c>
      <c r="E768" s="56" t="s">
        <v>173</v>
      </c>
      <c r="F768" s="61" t="s">
        <v>3681</v>
      </c>
      <c r="G768" s="57" t="str">
        <f t="shared" si="1"/>
        <v>14-Aug-2025</v>
      </c>
      <c r="H768" s="61" t="s">
        <v>57</v>
      </c>
      <c r="I768" s="61" t="s">
        <v>3682</v>
      </c>
      <c r="J768" s="27" t="str">
        <f t="shared" si="4"/>
        <v>26-Sep-2025</v>
      </c>
      <c r="K768" s="61" t="s">
        <v>3682</v>
      </c>
      <c r="L768" s="27" t="str">
        <f t="shared" si="5"/>
        <v>26-Sep-2025</v>
      </c>
      <c r="M768" s="63" t="s">
        <v>249</v>
      </c>
      <c r="N768" s="61" t="s">
        <v>3259</v>
      </c>
      <c r="O768" s="61" t="s">
        <v>51</v>
      </c>
      <c r="P768" s="61">
        <v>2.0</v>
      </c>
      <c r="Q768" s="66" t="s">
        <v>3683</v>
      </c>
      <c r="R768" s="27" t="str">
        <f>IFERROR(__xludf.DUMMYFUNCTION("IF(REGEXMATCH(N768, ""PRIORITY: Low""), ""Low"", IF(REGEXMATCH(N768, ""PRIORITY: Medium""), ""Medium"", IF(REGEXMATCH(N768, ""PRIORITY: High""), ""High"", """")))
"),"Low")</f>
        <v>Low</v>
      </c>
      <c r="S768" s="27" t="str">
        <f>IFERROR(__xludf.DUMMYFUNCTION("IF(REGEXMATCH(N768, ""SKILL: Low""), ""Low"", IF(REGEXMATCH(N768, ""SKILL: Medium""), ""Medium"", IF(REGEXMATCH(N768, ""SKILL: High""), ""High"", """")))"),"Low")</f>
        <v>Low</v>
      </c>
      <c r="T768" s="27" t="str">
        <f>IFERROR(__xludf.DUMMYFUNCTION("IF(REGEXMATCH(N768, ""STATUS: Dev Complete - Awaiting QA""), ""Dev Complete - Awaiting QA"", IF(REGEXMATCH(N768, ""STATUS: Follow-Up Required""), ""Follow-Up Required"", IF(REGEXMATCH(N768, ""STATUS: In Progress""), ""In Progress"", IF(REGEXMATCH(N768, """&amp;"STATUS: In QA""), ""In QA"", IF(REGEXMATCH(N768, ""STATUS: Needs Customer Feedback""), ""Needs Customer Feedback"", IF(REGEXMATCH(N768, ""STATUS: QA Passed - Awaiting Release""), ""QA Passed - Awaiting Release"", IF(REGEXMATCH(N768, ""STATUS: Release to P"&amp;"rod""), ""Release to Prod"", """")))))))"),"Follow-Up Required")</f>
        <v>Follow-Up Required</v>
      </c>
    </row>
    <row r="769" hidden="1">
      <c r="A769" s="61" t="s">
        <v>52</v>
      </c>
      <c r="B769" s="12" t="s">
        <v>53</v>
      </c>
      <c r="C769" s="61">
        <v>28.0</v>
      </c>
      <c r="D769" s="62" t="s">
        <v>3684</v>
      </c>
      <c r="E769" s="56" t="s">
        <v>173</v>
      </c>
      <c r="F769" s="61" t="s">
        <v>3685</v>
      </c>
      <c r="G769" s="57" t="str">
        <f t="shared" si="1"/>
        <v>14-Aug-2025</v>
      </c>
      <c r="H769" s="61" t="s">
        <v>57</v>
      </c>
      <c r="I769" s="61" t="s">
        <v>3686</v>
      </c>
      <c r="J769" s="27" t="str">
        <f t="shared" si="4"/>
        <v>29-Aug-2025</v>
      </c>
      <c r="K769" s="61" t="s">
        <v>3686</v>
      </c>
      <c r="L769" s="27" t="str">
        <f t="shared" si="5"/>
        <v>29-Aug-2025</v>
      </c>
      <c r="M769" s="63" t="s">
        <v>285</v>
      </c>
      <c r="N769" s="61" t="s">
        <v>3451</v>
      </c>
      <c r="O769" s="61" t="s">
        <v>51</v>
      </c>
      <c r="P769" s="61">
        <v>2.0</v>
      </c>
      <c r="Q769" s="66" t="s">
        <v>3687</v>
      </c>
      <c r="R769" s="27" t="str">
        <f>IFERROR(__xludf.DUMMYFUNCTION("IF(REGEXMATCH(N769, ""PRIORITY: Low""), ""Low"", IF(REGEXMATCH(N769, ""PRIORITY: Medium""), ""Medium"", IF(REGEXMATCH(N769, ""PRIORITY: High""), ""High"", """")))
"),"Medium")</f>
        <v>Medium</v>
      </c>
      <c r="S769" s="27" t="str">
        <f>IFERROR(__xludf.DUMMYFUNCTION("IF(REGEXMATCH(N769, ""SKILL: Low""), ""Low"", IF(REGEXMATCH(N769, ""SKILL: Medium""), ""Medium"", IF(REGEXMATCH(N769, ""SKILL: High""), ""High"", """")))"),"Low")</f>
        <v>Low</v>
      </c>
      <c r="T769" s="27" t="str">
        <f>IFERROR(__xludf.DUMMYFUNCTION("IF(REGEXMATCH(N769, ""STATUS: Dev Complete - Awaiting QA""), ""Dev Complete - Awaiting QA"", IF(REGEXMATCH(N769, ""STATUS: Follow-Up Required""), ""Follow-Up Required"", IF(REGEXMATCH(N769, ""STATUS: In Progress""), ""In Progress"", IF(REGEXMATCH(N769, """&amp;"STATUS: In QA""), ""In QA"", IF(REGEXMATCH(N769, ""STATUS: Needs Customer Feedback""), ""Needs Customer Feedback"", IF(REGEXMATCH(N769, ""STATUS: QA Passed - Awaiting Release""), ""QA Passed - Awaiting Release"", IF(REGEXMATCH(N769, ""STATUS: Release to P"&amp;"rod""), ""Release to Prod"", """")))))))"),"")</f>
        <v/>
      </c>
    </row>
    <row r="770" hidden="1">
      <c r="A770" s="61" t="s">
        <v>52</v>
      </c>
      <c r="B770" s="12" t="s">
        <v>53</v>
      </c>
      <c r="C770" s="61">
        <v>27.0</v>
      </c>
      <c r="D770" s="62" t="s">
        <v>3688</v>
      </c>
      <c r="E770" s="56" t="s">
        <v>173</v>
      </c>
      <c r="F770" s="61" t="s">
        <v>3689</v>
      </c>
      <c r="G770" s="57" t="str">
        <f t="shared" si="1"/>
        <v>14-Aug-2025</v>
      </c>
      <c r="H770" s="61" t="s">
        <v>57</v>
      </c>
      <c r="I770" s="61" t="s">
        <v>3690</v>
      </c>
      <c r="J770" s="27" t="str">
        <f t="shared" si="4"/>
        <v>29-Aug-2025</v>
      </c>
      <c r="K770" s="61" t="s">
        <v>3690</v>
      </c>
      <c r="L770" s="27" t="str">
        <f t="shared" si="5"/>
        <v>29-Aug-2025</v>
      </c>
      <c r="M770" s="63" t="s">
        <v>249</v>
      </c>
      <c r="N770" s="61" t="s">
        <v>3481</v>
      </c>
      <c r="O770" s="61" t="s">
        <v>2734</v>
      </c>
      <c r="P770" s="61">
        <v>1.0</v>
      </c>
      <c r="Q770" s="66" t="s">
        <v>3691</v>
      </c>
      <c r="R770" s="27" t="str">
        <f>IFERROR(__xludf.DUMMYFUNCTION("IF(REGEXMATCH(N770, ""PRIORITY: Low""), ""Low"", IF(REGEXMATCH(N770, ""PRIORITY: Medium""), ""Medium"", IF(REGEXMATCH(N770, ""PRIORITY: High""), ""High"", """")))
"),"Low")</f>
        <v>Low</v>
      </c>
      <c r="S770" s="27" t="str">
        <f>IFERROR(__xludf.DUMMYFUNCTION("IF(REGEXMATCH(N770, ""SKILL: Low""), ""Low"", IF(REGEXMATCH(N770, ""SKILL: Medium""), ""Medium"", IF(REGEXMATCH(N770, ""SKILL: High""), ""High"", """")))"),"Low")</f>
        <v>Low</v>
      </c>
      <c r="T770" s="27" t="str">
        <f>IFERROR(__xludf.DUMMYFUNCTION("IF(REGEXMATCH(N770, ""STATUS: Dev Complete - Awaiting QA""), ""Dev Complete - Awaiting QA"", IF(REGEXMATCH(N770, ""STATUS: Follow-Up Required""), ""Follow-Up Required"", IF(REGEXMATCH(N770, ""STATUS: In Progress""), ""In Progress"", IF(REGEXMATCH(N770, """&amp;"STATUS: In QA""), ""In QA"", IF(REGEXMATCH(N770, ""STATUS: Needs Customer Feedback""), ""Needs Customer Feedback"", IF(REGEXMATCH(N770, ""STATUS: QA Passed - Awaiting Release""), ""QA Passed - Awaiting Release"", IF(REGEXMATCH(N770, ""STATUS: Release to P"&amp;"rod""), ""Release to Prod"", """")))))))"),"")</f>
        <v/>
      </c>
    </row>
    <row r="771" hidden="1">
      <c r="A771" s="61" t="s">
        <v>52</v>
      </c>
      <c r="B771" s="12" t="s">
        <v>53</v>
      </c>
      <c r="C771" s="61">
        <v>26.0</v>
      </c>
      <c r="D771" s="62" t="s">
        <v>3692</v>
      </c>
      <c r="E771" s="56" t="s">
        <v>173</v>
      </c>
      <c r="F771" s="61" t="s">
        <v>3693</v>
      </c>
      <c r="G771" s="57" t="str">
        <f t="shared" si="1"/>
        <v>14-Aug-2025</v>
      </c>
      <c r="H771" s="61" t="s">
        <v>57</v>
      </c>
      <c r="I771" s="61" t="s">
        <v>3694</v>
      </c>
      <c r="J771" s="27" t="str">
        <f t="shared" si="4"/>
        <v>25-Aug-2025</v>
      </c>
      <c r="K771" s="61" t="s">
        <v>3694</v>
      </c>
      <c r="L771" s="27" t="str">
        <f t="shared" si="5"/>
        <v>25-Aug-2025</v>
      </c>
      <c r="M771" s="63" t="s">
        <v>249</v>
      </c>
      <c r="N771" s="61" t="s">
        <v>3649</v>
      </c>
      <c r="O771" s="61" t="s">
        <v>57</v>
      </c>
      <c r="P771" s="61">
        <v>1.0</v>
      </c>
      <c r="Q771" s="66" t="s">
        <v>3695</v>
      </c>
      <c r="R771" s="27" t="str">
        <f>IFERROR(__xludf.DUMMYFUNCTION("IF(REGEXMATCH(N771, ""PRIORITY: Low""), ""Low"", IF(REGEXMATCH(N771, ""PRIORITY: Medium""), ""Medium"", IF(REGEXMATCH(N771, ""PRIORITY: High""), ""High"", """")))
"),"Low")</f>
        <v>Low</v>
      </c>
      <c r="S771" s="27" t="str">
        <f>IFERROR(__xludf.DUMMYFUNCTION("IF(REGEXMATCH(N771, ""SKILL: Low""), ""Low"", IF(REGEXMATCH(N771, ""SKILL: Medium""), ""Medium"", IF(REGEXMATCH(N771, ""SKILL: High""), ""High"", """")))"),"Low")</f>
        <v>Low</v>
      </c>
      <c r="T771" s="27" t="str">
        <f>IFERROR(__xludf.DUMMYFUNCTION("IF(REGEXMATCH(N771, ""STATUS: Dev Complete - Awaiting QA""), ""Dev Complete - Awaiting QA"", IF(REGEXMATCH(N771, ""STATUS: Follow-Up Required""), ""Follow-Up Required"", IF(REGEXMATCH(N771, ""STATUS: In Progress""), ""In Progress"", IF(REGEXMATCH(N771, """&amp;"STATUS: In QA""), ""In QA"", IF(REGEXMATCH(N771, ""STATUS: Needs Customer Feedback""), ""Needs Customer Feedback"", IF(REGEXMATCH(N771, ""STATUS: QA Passed - Awaiting Release""), ""QA Passed - Awaiting Release"", IF(REGEXMATCH(N771, ""STATUS: Release to P"&amp;"rod""), ""Release to Prod"", """")))))))"),"")</f>
        <v/>
      </c>
    </row>
    <row r="772" hidden="1">
      <c r="A772" s="61" t="s">
        <v>52</v>
      </c>
      <c r="B772" s="12" t="s">
        <v>53</v>
      </c>
      <c r="C772" s="61">
        <v>25.0</v>
      </c>
      <c r="D772" s="62" t="s">
        <v>3696</v>
      </c>
      <c r="E772" s="56" t="s">
        <v>173</v>
      </c>
      <c r="F772" s="61" t="s">
        <v>3697</v>
      </c>
      <c r="G772" s="57" t="str">
        <f t="shared" si="1"/>
        <v>14-Aug-2025</v>
      </c>
      <c r="H772" s="61" t="s">
        <v>57</v>
      </c>
      <c r="I772" s="61" t="s">
        <v>3698</v>
      </c>
      <c r="J772" s="27" t="str">
        <f t="shared" si="4"/>
        <v>29-Aug-2025</v>
      </c>
      <c r="K772" s="61" t="s">
        <v>3698</v>
      </c>
      <c r="L772" s="27" t="str">
        <f t="shared" si="5"/>
        <v>29-Aug-2025</v>
      </c>
      <c r="M772" s="63" t="s">
        <v>285</v>
      </c>
      <c r="N772" s="61" t="s">
        <v>3481</v>
      </c>
      <c r="O772" s="61" t="s">
        <v>57</v>
      </c>
      <c r="P772" s="61">
        <v>1.0</v>
      </c>
      <c r="Q772" s="66" t="s">
        <v>3699</v>
      </c>
      <c r="R772" s="27" t="str">
        <f>IFERROR(__xludf.DUMMYFUNCTION("IF(REGEXMATCH(N772, ""PRIORITY: Low""), ""Low"", IF(REGEXMATCH(N772, ""PRIORITY: Medium""), ""Medium"", IF(REGEXMATCH(N772, ""PRIORITY: High""), ""High"", """")))
"),"Low")</f>
        <v>Low</v>
      </c>
      <c r="S772" s="27" t="str">
        <f>IFERROR(__xludf.DUMMYFUNCTION("IF(REGEXMATCH(N772, ""SKILL: Low""), ""Low"", IF(REGEXMATCH(N772, ""SKILL: Medium""), ""Medium"", IF(REGEXMATCH(N772, ""SKILL: High""), ""High"", """")))"),"Low")</f>
        <v>Low</v>
      </c>
      <c r="T772" s="27" t="str">
        <f>IFERROR(__xludf.DUMMYFUNCTION("IF(REGEXMATCH(N772, ""STATUS: Dev Complete - Awaiting QA""), ""Dev Complete - Awaiting QA"", IF(REGEXMATCH(N772, ""STATUS: Follow-Up Required""), ""Follow-Up Required"", IF(REGEXMATCH(N772, ""STATUS: In Progress""), ""In Progress"", IF(REGEXMATCH(N772, """&amp;"STATUS: In QA""), ""In QA"", IF(REGEXMATCH(N772, ""STATUS: Needs Customer Feedback""), ""Needs Customer Feedback"", IF(REGEXMATCH(N772, ""STATUS: QA Passed - Awaiting Release""), ""QA Passed - Awaiting Release"", IF(REGEXMATCH(N772, ""STATUS: Release to P"&amp;"rod""), ""Release to Prod"", """")))))))"),"")</f>
        <v/>
      </c>
    </row>
    <row r="773" hidden="1">
      <c r="A773" s="61" t="s">
        <v>52</v>
      </c>
      <c r="B773" s="12" t="s">
        <v>53</v>
      </c>
      <c r="C773" s="61">
        <v>23.0</v>
      </c>
      <c r="D773" s="62" t="s">
        <v>3700</v>
      </c>
      <c r="E773" s="56" t="s">
        <v>173</v>
      </c>
      <c r="F773" s="61" t="s">
        <v>3701</v>
      </c>
      <c r="G773" s="57" t="str">
        <f t="shared" si="1"/>
        <v>13-Aug-2025</v>
      </c>
      <c r="H773" s="61" t="s">
        <v>57</v>
      </c>
      <c r="I773" s="61" t="s">
        <v>3702</v>
      </c>
      <c r="J773" s="27" t="str">
        <f t="shared" si="4"/>
        <v>29-Aug-2025</v>
      </c>
      <c r="K773" s="61" t="s">
        <v>3702</v>
      </c>
      <c r="L773" s="27" t="str">
        <f t="shared" si="5"/>
        <v>29-Aug-2025</v>
      </c>
      <c r="M773" s="63" t="s">
        <v>285</v>
      </c>
      <c r="N773" s="61" t="s">
        <v>3481</v>
      </c>
      <c r="O773" s="61" t="s">
        <v>57</v>
      </c>
      <c r="P773" s="61">
        <v>1.0</v>
      </c>
      <c r="Q773" s="66" t="s">
        <v>3703</v>
      </c>
      <c r="R773" s="27" t="str">
        <f>IFERROR(__xludf.DUMMYFUNCTION("IF(REGEXMATCH(N773, ""PRIORITY: Low""), ""Low"", IF(REGEXMATCH(N773, ""PRIORITY: Medium""), ""Medium"", IF(REGEXMATCH(N773, ""PRIORITY: High""), ""High"", """")))
"),"Low")</f>
        <v>Low</v>
      </c>
      <c r="S773" s="27" t="str">
        <f>IFERROR(__xludf.DUMMYFUNCTION("IF(REGEXMATCH(N773, ""SKILL: Low""), ""Low"", IF(REGEXMATCH(N773, ""SKILL: Medium""), ""Medium"", IF(REGEXMATCH(N773, ""SKILL: High""), ""High"", """")))"),"Low")</f>
        <v>Low</v>
      </c>
      <c r="T773" s="27" t="str">
        <f>IFERROR(__xludf.DUMMYFUNCTION("IF(REGEXMATCH(N773, ""STATUS: Dev Complete - Awaiting QA""), ""Dev Complete - Awaiting QA"", IF(REGEXMATCH(N773, ""STATUS: Follow-Up Required""), ""Follow-Up Required"", IF(REGEXMATCH(N773, ""STATUS: In Progress""), ""In Progress"", IF(REGEXMATCH(N773, """&amp;"STATUS: In QA""), ""In QA"", IF(REGEXMATCH(N773, ""STATUS: Needs Customer Feedback""), ""Needs Customer Feedback"", IF(REGEXMATCH(N773, ""STATUS: QA Passed - Awaiting Release""), ""QA Passed - Awaiting Release"", IF(REGEXMATCH(N773, ""STATUS: Release to P"&amp;"rod""), ""Release to Prod"", """")))))))"),"")</f>
        <v/>
      </c>
    </row>
    <row r="774" hidden="1">
      <c r="A774" s="61" t="s">
        <v>52</v>
      </c>
      <c r="B774" s="12" t="s">
        <v>53</v>
      </c>
      <c r="C774" s="61">
        <v>22.0</v>
      </c>
      <c r="D774" s="62" t="s">
        <v>3704</v>
      </c>
      <c r="E774" s="56" t="s">
        <v>173</v>
      </c>
      <c r="F774" s="61" t="s">
        <v>3705</v>
      </c>
      <c r="G774" s="57" t="str">
        <f t="shared" si="1"/>
        <v>13-Aug-2025</v>
      </c>
      <c r="H774" s="61" t="s">
        <v>57</v>
      </c>
      <c r="I774" s="61" t="s">
        <v>3706</v>
      </c>
      <c r="J774" s="27" t="str">
        <f t="shared" si="4"/>
        <v>29-Aug-2025</v>
      </c>
      <c r="K774" s="61" t="s">
        <v>3706</v>
      </c>
      <c r="L774" s="27" t="str">
        <f t="shared" si="5"/>
        <v>29-Aug-2025</v>
      </c>
      <c r="M774" s="63" t="s">
        <v>291</v>
      </c>
      <c r="N774" s="61" t="s">
        <v>3481</v>
      </c>
      <c r="O774" s="61" t="s">
        <v>57</v>
      </c>
      <c r="P774" s="61">
        <v>1.0</v>
      </c>
      <c r="Q774" s="66" t="s">
        <v>3707</v>
      </c>
      <c r="R774" s="27" t="str">
        <f>IFERROR(__xludf.DUMMYFUNCTION("IF(REGEXMATCH(N774, ""PRIORITY: Low""), ""Low"", IF(REGEXMATCH(N774, ""PRIORITY: Medium""), ""Medium"", IF(REGEXMATCH(N774, ""PRIORITY: High""), ""High"", """")))
"),"Low")</f>
        <v>Low</v>
      </c>
      <c r="S774" s="27" t="str">
        <f>IFERROR(__xludf.DUMMYFUNCTION("IF(REGEXMATCH(N774, ""SKILL: Low""), ""Low"", IF(REGEXMATCH(N774, ""SKILL: Medium""), ""Medium"", IF(REGEXMATCH(N774, ""SKILL: High""), ""High"", """")))"),"Low")</f>
        <v>Low</v>
      </c>
      <c r="T774" s="27" t="str">
        <f>IFERROR(__xludf.DUMMYFUNCTION("IF(REGEXMATCH(N774, ""STATUS: Dev Complete - Awaiting QA""), ""Dev Complete - Awaiting QA"", IF(REGEXMATCH(N774, ""STATUS: Follow-Up Required""), ""Follow-Up Required"", IF(REGEXMATCH(N774, ""STATUS: In Progress""), ""In Progress"", IF(REGEXMATCH(N774, """&amp;"STATUS: In QA""), ""In QA"", IF(REGEXMATCH(N774, ""STATUS: Needs Customer Feedback""), ""Needs Customer Feedback"", IF(REGEXMATCH(N774, ""STATUS: QA Passed - Awaiting Release""), ""QA Passed - Awaiting Release"", IF(REGEXMATCH(N774, ""STATUS: Release to P"&amp;"rod""), ""Release to Prod"", """")))))))"),"")</f>
        <v/>
      </c>
    </row>
    <row r="775" hidden="1">
      <c r="A775" s="61" t="s">
        <v>52</v>
      </c>
      <c r="B775" s="12" t="s">
        <v>53</v>
      </c>
      <c r="C775" s="61">
        <v>20.0</v>
      </c>
      <c r="D775" s="62" t="s">
        <v>3708</v>
      </c>
      <c r="E775" s="56" t="s">
        <v>173</v>
      </c>
      <c r="F775" s="61" t="s">
        <v>3709</v>
      </c>
      <c r="G775" s="57" t="str">
        <f t="shared" si="1"/>
        <v>13-Aug-2025</v>
      </c>
      <c r="H775" s="61" t="s">
        <v>51</v>
      </c>
      <c r="I775" s="61" t="s">
        <v>3710</v>
      </c>
      <c r="J775" s="27" t="str">
        <f t="shared" si="4"/>
        <v>29-Aug-2025</v>
      </c>
      <c r="K775" s="61" t="s">
        <v>3710</v>
      </c>
      <c r="L775" s="27" t="str">
        <f t="shared" si="5"/>
        <v>29-Aug-2025</v>
      </c>
      <c r="M775" s="63" t="s">
        <v>291</v>
      </c>
      <c r="N775" s="61" t="s">
        <v>3417</v>
      </c>
      <c r="O775" s="61" t="s">
        <v>2734</v>
      </c>
      <c r="P775" s="61">
        <v>2.0</v>
      </c>
      <c r="Q775" s="66" t="s">
        <v>3711</v>
      </c>
      <c r="R775" s="27" t="str">
        <f>IFERROR(__xludf.DUMMYFUNCTION("IF(REGEXMATCH(N775, ""PRIORITY: Low""), ""Low"", IF(REGEXMATCH(N775, ""PRIORITY: Medium""), ""Medium"", IF(REGEXMATCH(N775, ""PRIORITY: High""), ""High"", """")))
"),"High")</f>
        <v>High</v>
      </c>
      <c r="S775" s="27" t="str">
        <f>IFERROR(__xludf.DUMMYFUNCTION("IF(REGEXMATCH(N775, ""SKILL: Low""), ""Low"", IF(REGEXMATCH(N775, ""SKILL: Medium""), ""Medium"", IF(REGEXMATCH(N775, ""SKILL: High""), ""High"", """")))"),"Low")</f>
        <v>Low</v>
      </c>
      <c r="T775" s="27" t="str">
        <f>IFERROR(__xludf.DUMMYFUNCTION("IF(REGEXMATCH(N775, ""STATUS: Dev Complete - Awaiting QA""), ""Dev Complete - Awaiting QA"", IF(REGEXMATCH(N775, ""STATUS: Follow-Up Required""), ""Follow-Up Required"", IF(REGEXMATCH(N775, ""STATUS: In Progress""), ""In Progress"", IF(REGEXMATCH(N775, """&amp;"STATUS: In QA""), ""In QA"", IF(REGEXMATCH(N775, ""STATUS: Needs Customer Feedback""), ""Needs Customer Feedback"", IF(REGEXMATCH(N775, ""STATUS: QA Passed - Awaiting Release""), ""QA Passed - Awaiting Release"", IF(REGEXMATCH(N775, ""STATUS: Release to P"&amp;"rod""), ""Release to Prod"", """")))))))"),"")</f>
        <v/>
      </c>
    </row>
    <row r="776" hidden="1">
      <c r="A776" s="61" t="s">
        <v>52</v>
      </c>
      <c r="B776" s="12" t="s">
        <v>53</v>
      </c>
      <c r="C776" s="61">
        <v>19.0</v>
      </c>
      <c r="D776" s="62" t="s">
        <v>3712</v>
      </c>
      <c r="E776" s="56" t="s">
        <v>173</v>
      </c>
      <c r="F776" s="61" t="s">
        <v>3713</v>
      </c>
      <c r="G776" s="57" t="str">
        <f t="shared" si="1"/>
        <v>13-Aug-2025</v>
      </c>
      <c r="H776" s="61" t="s">
        <v>57</v>
      </c>
      <c r="I776" s="61" t="s">
        <v>3714</v>
      </c>
      <c r="J776" s="27" t="str">
        <f t="shared" si="4"/>
        <v>29-Aug-2025</v>
      </c>
      <c r="K776" s="61" t="s">
        <v>3714</v>
      </c>
      <c r="L776" s="27" t="str">
        <f t="shared" si="5"/>
        <v>29-Aug-2025</v>
      </c>
      <c r="M776" s="63" t="s">
        <v>291</v>
      </c>
      <c r="N776" s="61" t="s">
        <v>2955</v>
      </c>
      <c r="O776" s="61" t="s">
        <v>51</v>
      </c>
      <c r="P776" s="61">
        <v>2.0</v>
      </c>
      <c r="Q776" s="66" t="s">
        <v>3715</v>
      </c>
      <c r="R776" s="27" t="str">
        <f>IFERROR(__xludf.DUMMYFUNCTION("IF(REGEXMATCH(N776, ""PRIORITY: Low""), ""Low"", IF(REGEXMATCH(N776, ""PRIORITY: Medium""), ""Medium"", IF(REGEXMATCH(N776, ""PRIORITY: High""), ""High"", """")))
"),"Medium")</f>
        <v>Medium</v>
      </c>
      <c r="S776" s="27" t="str">
        <f>IFERROR(__xludf.DUMMYFUNCTION("IF(REGEXMATCH(N776, ""SKILL: Low""), ""Low"", IF(REGEXMATCH(N776, ""SKILL: Medium""), ""Medium"", IF(REGEXMATCH(N776, ""SKILL: High""), ""High"", """")))"),"Medium")</f>
        <v>Medium</v>
      </c>
      <c r="T776" s="27" t="str">
        <f>IFERROR(__xludf.DUMMYFUNCTION("IF(REGEXMATCH(N776, ""STATUS: Dev Complete - Awaiting QA""), ""Dev Complete - Awaiting QA"", IF(REGEXMATCH(N776, ""STATUS: Follow-Up Required""), ""Follow-Up Required"", IF(REGEXMATCH(N776, ""STATUS: In Progress""), ""In Progress"", IF(REGEXMATCH(N776, """&amp;"STATUS: In QA""), ""In QA"", IF(REGEXMATCH(N776, ""STATUS: Needs Customer Feedback""), ""Needs Customer Feedback"", IF(REGEXMATCH(N776, ""STATUS: QA Passed - Awaiting Release""), ""QA Passed - Awaiting Release"", IF(REGEXMATCH(N776, ""STATUS: Release to P"&amp;"rod""), ""Release to Prod"", """")))))))"),"")</f>
        <v/>
      </c>
    </row>
    <row r="777" hidden="1">
      <c r="A777" s="61" t="s">
        <v>52</v>
      </c>
      <c r="B777" s="12" t="s">
        <v>53</v>
      </c>
      <c r="C777" s="61">
        <v>18.0</v>
      </c>
      <c r="D777" s="62" t="s">
        <v>3716</v>
      </c>
      <c r="E777" s="56" t="s">
        <v>173</v>
      </c>
      <c r="F777" s="61" t="s">
        <v>3717</v>
      </c>
      <c r="G777" s="57" t="str">
        <f t="shared" si="1"/>
        <v>13-Aug-2025</v>
      </c>
      <c r="H777" s="61" t="s">
        <v>57</v>
      </c>
      <c r="I777" s="61" t="s">
        <v>3718</v>
      </c>
      <c r="J777" s="27" t="str">
        <f t="shared" si="4"/>
        <v>21-Aug-2025</v>
      </c>
      <c r="K777" s="61" t="s">
        <v>3719</v>
      </c>
      <c r="L777" s="27" t="str">
        <f t="shared" si="5"/>
        <v>21-Aug-2025</v>
      </c>
      <c r="M777" s="63" t="s">
        <v>249</v>
      </c>
      <c r="N777" s="61" t="s">
        <v>3254</v>
      </c>
      <c r="O777" s="61" t="s">
        <v>51</v>
      </c>
      <c r="P777" s="61">
        <v>1.0</v>
      </c>
      <c r="Q777" s="66" t="s">
        <v>3720</v>
      </c>
      <c r="R777" s="27" t="str">
        <f>IFERROR(__xludf.DUMMYFUNCTION("IF(REGEXMATCH(N777, ""PRIORITY: Low""), ""Low"", IF(REGEXMATCH(N777, ""PRIORITY: Medium""), ""Medium"", IF(REGEXMATCH(N777, ""PRIORITY: High""), ""High"", """")))
"),"Low")</f>
        <v>Low</v>
      </c>
      <c r="S777" s="27" t="str">
        <f>IFERROR(__xludf.DUMMYFUNCTION("IF(REGEXMATCH(N777, ""SKILL: Low""), ""Low"", IF(REGEXMATCH(N777, ""SKILL: Medium""), ""Medium"", IF(REGEXMATCH(N777, ""SKILL: High""), ""High"", """")))"),"Low")</f>
        <v>Low</v>
      </c>
      <c r="T777" s="27" t="str">
        <f>IFERROR(__xludf.DUMMYFUNCTION("IF(REGEXMATCH(N777, ""STATUS: Dev Complete - Awaiting QA""), ""Dev Complete - Awaiting QA"", IF(REGEXMATCH(N777, ""STATUS: Follow-Up Required""), ""Follow-Up Required"", IF(REGEXMATCH(N777, ""STATUS: In Progress""), ""In Progress"", IF(REGEXMATCH(N777, """&amp;"STATUS: In QA""), ""In QA"", IF(REGEXMATCH(N777, ""STATUS: Needs Customer Feedback""), ""Needs Customer Feedback"", IF(REGEXMATCH(N777, ""STATUS: QA Passed - Awaiting Release""), ""QA Passed - Awaiting Release"", IF(REGEXMATCH(N777, ""STATUS: Release to P"&amp;"rod""), ""Release to Prod"", """")))))))"),"")</f>
        <v/>
      </c>
    </row>
    <row r="778" hidden="1">
      <c r="A778" s="61" t="s">
        <v>52</v>
      </c>
      <c r="B778" s="12" t="s">
        <v>53</v>
      </c>
      <c r="C778" s="61">
        <v>17.0</v>
      </c>
      <c r="D778" s="62" t="s">
        <v>3721</v>
      </c>
      <c r="E778" s="56" t="s">
        <v>173</v>
      </c>
      <c r="F778" s="61" t="s">
        <v>3722</v>
      </c>
      <c r="G778" s="57" t="str">
        <f t="shared" si="1"/>
        <v>13-Aug-2025</v>
      </c>
      <c r="H778" s="61" t="s">
        <v>57</v>
      </c>
      <c r="I778" s="61" t="s">
        <v>3723</v>
      </c>
      <c r="J778" s="27" t="str">
        <f t="shared" si="4"/>
        <v>29-Aug-2025</v>
      </c>
      <c r="K778" s="61" t="s">
        <v>3723</v>
      </c>
      <c r="L778" s="27" t="str">
        <f t="shared" si="5"/>
        <v>29-Aug-2025</v>
      </c>
      <c r="M778" s="63" t="s">
        <v>249</v>
      </c>
      <c r="N778" s="61" t="s">
        <v>3481</v>
      </c>
      <c r="O778" s="61" t="s">
        <v>2734</v>
      </c>
      <c r="P778" s="61">
        <v>1.0</v>
      </c>
      <c r="Q778" s="66" t="s">
        <v>3724</v>
      </c>
      <c r="R778" s="27" t="str">
        <f>IFERROR(__xludf.DUMMYFUNCTION("IF(REGEXMATCH(N778, ""PRIORITY: Low""), ""Low"", IF(REGEXMATCH(N778, ""PRIORITY: Medium""), ""Medium"", IF(REGEXMATCH(N778, ""PRIORITY: High""), ""High"", """")))
"),"Low")</f>
        <v>Low</v>
      </c>
      <c r="S778" s="27" t="str">
        <f>IFERROR(__xludf.DUMMYFUNCTION("IF(REGEXMATCH(N778, ""SKILL: Low""), ""Low"", IF(REGEXMATCH(N778, ""SKILL: Medium""), ""Medium"", IF(REGEXMATCH(N778, ""SKILL: High""), ""High"", """")))"),"Low")</f>
        <v>Low</v>
      </c>
      <c r="T778" s="27" t="str">
        <f>IFERROR(__xludf.DUMMYFUNCTION("IF(REGEXMATCH(N778, ""STATUS: Dev Complete - Awaiting QA""), ""Dev Complete - Awaiting QA"", IF(REGEXMATCH(N778, ""STATUS: Follow-Up Required""), ""Follow-Up Required"", IF(REGEXMATCH(N778, ""STATUS: In Progress""), ""In Progress"", IF(REGEXMATCH(N778, """&amp;"STATUS: In QA""), ""In QA"", IF(REGEXMATCH(N778, ""STATUS: Needs Customer Feedback""), ""Needs Customer Feedback"", IF(REGEXMATCH(N778, ""STATUS: QA Passed - Awaiting Release""), ""QA Passed - Awaiting Release"", IF(REGEXMATCH(N778, ""STATUS: Release to P"&amp;"rod""), ""Release to Prod"", """")))))))"),"")</f>
        <v/>
      </c>
    </row>
    <row r="779" hidden="1">
      <c r="A779" s="61" t="s">
        <v>52</v>
      </c>
      <c r="B779" s="12" t="s">
        <v>53</v>
      </c>
      <c r="C779" s="61">
        <v>15.0</v>
      </c>
      <c r="D779" s="62" t="s">
        <v>3725</v>
      </c>
      <c r="E779" s="56" t="s">
        <v>173</v>
      </c>
      <c r="F779" s="61" t="s">
        <v>3726</v>
      </c>
      <c r="G779" s="57" t="str">
        <f t="shared" si="1"/>
        <v>13-Aug-2025</v>
      </c>
      <c r="H779" s="61" t="s">
        <v>57</v>
      </c>
      <c r="I779" s="61" t="s">
        <v>3727</v>
      </c>
      <c r="J779" s="27" t="str">
        <f t="shared" si="4"/>
        <v>29-Aug-2025</v>
      </c>
      <c r="K779" s="61" t="s">
        <v>3727</v>
      </c>
      <c r="L779" s="27" t="str">
        <f t="shared" si="5"/>
        <v>29-Aug-2025</v>
      </c>
      <c r="M779" s="63" t="s">
        <v>249</v>
      </c>
      <c r="N779" s="61" t="s">
        <v>3481</v>
      </c>
      <c r="O779" s="61" t="s">
        <v>2734</v>
      </c>
      <c r="P779" s="61">
        <v>1.0</v>
      </c>
      <c r="Q779" s="66" t="s">
        <v>3728</v>
      </c>
      <c r="R779" s="27" t="str">
        <f>IFERROR(__xludf.DUMMYFUNCTION("IF(REGEXMATCH(N779, ""PRIORITY: Low""), ""Low"", IF(REGEXMATCH(N779, ""PRIORITY: Medium""), ""Medium"", IF(REGEXMATCH(N779, ""PRIORITY: High""), ""High"", """")))
"),"Low")</f>
        <v>Low</v>
      </c>
      <c r="S779" s="27" t="str">
        <f>IFERROR(__xludf.DUMMYFUNCTION("IF(REGEXMATCH(N779, ""SKILL: Low""), ""Low"", IF(REGEXMATCH(N779, ""SKILL: Medium""), ""Medium"", IF(REGEXMATCH(N779, ""SKILL: High""), ""High"", """")))"),"Low")</f>
        <v>Low</v>
      </c>
      <c r="T779" s="27" t="str">
        <f>IFERROR(__xludf.DUMMYFUNCTION("IF(REGEXMATCH(N779, ""STATUS: Dev Complete - Awaiting QA""), ""Dev Complete - Awaiting QA"", IF(REGEXMATCH(N779, ""STATUS: Follow-Up Required""), ""Follow-Up Required"", IF(REGEXMATCH(N779, ""STATUS: In Progress""), ""In Progress"", IF(REGEXMATCH(N779, """&amp;"STATUS: In QA""), ""In QA"", IF(REGEXMATCH(N779, ""STATUS: Needs Customer Feedback""), ""Needs Customer Feedback"", IF(REGEXMATCH(N779, ""STATUS: QA Passed - Awaiting Release""), ""QA Passed - Awaiting Release"", IF(REGEXMATCH(N779, ""STATUS: Release to P"&amp;"rod""), ""Release to Prod"", """")))))))"),"")</f>
        <v/>
      </c>
    </row>
    <row r="780" hidden="1">
      <c r="A780" s="61" t="s">
        <v>52</v>
      </c>
      <c r="B780" s="12" t="s">
        <v>53</v>
      </c>
      <c r="C780" s="61">
        <v>14.0</v>
      </c>
      <c r="D780" s="62" t="s">
        <v>3729</v>
      </c>
      <c r="E780" s="56" t="s">
        <v>173</v>
      </c>
      <c r="F780" s="61" t="s">
        <v>3730</v>
      </c>
      <c r="G780" s="57" t="str">
        <f t="shared" si="1"/>
        <v>13-Aug-2025</v>
      </c>
      <c r="H780" s="61" t="s">
        <v>57</v>
      </c>
      <c r="I780" s="61" t="s">
        <v>3731</v>
      </c>
      <c r="J780" s="27" t="str">
        <f t="shared" si="4"/>
        <v>29-Aug-2025</v>
      </c>
      <c r="K780" s="61" t="s">
        <v>3731</v>
      </c>
      <c r="L780" s="27" t="str">
        <f t="shared" si="5"/>
        <v>29-Aug-2025</v>
      </c>
      <c r="M780" s="63" t="s">
        <v>249</v>
      </c>
      <c r="N780" s="61" t="s">
        <v>3481</v>
      </c>
      <c r="O780" s="61" t="s">
        <v>2734</v>
      </c>
      <c r="P780" s="61">
        <v>1.0</v>
      </c>
      <c r="Q780" s="66" t="s">
        <v>3732</v>
      </c>
      <c r="R780" s="27" t="str">
        <f>IFERROR(__xludf.DUMMYFUNCTION("IF(REGEXMATCH(N780, ""PRIORITY: Low""), ""Low"", IF(REGEXMATCH(N780, ""PRIORITY: Medium""), ""Medium"", IF(REGEXMATCH(N780, ""PRIORITY: High""), ""High"", """")))
"),"Low")</f>
        <v>Low</v>
      </c>
      <c r="S780" s="27" t="str">
        <f>IFERROR(__xludf.DUMMYFUNCTION("IF(REGEXMATCH(N780, ""SKILL: Low""), ""Low"", IF(REGEXMATCH(N780, ""SKILL: Medium""), ""Medium"", IF(REGEXMATCH(N780, ""SKILL: High""), ""High"", """")))"),"Low")</f>
        <v>Low</v>
      </c>
      <c r="T780" s="27" t="str">
        <f>IFERROR(__xludf.DUMMYFUNCTION("IF(REGEXMATCH(N780, ""STATUS: Dev Complete - Awaiting QA""), ""Dev Complete - Awaiting QA"", IF(REGEXMATCH(N780, ""STATUS: Follow-Up Required""), ""Follow-Up Required"", IF(REGEXMATCH(N780, ""STATUS: In Progress""), ""In Progress"", IF(REGEXMATCH(N780, """&amp;"STATUS: In QA""), ""In QA"", IF(REGEXMATCH(N780, ""STATUS: Needs Customer Feedback""), ""Needs Customer Feedback"", IF(REGEXMATCH(N780, ""STATUS: QA Passed - Awaiting Release""), ""QA Passed - Awaiting Release"", IF(REGEXMATCH(N780, ""STATUS: Release to P"&amp;"rod""), ""Release to Prod"", """")))))))"),"")</f>
        <v/>
      </c>
    </row>
    <row r="781" hidden="1">
      <c r="A781" s="61" t="s">
        <v>52</v>
      </c>
      <c r="B781" s="12" t="s">
        <v>53</v>
      </c>
      <c r="C781" s="61">
        <v>13.0</v>
      </c>
      <c r="D781" s="62" t="s">
        <v>3733</v>
      </c>
      <c r="E781" s="56" t="s">
        <v>173</v>
      </c>
      <c r="F781" s="61" t="s">
        <v>3734</v>
      </c>
      <c r="G781" s="57" t="str">
        <f t="shared" si="1"/>
        <v>13-Aug-2025</v>
      </c>
      <c r="H781" s="61" t="s">
        <v>57</v>
      </c>
      <c r="I781" s="61" t="s">
        <v>3735</v>
      </c>
      <c r="J781" s="27" t="str">
        <f t="shared" si="4"/>
        <v>29-Aug-2025</v>
      </c>
      <c r="K781" s="61" t="s">
        <v>3735</v>
      </c>
      <c r="L781" s="27" t="str">
        <f t="shared" si="5"/>
        <v>29-Aug-2025</v>
      </c>
      <c r="M781" s="63" t="s">
        <v>249</v>
      </c>
      <c r="N781" s="61" t="s">
        <v>3481</v>
      </c>
      <c r="O781" s="61" t="s">
        <v>51</v>
      </c>
      <c r="P781" s="61">
        <v>1.0</v>
      </c>
      <c r="Q781" s="66" t="s">
        <v>3736</v>
      </c>
      <c r="R781" s="27" t="str">
        <f>IFERROR(__xludf.DUMMYFUNCTION("IF(REGEXMATCH(N781, ""PRIORITY: Low""), ""Low"", IF(REGEXMATCH(N781, ""PRIORITY: Medium""), ""Medium"", IF(REGEXMATCH(N781, ""PRIORITY: High""), ""High"", """")))
"),"Low")</f>
        <v>Low</v>
      </c>
      <c r="S781" s="27" t="str">
        <f>IFERROR(__xludf.DUMMYFUNCTION("IF(REGEXMATCH(N781, ""SKILL: Low""), ""Low"", IF(REGEXMATCH(N781, ""SKILL: Medium""), ""Medium"", IF(REGEXMATCH(N781, ""SKILL: High""), ""High"", """")))"),"Low")</f>
        <v>Low</v>
      </c>
      <c r="T781" s="27" t="str">
        <f>IFERROR(__xludf.DUMMYFUNCTION("IF(REGEXMATCH(N781, ""STATUS: Dev Complete - Awaiting QA""), ""Dev Complete - Awaiting QA"", IF(REGEXMATCH(N781, ""STATUS: Follow-Up Required""), ""Follow-Up Required"", IF(REGEXMATCH(N781, ""STATUS: In Progress""), ""In Progress"", IF(REGEXMATCH(N781, """&amp;"STATUS: In QA""), ""In QA"", IF(REGEXMATCH(N781, ""STATUS: Needs Customer Feedback""), ""Needs Customer Feedback"", IF(REGEXMATCH(N781, ""STATUS: QA Passed - Awaiting Release""), ""QA Passed - Awaiting Release"", IF(REGEXMATCH(N781, ""STATUS: Release to P"&amp;"rod""), ""Release to Prod"", """")))))))"),"")</f>
        <v/>
      </c>
    </row>
    <row r="782" hidden="1">
      <c r="A782" s="61" t="s">
        <v>52</v>
      </c>
      <c r="B782" s="12" t="s">
        <v>53</v>
      </c>
      <c r="C782" s="61">
        <v>12.0</v>
      </c>
      <c r="D782" s="62" t="s">
        <v>3737</v>
      </c>
      <c r="E782" s="56" t="s">
        <v>173</v>
      </c>
      <c r="F782" s="61" t="s">
        <v>3738</v>
      </c>
      <c r="G782" s="57" t="str">
        <f t="shared" si="1"/>
        <v>13-Aug-2025</v>
      </c>
      <c r="H782" s="61" t="s">
        <v>57</v>
      </c>
      <c r="I782" s="61" t="s">
        <v>3739</v>
      </c>
      <c r="J782" s="27" t="str">
        <f t="shared" si="4"/>
        <v>21-Aug-2025</v>
      </c>
      <c r="K782" s="61" t="s">
        <v>3719</v>
      </c>
      <c r="L782" s="27" t="str">
        <f t="shared" si="5"/>
        <v>21-Aug-2025</v>
      </c>
      <c r="M782" s="63" t="s">
        <v>285</v>
      </c>
      <c r="N782" s="61" t="s">
        <v>3370</v>
      </c>
      <c r="O782" s="61" t="s">
        <v>2734</v>
      </c>
      <c r="P782" s="61">
        <v>1.0</v>
      </c>
      <c r="Q782" s="66" t="s">
        <v>3740</v>
      </c>
      <c r="R782" s="27" t="str">
        <f>IFERROR(__xludf.DUMMYFUNCTION("IF(REGEXMATCH(N782, ""PRIORITY: Low""), ""Low"", IF(REGEXMATCH(N782, ""PRIORITY: Medium""), ""Medium"", IF(REGEXMATCH(N782, ""PRIORITY: High""), ""High"", """")))
"),"Medium")</f>
        <v>Medium</v>
      </c>
      <c r="S782" s="27" t="str">
        <f>IFERROR(__xludf.DUMMYFUNCTION("IF(REGEXMATCH(N782, ""SKILL: Low""), ""Low"", IF(REGEXMATCH(N782, ""SKILL: Medium""), ""Medium"", IF(REGEXMATCH(N782, ""SKILL: High""), ""High"", """")))"),"Low")</f>
        <v>Low</v>
      </c>
      <c r="T782" s="27" t="str">
        <f>IFERROR(__xludf.DUMMYFUNCTION("IF(REGEXMATCH(N782, ""STATUS: Dev Complete - Awaiting QA""), ""Dev Complete - Awaiting QA"", IF(REGEXMATCH(N782, ""STATUS: Follow-Up Required""), ""Follow-Up Required"", IF(REGEXMATCH(N782, ""STATUS: In Progress""), ""In Progress"", IF(REGEXMATCH(N782, """&amp;"STATUS: In QA""), ""In QA"", IF(REGEXMATCH(N782, ""STATUS: Needs Customer Feedback""), ""Needs Customer Feedback"", IF(REGEXMATCH(N782, ""STATUS: QA Passed - Awaiting Release""), ""QA Passed - Awaiting Release"", IF(REGEXMATCH(N782, ""STATUS: Release to P"&amp;"rod""), ""Release to Prod"", """")))))))"),"")</f>
        <v/>
      </c>
    </row>
    <row r="783" hidden="1">
      <c r="A783" s="61" t="s">
        <v>52</v>
      </c>
      <c r="B783" s="12" t="s">
        <v>53</v>
      </c>
      <c r="C783" s="61">
        <v>11.0</v>
      </c>
      <c r="D783" s="62" t="s">
        <v>3741</v>
      </c>
      <c r="E783" s="56" t="s">
        <v>173</v>
      </c>
      <c r="F783" s="61" t="s">
        <v>3742</v>
      </c>
      <c r="G783" s="57" t="str">
        <f t="shared" si="1"/>
        <v>13-Aug-2025</v>
      </c>
      <c r="H783" s="61" t="s">
        <v>57</v>
      </c>
      <c r="I783" s="61" t="s">
        <v>3743</v>
      </c>
      <c r="J783" s="27" t="str">
        <f t="shared" si="4"/>
        <v>29-Aug-2025</v>
      </c>
      <c r="K783" s="61" t="s">
        <v>3743</v>
      </c>
      <c r="L783" s="27" t="str">
        <f t="shared" si="5"/>
        <v>29-Aug-2025</v>
      </c>
      <c r="M783" s="63" t="s">
        <v>285</v>
      </c>
      <c r="N783" s="61" t="s">
        <v>3451</v>
      </c>
      <c r="O783" s="61" t="s">
        <v>2734</v>
      </c>
      <c r="P783" s="61">
        <v>1.0</v>
      </c>
      <c r="Q783" s="66" t="s">
        <v>3744</v>
      </c>
      <c r="R783" s="27" t="str">
        <f>IFERROR(__xludf.DUMMYFUNCTION("IF(REGEXMATCH(N783, ""PRIORITY: Low""), ""Low"", IF(REGEXMATCH(N783, ""PRIORITY: Medium""), ""Medium"", IF(REGEXMATCH(N783, ""PRIORITY: High""), ""High"", """")))
"),"Medium")</f>
        <v>Medium</v>
      </c>
      <c r="S783" s="27" t="str">
        <f>IFERROR(__xludf.DUMMYFUNCTION("IF(REGEXMATCH(N783, ""SKILL: Low""), ""Low"", IF(REGEXMATCH(N783, ""SKILL: Medium""), ""Medium"", IF(REGEXMATCH(N783, ""SKILL: High""), ""High"", """")))"),"Low")</f>
        <v>Low</v>
      </c>
      <c r="T783" s="27" t="str">
        <f>IFERROR(__xludf.DUMMYFUNCTION("IF(REGEXMATCH(N783, ""STATUS: Dev Complete - Awaiting QA""), ""Dev Complete - Awaiting QA"", IF(REGEXMATCH(N783, ""STATUS: Follow-Up Required""), ""Follow-Up Required"", IF(REGEXMATCH(N783, ""STATUS: In Progress""), ""In Progress"", IF(REGEXMATCH(N783, """&amp;"STATUS: In QA""), ""In QA"", IF(REGEXMATCH(N783, ""STATUS: Needs Customer Feedback""), ""Needs Customer Feedback"", IF(REGEXMATCH(N783, ""STATUS: QA Passed - Awaiting Release""), ""QA Passed - Awaiting Release"", IF(REGEXMATCH(N783, ""STATUS: Release to P"&amp;"rod""), ""Release to Prod"", """")))))))"),"")</f>
        <v/>
      </c>
    </row>
    <row r="784" hidden="1">
      <c r="A784" s="61" t="s">
        <v>52</v>
      </c>
      <c r="B784" s="12" t="s">
        <v>53</v>
      </c>
      <c r="C784" s="61">
        <v>10.0</v>
      </c>
      <c r="D784" s="62" t="s">
        <v>3745</v>
      </c>
      <c r="E784" s="56" t="s">
        <v>173</v>
      </c>
      <c r="F784" s="61" t="s">
        <v>3746</v>
      </c>
      <c r="G784" s="57" t="str">
        <f t="shared" si="1"/>
        <v>13-Aug-2025</v>
      </c>
      <c r="H784" s="61" t="s">
        <v>57</v>
      </c>
      <c r="I784" s="61" t="s">
        <v>3747</v>
      </c>
      <c r="J784" s="27" t="str">
        <f t="shared" si="4"/>
        <v>26-Sep-2025</v>
      </c>
      <c r="K784" s="61" t="s">
        <v>3748</v>
      </c>
      <c r="L784" s="27" t="str">
        <f t="shared" si="5"/>
        <v>29-Aug-2025</v>
      </c>
      <c r="M784" s="63" t="s">
        <v>291</v>
      </c>
      <c r="N784" s="61" t="s">
        <v>3417</v>
      </c>
      <c r="O784" s="27"/>
      <c r="P784" s="61">
        <v>2.0</v>
      </c>
      <c r="Q784" s="66" t="s">
        <v>3749</v>
      </c>
      <c r="R784" s="27" t="str">
        <f>IFERROR(__xludf.DUMMYFUNCTION("IF(REGEXMATCH(N784, ""PRIORITY: Low""), ""Low"", IF(REGEXMATCH(N784, ""PRIORITY: Medium""), ""Medium"", IF(REGEXMATCH(N784, ""PRIORITY: High""), ""High"", """")))
"),"High")</f>
        <v>High</v>
      </c>
      <c r="S784" s="27" t="str">
        <f>IFERROR(__xludf.DUMMYFUNCTION("IF(REGEXMATCH(N784, ""SKILL: Low""), ""Low"", IF(REGEXMATCH(N784, ""SKILL: Medium""), ""Medium"", IF(REGEXMATCH(N784, ""SKILL: High""), ""High"", """")))"),"Low")</f>
        <v>Low</v>
      </c>
      <c r="T784" s="27" t="str">
        <f>IFERROR(__xludf.DUMMYFUNCTION("IF(REGEXMATCH(N784, ""STATUS: Dev Complete - Awaiting QA""), ""Dev Complete - Awaiting QA"", IF(REGEXMATCH(N784, ""STATUS: Follow-Up Required""), ""Follow-Up Required"", IF(REGEXMATCH(N784, ""STATUS: In Progress""), ""In Progress"", IF(REGEXMATCH(N784, """&amp;"STATUS: In QA""), ""In QA"", IF(REGEXMATCH(N784, ""STATUS: Needs Customer Feedback""), ""Needs Customer Feedback"", IF(REGEXMATCH(N784, ""STATUS: QA Passed - Awaiting Release""), ""QA Passed - Awaiting Release"", IF(REGEXMATCH(N784, ""STATUS: Release to P"&amp;"rod""), ""Release to Prod"", """")))))))"),"")</f>
        <v/>
      </c>
    </row>
    <row r="785" hidden="1">
      <c r="A785" s="61" t="s">
        <v>52</v>
      </c>
      <c r="B785" s="12" t="s">
        <v>53</v>
      </c>
      <c r="C785" s="61">
        <v>9.0</v>
      </c>
      <c r="D785" s="62" t="s">
        <v>3750</v>
      </c>
      <c r="E785" s="56" t="s">
        <v>173</v>
      </c>
      <c r="F785" s="61" t="s">
        <v>3751</v>
      </c>
      <c r="G785" s="57" t="str">
        <f t="shared" si="1"/>
        <v>13-Aug-2025</v>
      </c>
      <c r="H785" s="61" t="s">
        <v>57</v>
      </c>
      <c r="I785" s="61" t="s">
        <v>3752</v>
      </c>
      <c r="J785" s="27" t="str">
        <f t="shared" si="4"/>
        <v>29-Aug-2025</v>
      </c>
      <c r="K785" s="61" t="s">
        <v>3752</v>
      </c>
      <c r="L785" s="27" t="str">
        <f t="shared" si="5"/>
        <v>29-Aug-2025</v>
      </c>
      <c r="M785" s="63" t="s">
        <v>249</v>
      </c>
      <c r="N785" s="61" t="s">
        <v>3481</v>
      </c>
      <c r="O785" s="61" t="s">
        <v>51</v>
      </c>
      <c r="P785" s="61">
        <v>1.0</v>
      </c>
      <c r="Q785" s="66" t="s">
        <v>3753</v>
      </c>
      <c r="R785" s="27" t="str">
        <f>IFERROR(__xludf.DUMMYFUNCTION("IF(REGEXMATCH(N785, ""PRIORITY: Low""), ""Low"", IF(REGEXMATCH(N785, ""PRIORITY: Medium""), ""Medium"", IF(REGEXMATCH(N785, ""PRIORITY: High""), ""High"", """")))
"),"Low")</f>
        <v>Low</v>
      </c>
      <c r="S785" s="27" t="str">
        <f>IFERROR(__xludf.DUMMYFUNCTION("IF(REGEXMATCH(N785, ""SKILL: Low""), ""Low"", IF(REGEXMATCH(N785, ""SKILL: Medium""), ""Medium"", IF(REGEXMATCH(N785, ""SKILL: High""), ""High"", """")))"),"Low")</f>
        <v>Low</v>
      </c>
      <c r="T785" s="27" t="str">
        <f>IFERROR(__xludf.DUMMYFUNCTION("IF(REGEXMATCH(N785, ""STATUS: Dev Complete - Awaiting QA""), ""Dev Complete - Awaiting QA"", IF(REGEXMATCH(N785, ""STATUS: Follow-Up Required""), ""Follow-Up Required"", IF(REGEXMATCH(N785, ""STATUS: In Progress""), ""In Progress"", IF(REGEXMATCH(N785, """&amp;"STATUS: In QA""), ""In QA"", IF(REGEXMATCH(N785, ""STATUS: Needs Customer Feedback""), ""Needs Customer Feedback"", IF(REGEXMATCH(N785, ""STATUS: QA Passed - Awaiting Release""), ""QA Passed - Awaiting Release"", IF(REGEXMATCH(N785, ""STATUS: Release to P"&amp;"rod""), ""Release to Prod"", """")))))))"),"")</f>
        <v/>
      </c>
    </row>
    <row r="786" hidden="1">
      <c r="A786" s="61" t="s">
        <v>52</v>
      </c>
      <c r="B786" s="12" t="s">
        <v>53</v>
      </c>
      <c r="C786" s="61">
        <v>7.0</v>
      </c>
      <c r="D786" s="62" t="s">
        <v>3754</v>
      </c>
      <c r="E786" s="56" t="s">
        <v>173</v>
      </c>
      <c r="F786" s="61" t="s">
        <v>3755</v>
      </c>
      <c r="G786" s="57" t="str">
        <f t="shared" si="1"/>
        <v>13-Aug-2025</v>
      </c>
      <c r="H786" s="61" t="s">
        <v>51</v>
      </c>
      <c r="I786" s="61" t="s">
        <v>3756</v>
      </c>
      <c r="J786" s="27" t="str">
        <f t="shared" si="4"/>
        <v>29-Aug-2025</v>
      </c>
      <c r="K786" s="61" t="s">
        <v>3756</v>
      </c>
      <c r="L786" s="27" t="str">
        <f t="shared" si="5"/>
        <v>29-Aug-2025</v>
      </c>
      <c r="M786" s="63" t="s">
        <v>285</v>
      </c>
      <c r="N786" s="61" t="s">
        <v>3481</v>
      </c>
      <c r="O786" s="61" t="s">
        <v>51</v>
      </c>
      <c r="P786" s="61">
        <v>1.0</v>
      </c>
      <c r="Q786" s="66" t="s">
        <v>3757</v>
      </c>
      <c r="R786" s="27" t="str">
        <f>IFERROR(__xludf.DUMMYFUNCTION("IF(REGEXMATCH(N786, ""PRIORITY: Low""), ""Low"", IF(REGEXMATCH(N786, ""PRIORITY: Medium""), ""Medium"", IF(REGEXMATCH(N786, ""PRIORITY: High""), ""High"", """")))
"),"Low")</f>
        <v>Low</v>
      </c>
      <c r="S786" s="27" t="str">
        <f>IFERROR(__xludf.DUMMYFUNCTION("IF(REGEXMATCH(N786, ""SKILL: Low""), ""Low"", IF(REGEXMATCH(N786, ""SKILL: Medium""), ""Medium"", IF(REGEXMATCH(N786, ""SKILL: High""), ""High"", """")))"),"Low")</f>
        <v>Low</v>
      </c>
      <c r="T786" s="27" t="str">
        <f>IFERROR(__xludf.DUMMYFUNCTION("IF(REGEXMATCH(N786, ""STATUS: Dev Complete - Awaiting QA""), ""Dev Complete - Awaiting QA"", IF(REGEXMATCH(N786, ""STATUS: Follow-Up Required""), ""Follow-Up Required"", IF(REGEXMATCH(N786, ""STATUS: In Progress""), ""In Progress"", IF(REGEXMATCH(N786, """&amp;"STATUS: In QA""), ""In QA"", IF(REGEXMATCH(N786, ""STATUS: Needs Customer Feedback""), ""Needs Customer Feedback"", IF(REGEXMATCH(N786, ""STATUS: QA Passed - Awaiting Release""), ""QA Passed - Awaiting Release"", IF(REGEXMATCH(N786, ""STATUS: Release to P"&amp;"rod""), ""Release to Prod"", """")))))))"),"")</f>
        <v/>
      </c>
    </row>
    <row r="787" hidden="1">
      <c r="A787" s="61" t="s">
        <v>52</v>
      </c>
      <c r="B787" s="12" t="s">
        <v>53</v>
      </c>
      <c r="C787" s="61">
        <v>6.0</v>
      </c>
      <c r="D787" s="62" t="s">
        <v>3758</v>
      </c>
      <c r="E787" s="56" t="s">
        <v>173</v>
      </c>
      <c r="F787" s="61" t="s">
        <v>3759</v>
      </c>
      <c r="G787" s="57" t="str">
        <f t="shared" si="1"/>
        <v>13-Aug-2025</v>
      </c>
      <c r="H787" s="61" t="s">
        <v>51</v>
      </c>
      <c r="I787" s="61" t="s">
        <v>3760</v>
      </c>
      <c r="J787" s="27" t="str">
        <f t="shared" si="4"/>
        <v>29-Aug-2025</v>
      </c>
      <c r="K787" s="61" t="s">
        <v>3760</v>
      </c>
      <c r="L787" s="27" t="str">
        <f t="shared" si="5"/>
        <v>29-Aug-2025</v>
      </c>
      <c r="M787" s="63" t="s">
        <v>285</v>
      </c>
      <c r="N787" s="61" t="s">
        <v>3481</v>
      </c>
      <c r="O787" s="61" t="s">
        <v>51</v>
      </c>
      <c r="P787" s="61">
        <v>1.0</v>
      </c>
      <c r="Q787" s="66" t="s">
        <v>3761</v>
      </c>
      <c r="R787" s="27" t="str">
        <f>IFERROR(__xludf.DUMMYFUNCTION("IF(REGEXMATCH(N787, ""PRIORITY: Low""), ""Low"", IF(REGEXMATCH(N787, ""PRIORITY: Medium""), ""Medium"", IF(REGEXMATCH(N787, ""PRIORITY: High""), ""High"", """")))
"),"Low")</f>
        <v>Low</v>
      </c>
      <c r="S787" s="27" t="str">
        <f>IFERROR(__xludf.DUMMYFUNCTION("IF(REGEXMATCH(N787, ""SKILL: Low""), ""Low"", IF(REGEXMATCH(N787, ""SKILL: Medium""), ""Medium"", IF(REGEXMATCH(N787, ""SKILL: High""), ""High"", """")))"),"Low")</f>
        <v>Low</v>
      </c>
      <c r="T787" s="27" t="str">
        <f>IFERROR(__xludf.DUMMYFUNCTION("IF(REGEXMATCH(N787, ""STATUS: Dev Complete - Awaiting QA""), ""Dev Complete - Awaiting QA"", IF(REGEXMATCH(N787, ""STATUS: Follow-Up Required""), ""Follow-Up Required"", IF(REGEXMATCH(N787, ""STATUS: In Progress""), ""In Progress"", IF(REGEXMATCH(N787, """&amp;"STATUS: In QA""), ""In QA"", IF(REGEXMATCH(N787, ""STATUS: Needs Customer Feedback""), ""Needs Customer Feedback"", IF(REGEXMATCH(N787, ""STATUS: QA Passed - Awaiting Release""), ""QA Passed - Awaiting Release"", IF(REGEXMATCH(N787, ""STATUS: Release to P"&amp;"rod""), ""Release to Prod"", """")))))))"),"")</f>
        <v/>
      </c>
    </row>
    <row r="788" hidden="1">
      <c r="A788" s="61" t="s">
        <v>52</v>
      </c>
      <c r="B788" s="12" t="s">
        <v>53</v>
      </c>
      <c r="C788" s="61">
        <v>5.0</v>
      </c>
      <c r="D788" s="62" t="s">
        <v>3762</v>
      </c>
      <c r="E788" s="56" t="s">
        <v>173</v>
      </c>
      <c r="F788" s="61" t="s">
        <v>3763</v>
      </c>
      <c r="G788" s="57" t="str">
        <f t="shared" si="1"/>
        <v>11-Aug-2025</v>
      </c>
      <c r="H788" s="61" t="s">
        <v>57</v>
      </c>
      <c r="I788" s="61" t="s">
        <v>3764</v>
      </c>
      <c r="J788" s="27" t="str">
        <f t="shared" si="4"/>
        <v>25-Nov-2025</v>
      </c>
      <c r="K788" s="61" t="s">
        <v>3765</v>
      </c>
      <c r="L788" s="27" t="str">
        <f t="shared" si="5"/>
        <v>25-Nov-2025</v>
      </c>
      <c r="M788" s="63" t="s">
        <v>291</v>
      </c>
      <c r="N788" s="61" t="s">
        <v>3375</v>
      </c>
      <c r="O788" s="61" t="s">
        <v>2734</v>
      </c>
      <c r="P788" s="61">
        <v>5.0</v>
      </c>
      <c r="Q788" s="66" t="s">
        <v>3766</v>
      </c>
      <c r="R788" s="27" t="str">
        <f>IFERROR(__xludf.DUMMYFUNCTION("IF(REGEXMATCH(N788, ""PRIORITY: Low""), ""Low"", IF(REGEXMATCH(N788, ""PRIORITY: Medium""), ""Medium"", IF(REGEXMATCH(N788, ""PRIORITY: High""), ""High"", """")))
"),"Medium")</f>
        <v>Medium</v>
      </c>
      <c r="S788" s="27" t="str">
        <f>IFERROR(__xludf.DUMMYFUNCTION("IF(REGEXMATCH(N788, ""SKILL: Low""), ""Low"", IF(REGEXMATCH(N788, ""SKILL: Medium""), ""Medium"", IF(REGEXMATCH(N788, ""SKILL: High""), ""High"", """")))"),"Medium")</f>
        <v>Medium</v>
      </c>
      <c r="T788" s="27" t="str">
        <f>IFERROR(__xludf.DUMMYFUNCTION("IF(REGEXMATCH(N788, ""STATUS: Dev Complete - Awaiting QA""), ""Dev Complete - Awaiting QA"", IF(REGEXMATCH(N788, ""STATUS: Follow-Up Required""), ""Follow-Up Required"", IF(REGEXMATCH(N788, ""STATUS: In Progress""), ""In Progress"", IF(REGEXMATCH(N788, """&amp;"STATUS: In QA""), ""In QA"", IF(REGEXMATCH(N788, ""STATUS: Needs Customer Feedback""), ""Needs Customer Feedback"", IF(REGEXMATCH(N788, ""STATUS: QA Passed - Awaiting Release""), ""QA Passed - Awaiting Release"", IF(REGEXMATCH(N788, ""STATUS: Release to P"&amp;"rod""), ""Release to Prod"", """")))))))"),"In QA")</f>
        <v>In QA</v>
      </c>
    </row>
    <row r="789" hidden="1">
      <c r="A789" s="61" t="s">
        <v>52</v>
      </c>
      <c r="B789" s="12" t="s">
        <v>53</v>
      </c>
      <c r="C789" s="61">
        <v>4.0</v>
      </c>
      <c r="D789" s="62" t="s">
        <v>3767</v>
      </c>
      <c r="E789" s="56" t="s">
        <v>173</v>
      </c>
      <c r="F789" s="61" t="s">
        <v>3768</v>
      </c>
      <c r="G789" s="57" t="str">
        <f t="shared" si="1"/>
        <v>06-Aug-2025</v>
      </c>
      <c r="H789" s="61" t="s">
        <v>57</v>
      </c>
      <c r="I789" s="61" t="s">
        <v>3747</v>
      </c>
      <c r="J789" s="27" t="str">
        <f t="shared" si="4"/>
        <v>26-Sep-2025</v>
      </c>
      <c r="K789" s="61" t="s">
        <v>3769</v>
      </c>
      <c r="L789" s="27" t="str">
        <f t="shared" si="5"/>
        <v>29-Aug-2025</v>
      </c>
      <c r="M789" s="63" t="s">
        <v>291</v>
      </c>
      <c r="N789" s="61" t="s">
        <v>297</v>
      </c>
      <c r="O789" s="27"/>
      <c r="P789" s="61">
        <v>3.0</v>
      </c>
      <c r="Q789" s="66" t="s">
        <v>3770</v>
      </c>
      <c r="R789" s="27" t="str">
        <f>IFERROR(__xludf.DUMMYFUNCTION("IF(REGEXMATCH(N789, ""PRIORITY: Low""), ""Low"", IF(REGEXMATCH(N789, ""PRIORITY: Medium""), ""Medium"", IF(REGEXMATCH(N789, ""PRIORITY: High""), ""High"", """")))
"),"High")</f>
        <v>High</v>
      </c>
      <c r="S789" s="27" t="str">
        <f>IFERROR(__xludf.DUMMYFUNCTION("IF(REGEXMATCH(N789, ""SKILL: Low""), ""Low"", IF(REGEXMATCH(N789, ""SKILL: Medium""), ""Medium"", IF(REGEXMATCH(N789, ""SKILL: High""), ""High"", """")))"),"Medium")</f>
        <v>Medium</v>
      </c>
      <c r="T789" s="27" t="str">
        <f>IFERROR(__xludf.DUMMYFUNCTION("IF(REGEXMATCH(N789, ""STATUS: Dev Complete - Awaiting QA""), ""Dev Complete - Awaiting QA"", IF(REGEXMATCH(N789, ""STATUS: Follow-Up Required""), ""Follow-Up Required"", IF(REGEXMATCH(N789, ""STATUS: In Progress""), ""In Progress"", IF(REGEXMATCH(N789, """&amp;"STATUS: In QA""), ""In QA"", IF(REGEXMATCH(N789, ""STATUS: Needs Customer Feedback""), ""Needs Customer Feedback"", IF(REGEXMATCH(N789, ""STATUS: QA Passed - Awaiting Release""), ""QA Passed - Awaiting Release"", IF(REGEXMATCH(N789, ""STATUS: Release to P"&amp;"rod""), ""Release to Prod"", """")))))))"),"")</f>
        <v/>
      </c>
    </row>
    <row r="790" hidden="1">
      <c r="A790" s="61" t="s">
        <v>52</v>
      </c>
      <c r="B790" s="12" t="s">
        <v>53</v>
      </c>
      <c r="C790" s="61">
        <v>3.0</v>
      </c>
      <c r="D790" s="62" t="s">
        <v>3771</v>
      </c>
      <c r="E790" s="56" t="s">
        <v>173</v>
      </c>
      <c r="F790" s="61" t="s">
        <v>3772</v>
      </c>
      <c r="G790" s="57" t="str">
        <f t="shared" si="1"/>
        <v>06-Aug-2025</v>
      </c>
      <c r="H790" s="61" t="s">
        <v>57</v>
      </c>
      <c r="I790" s="61" t="s">
        <v>3773</v>
      </c>
      <c r="J790" s="27" t="str">
        <f t="shared" si="4"/>
        <v>29-Aug-2025</v>
      </c>
      <c r="K790" s="61" t="s">
        <v>3773</v>
      </c>
      <c r="L790" s="27" t="str">
        <f t="shared" si="5"/>
        <v>29-Aug-2025</v>
      </c>
      <c r="M790" s="63" t="s">
        <v>249</v>
      </c>
      <c r="N790" s="61" t="s">
        <v>3481</v>
      </c>
      <c r="O790" s="61" t="s">
        <v>51</v>
      </c>
      <c r="P790" s="61">
        <v>2.0</v>
      </c>
      <c r="Q790" s="66" t="s">
        <v>3774</v>
      </c>
      <c r="R790" s="27" t="str">
        <f>IFERROR(__xludf.DUMMYFUNCTION("IF(REGEXMATCH(N790, ""PRIORITY: Low""), ""Low"", IF(REGEXMATCH(N790, ""PRIORITY: Medium""), ""Medium"", IF(REGEXMATCH(N790, ""PRIORITY: High""), ""High"", """")))
"),"Low")</f>
        <v>Low</v>
      </c>
      <c r="S790" s="27" t="str">
        <f>IFERROR(__xludf.DUMMYFUNCTION("IF(REGEXMATCH(N790, ""SKILL: Low""), ""Low"", IF(REGEXMATCH(N790, ""SKILL: Medium""), ""Medium"", IF(REGEXMATCH(N790, ""SKILL: High""), ""High"", """")))"),"Low")</f>
        <v>Low</v>
      </c>
      <c r="T790" s="27" t="str">
        <f>IFERROR(__xludf.DUMMYFUNCTION("IF(REGEXMATCH(N790, ""STATUS: Dev Complete - Awaiting QA""), ""Dev Complete - Awaiting QA"", IF(REGEXMATCH(N790, ""STATUS: Follow-Up Required""), ""Follow-Up Required"", IF(REGEXMATCH(N790, ""STATUS: In Progress""), ""In Progress"", IF(REGEXMATCH(N790, """&amp;"STATUS: In QA""), ""In QA"", IF(REGEXMATCH(N790, ""STATUS: Needs Customer Feedback""), ""Needs Customer Feedback"", IF(REGEXMATCH(N790, ""STATUS: QA Passed - Awaiting Release""), ""QA Passed - Awaiting Release"", IF(REGEXMATCH(N790, ""STATUS: Release to P"&amp;"rod""), ""Release to Prod"", """")))))))"),"")</f>
        <v/>
      </c>
    </row>
    <row r="791" hidden="1">
      <c r="A791" s="61" t="s">
        <v>52</v>
      </c>
      <c r="B791" s="12" t="s">
        <v>53</v>
      </c>
      <c r="C791" s="61">
        <v>2.0</v>
      </c>
      <c r="D791" s="62" t="s">
        <v>3775</v>
      </c>
      <c r="E791" s="56" t="s">
        <v>173</v>
      </c>
      <c r="F791" s="61" t="s">
        <v>3776</v>
      </c>
      <c r="G791" s="57" t="str">
        <f t="shared" si="1"/>
        <v>06-Aug-2025</v>
      </c>
      <c r="H791" s="61" t="s">
        <v>57</v>
      </c>
      <c r="I791" s="61" t="s">
        <v>3777</v>
      </c>
      <c r="J791" s="27" t="str">
        <f t="shared" si="4"/>
        <v>07-Sep-2025</v>
      </c>
      <c r="K791" s="61" t="s">
        <v>3777</v>
      </c>
      <c r="L791" s="27" t="str">
        <f t="shared" si="5"/>
        <v>07-Sep-2025</v>
      </c>
      <c r="M791" s="63" t="s">
        <v>291</v>
      </c>
      <c r="N791" s="61" t="s">
        <v>3131</v>
      </c>
      <c r="O791" s="61" t="s">
        <v>57</v>
      </c>
      <c r="P791" s="61">
        <v>1.0</v>
      </c>
      <c r="Q791" s="66" t="s">
        <v>3778</v>
      </c>
      <c r="R791" s="27" t="str">
        <f>IFERROR(__xludf.DUMMYFUNCTION("IF(REGEXMATCH(N791, ""PRIORITY: Low""), ""Low"", IF(REGEXMATCH(N791, ""PRIORITY: Medium""), ""Medium"", IF(REGEXMATCH(N791, ""PRIORITY: High""), ""High"", """")))
"),"Low")</f>
        <v>Low</v>
      </c>
      <c r="S791" s="27" t="str">
        <f>IFERROR(__xludf.DUMMYFUNCTION("IF(REGEXMATCH(N791, ""SKILL: Low""), ""Low"", IF(REGEXMATCH(N791, ""SKILL: Medium""), ""Medium"", IF(REGEXMATCH(N791, ""SKILL: High""), ""High"", """")))"),"Medium")</f>
        <v>Medium</v>
      </c>
      <c r="T791" s="27" t="str">
        <f>IFERROR(__xludf.DUMMYFUNCTION("IF(REGEXMATCH(N791, ""STATUS: Dev Complete - Awaiting QA""), ""Dev Complete - Awaiting QA"", IF(REGEXMATCH(N791, ""STATUS: Follow-Up Required""), ""Follow-Up Required"", IF(REGEXMATCH(N791, ""STATUS: In Progress""), ""In Progress"", IF(REGEXMATCH(N791, """&amp;"STATUS: In QA""), ""In QA"", IF(REGEXMATCH(N791, ""STATUS: Needs Customer Feedback""), ""Needs Customer Feedback"", IF(REGEXMATCH(N791, ""STATUS: QA Passed - Awaiting Release""), ""QA Passed - Awaiting Release"", IF(REGEXMATCH(N791, ""STATUS: Release to P"&amp;"rod""), ""Release to Prod"", """")))))))"),"Needs Customer Feedback")</f>
        <v>Needs Customer Feedback</v>
      </c>
    </row>
    <row r="792" hidden="1">
      <c r="A792" s="61" t="s">
        <v>52</v>
      </c>
      <c r="B792" s="12" t="s">
        <v>53</v>
      </c>
      <c r="C792" s="61">
        <v>1.0</v>
      </c>
      <c r="D792" s="62" t="s">
        <v>3779</v>
      </c>
      <c r="E792" s="56" t="s">
        <v>173</v>
      </c>
      <c r="F792" s="61" t="s">
        <v>3780</v>
      </c>
      <c r="G792" s="57" t="str">
        <f t="shared" si="1"/>
        <v>06-Aug-2025</v>
      </c>
      <c r="H792" s="61" t="s">
        <v>57</v>
      </c>
      <c r="I792" s="61" t="s">
        <v>375</v>
      </c>
      <c r="J792" s="27" t="str">
        <f t="shared" si="4"/>
        <v>26-Sep-2025</v>
      </c>
      <c r="K792" s="61" t="s">
        <v>3781</v>
      </c>
      <c r="L792" s="27" t="str">
        <f t="shared" si="5"/>
        <v>26-Sep-2025</v>
      </c>
      <c r="M792" s="63" t="s">
        <v>291</v>
      </c>
      <c r="N792" s="61" t="s">
        <v>297</v>
      </c>
      <c r="O792" s="27"/>
      <c r="P792" s="61">
        <v>7.0</v>
      </c>
      <c r="Q792" s="66" t="s">
        <v>3782</v>
      </c>
      <c r="R792" s="27" t="str">
        <f>IFERROR(__xludf.DUMMYFUNCTION("IF(REGEXMATCH(N792, ""PRIORITY: Low""), ""Low"", IF(REGEXMATCH(N792, ""PRIORITY: Medium""), ""Medium"", IF(REGEXMATCH(N792, ""PRIORITY: High""), ""High"", """")))
"),"High")</f>
        <v>High</v>
      </c>
      <c r="S792" s="27" t="str">
        <f>IFERROR(__xludf.DUMMYFUNCTION("IF(REGEXMATCH(N792, ""SKILL: Low""), ""Low"", IF(REGEXMATCH(N792, ""SKILL: Medium""), ""Medium"", IF(REGEXMATCH(N792, ""SKILL: High""), ""High"", """")))"),"Medium")</f>
        <v>Medium</v>
      </c>
      <c r="T792" s="27" t="str">
        <f>IFERROR(__xludf.DUMMYFUNCTION("IF(REGEXMATCH(N792, ""STATUS: Dev Complete - Awaiting QA""), ""Dev Complete - Awaiting QA"", IF(REGEXMATCH(N792, ""STATUS: Follow-Up Required""), ""Follow-Up Required"", IF(REGEXMATCH(N792, ""STATUS: In Progress""), ""In Progress"", IF(REGEXMATCH(N792, """&amp;"STATUS: In QA""), ""In QA"", IF(REGEXMATCH(N792, ""STATUS: Needs Customer Feedback""), ""Needs Customer Feedback"", IF(REGEXMATCH(N792, ""STATUS: QA Passed - Awaiting Release""), ""QA Passed - Awaiting Release"", IF(REGEXMATCH(N792, ""STATUS: Release to P"&amp;"rod""), ""Release to Prod"", """")))))))"),"")</f>
        <v/>
      </c>
    </row>
    <row r="793">
      <c r="A793" s="61" t="s">
        <v>66</v>
      </c>
      <c r="B793" s="12" t="s">
        <v>67</v>
      </c>
      <c r="C793" s="61">
        <v>22.0</v>
      </c>
      <c r="D793" s="62" t="s">
        <v>3783</v>
      </c>
      <c r="E793" s="56" t="s">
        <v>246</v>
      </c>
      <c r="F793" s="61" t="s">
        <v>3784</v>
      </c>
      <c r="G793" s="57" t="str">
        <f t="shared" si="1"/>
        <v>13-Aug-2025</v>
      </c>
      <c r="H793" s="61" t="s">
        <v>98</v>
      </c>
      <c r="I793" s="61" t="s">
        <v>3785</v>
      </c>
      <c r="J793" s="27" t="str">
        <f t="shared" si="4"/>
        <v>13-Aug-2025</v>
      </c>
      <c r="K793" s="27"/>
      <c r="L793" s="27" t="str">
        <f t="shared" si="5"/>
        <v/>
      </c>
      <c r="M793" s="63" t="s">
        <v>15</v>
      </c>
      <c r="N793" s="61" t="s">
        <v>3786</v>
      </c>
      <c r="O793" s="27"/>
      <c r="P793" s="61">
        <v>6.0</v>
      </c>
      <c r="Q793" s="66" t="s">
        <v>3787</v>
      </c>
      <c r="R793" s="27" t="str">
        <f>IFERROR(__xludf.DUMMYFUNCTION("IF(REGEXMATCH(N793, ""PRIORITY: Low""), ""Low"", IF(REGEXMATCH(N793, ""PRIORITY: Medium""), ""Medium"", IF(REGEXMATCH(N793, ""PRIORITY: High""), ""High"", """")))
"),"")</f>
        <v/>
      </c>
      <c r="S793" s="27" t="str">
        <f>IFERROR(__xludf.DUMMYFUNCTION("IF(REGEXMATCH(N793, ""SKILL: Low""), ""Low"", IF(REGEXMATCH(N793, ""SKILL: Medium""), ""Medium"", IF(REGEXMATCH(N793, ""SKILL: High""), ""High"", """")))"),"")</f>
        <v/>
      </c>
      <c r="T793" s="27" t="str">
        <f>IFERROR(__xludf.DUMMYFUNCTION("IF(REGEXMATCH(N793, ""STATUS: Dev Complete - Awaiting QA""), ""Dev Complete - Awaiting QA"", IF(REGEXMATCH(N793, ""STATUS: Follow-Up Required""), ""Follow-Up Required"", IF(REGEXMATCH(N793, ""STATUS: In Progress""), ""In Progress"", IF(REGEXMATCH(N793, """&amp;"STATUS: In QA""), ""In QA"", IF(REGEXMATCH(N793, ""STATUS: Needs Customer Feedback""), ""Needs Customer Feedback"", IF(REGEXMATCH(N793, ""STATUS: QA Passed - Awaiting Release""), ""QA Passed - Awaiting Release"", IF(REGEXMATCH(N793, ""STATUS: Release to P"&amp;"rod""), ""Release to Prod"", """")))))))"),"")</f>
        <v/>
      </c>
    </row>
    <row r="794">
      <c r="A794" s="61" t="s">
        <v>66</v>
      </c>
      <c r="B794" s="12" t="s">
        <v>67</v>
      </c>
      <c r="C794" s="61">
        <v>21.0</v>
      </c>
      <c r="D794" s="62" t="s">
        <v>3788</v>
      </c>
      <c r="E794" s="56" t="s">
        <v>246</v>
      </c>
      <c r="F794" s="61" t="s">
        <v>3789</v>
      </c>
      <c r="G794" s="57" t="str">
        <f t="shared" si="1"/>
        <v>13-Aug-2025</v>
      </c>
      <c r="H794" s="61" t="s">
        <v>98</v>
      </c>
      <c r="I794" s="61" t="s">
        <v>3790</v>
      </c>
      <c r="J794" s="27" t="str">
        <f t="shared" si="4"/>
        <v>13-Aug-2025</v>
      </c>
      <c r="K794" s="27"/>
      <c r="L794" s="27" t="str">
        <f t="shared" si="5"/>
        <v/>
      </c>
      <c r="M794" s="63" t="s">
        <v>15</v>
      </c>
      <c r="N794" s="61" t="s">
        <v>3786</v>
      </c>
      <c r="O794" s="27"/>
      <c r="P794" s="61">
        <v>6.0</v>
      </c>
      <c r="Q794" s="66" t="s">
        <v>3791</v>
      </c>
      <c r="R794" s="27" t="str">
        <f>IFERROR(__xludf.DUMMYFUNCTION("IF(REGEXMATCH(N794, ""PRIORITY: Low""), ""Low"", IF(REGEXMATCH(N794, ""PRIORITY: Medium""), ""Medium"", IF(REGEXMATCH(N794, ""PRIORITY: High""), ""High"", """")))
"),"")</f>
        <v/>
      </c>
      <c r="S794" s="27" t="str">
        <f>IFERROR(__xludf.DUMMYFUNCTION("IF(REGEXMATCH(N794, ""SKILL: Low""), ""Low"", IF(REGEXMATCH(N794, ""SKILL: Medium""), ""Medium"", IF(REGEXMATCH(N794, ""SKILL: High""), ""High"", """")))"),"")</f>
        <v/>
      </c>
      <c r="T794" s="27" t="str">
        <f>IFERROR(__xludf.DUMMYFUNCTION("IF(REGEXMATCH(N794, ""STATUS: Dev Complete - Awaiting QA""), ""Dev Complete - Awaiting QA"", IF(REGEXMATCH(N794, ""STATUS: Follow-Up Required""), ""Follow-Up Required"", IF(REGEXMATCH(N794, ""STATUS: In Progress""), ""In Progress"", IF(REGEXMATCH(N794, """&amp;"STATUS: In QA""), ""In QA"", IF(REGEXMATCH(N794, ""STATUS: Needs Customer Feedback""), ""Needs Customer Feedback"", IF(REGEXMATCH(N794, ""STATUS: QA Passed - Awaiting Release""), ""QA Passed - Awaiting Release"", IF(REGEXMATCH(N794, ""STATUS: Release to P"&amp;"rod""), ""Release to Prod"", """")))))))"),"")</f>
        <v/>
      </c>
    </row>
    <row r="795">
      <c r="A795" s="61" t="s">
        <v>66</v>
      </c>
      <c r="B795" s="12" t="s">
        <v>67</v>
      </c>
      <c r="C795" s="61">
        <v>20.0</v>
      </c>
      <c r="D795" s="62" t="s">
        <v>3792</v>
      </c>
      <c r="E795" s="56" t="s">
        <v>246</v>
      </c>
      <c r="F795" s="61" t="s">
        <v>3793</v>
      </c>
      <c r="G795" s="57" t="str">
        <f t="shared" si="1"/>
        <v>13-Aug-2025</v>
      </c>
      <c r="H795" s="61" t="s">
        <v>98</v>
      </c>
      <c r="I795" s="61" t="s">
        <v>3794</v>
      </c>
      <c r="J795" s="27" t="str">
        <f t="shared" si="4"/>
        <v>13-Aug-2025</v>
      </c>
      <c r="K795" s="27"/>
      <c r="L795" s="27" t="str">
        <f t="shared" si="5"/>
        <v/>
      </c>
      <c r="M795" s="63" t="s">
        <v>15</v>
      </c>
      <c r="N795" s="61" t="s">
        <v>3786</v>
      </c>
      <c r="O795" s="27"/>
      <c r="P795" s="61">
        <v>6.0</v>
      </c>
      <c r="Q795" s="66" t="s">
        <v>3795</v>
      </c>
      <c r="R795" s="27" t="str">
        <f>IFERROR(__xludf.DUMMYFUNCTION("IF(REGEXMATCH(N795, ""PRIORITY: Low""), ""Low"", IF(REGEXMATCH(N795, ""PRIORITY: Medium""), ""Medium"", IF(REGEXMATCH(N795, ""PRIORITY: High""), ""High"", """")))
"),"")</f>
        <v/>
      </c>
      <c r="S795" s="27" t="str">
        <f>IFERROR(__xludf.DUMMYFUNCTION("IF(REGEXMATCH(N795, ""SKILL: Low""), ""Low"", IF(REGEXMATCH(N795, ""SKILL: Medium""), ""Medium"", IF(REGEXMATCH(N795, ""SKILL: High""), ""High"", """")))"),"")</f>
        <v/>
      </c>
      <c r="T795" s="27" t="str">
        <f>IFERROR(__xludf.DUMMYFUNCTION("IF(REGEXMATCH(N795, ""STATUS: Dev Complete - Awaiting QA""), ""Dev Complete - Awaiting QA"", IF(REGEXMATCH(N795, ""STATUS: Follow-Up Required""), ""Follow-Up Required"", IF(REGEXMATCH(N795, ""STATUS: In Progress""), ""In Progress"", IF(REGEXMATCH(N795, """&amp;"STATUS: In QA""), ""In QA"", IF(REGEXMATCH(N795, ""STATUS: Needs Customer Feedback""), ""Needs Customer Feedback"", IF(REGEXMATCH(N795, ""STATUS: QA Passed - Awaiting Release""), ""QA Passed - Awaiting Release"", IF(REGEXMATCH(N795, ""STATUS: Release to P"&amp;"rod""), ""Release to Prod"", """")))))))"),"")</f>
        <v/>
      </c>
    </row>
    <row r="796">
      <c r="A796" s="61" t="s">
        <v>66</v>
      </c>
      <c r="B796" s="12" t="s">
        <v>67</v>
      </c>
      <c r="C796" s="61">
        <v>19.0</v>
      </c>
      <c r="D796" s="62" t="s">
        <v>3796</v>
      </c>
      <c r="E796" s="56" t="s">
        <v>246</v>
      </c>
      <c r="F796" s="61" t="s">
        <v>3797</v>
      </c>
      <c r="G796" s="57" t="str">
        <f t="shared" si="1"/>
        <v>13-Aug-2025</v>
      </c>
      <c r="H796" s="61" t="s">
        <v>98</v>
      </c>
      <c r="I796" s="61" t="s">
        <v>3798</v>
      </c>
      <c r="J796" s="27" t="str">
        <f t="shared" si="4"/>
        <v>13-Aug-2025</v>
      </c>
      <c r="K796" s="27"/>
      <c r="L796" s="27" t="str">
        <f t="shared" si="5"/>
        <v/>
      </c>
      <c r="M796" s="63" t="s">
        <v>15</v>
      </c>
      <c r="N796" s="61" t="s">
        <v>3786</v>
      </c>
      <c r="O796" s="27"/>
      <c r="P796" s="61">
        <v>6.0</v>
      </c>
      <c r="Q796" s="66" t="s">
        <v>3799</v>
      </c>
      <c r="R796" s="27" t="str">
        <f>IFERROR(__xludf.DUMMYFUNCTION("IF(REGEXMATCH(N796, ""PRIORITY: Low""), ""Low"", IF(REGEXMATCH(N796, ""PRIORITY: Medium""), ""Medium"", IF(REGEXMATCH(N796, ""PRIORITY: High""), ""High"", """")))
"),"")</f>
        <v/>
      </c>
      <c r="S796" s="27" t="str">
        <f>IFERROR(__xludf.DUMMYFUNCTION("IF(REGEXMATCH(N796, ""SKILL: Low""), ""Low"", IF(REGEXMATCH(N796, ""SKILL: Medium""), ""Medium"", IF(REGEXMATCH(N796, ""SKILL: High""), ""High"", """")))"),"")</f>
        <v/>
      </c>
      <c r="T796" s="27" t="str">
        <f>IFERROR(__xludf.DUMMYFUNCTION("IF(REGEXMATCH(N796, ""STATUS: Dev Complete - Awaiting QA""), ""Dev Complete - Awaiting QA"", IF(REGEXMATCH(N796, ""STATUS: Follow-Up Required""), ""Follow-Up Required"", IF(REGEXMATCH(N796, ""STATUS: In Progress""), ""In Progress"", IF(REGEXMATCH(N796, """&amp;"STATUS: In QA""), ""In QA"", IF(REGEXMATCH(N796, ""STATUS: Needs Customer Feedback""), ""Needs Customer Feedback"", IF(REGEXMATCH(N796, ""STATUS: QA Passed - Awaiting Release""), ""QA Passed - Awaiting Release"", IF(REGEXMATCH(N796, ""STATUS: Release to P"&amp;"rod""), ""Release to Prod"", """")))))))"),"")</f>
        <v/>
      </c>
    </row>
    <row r="797">
      <c r="A797" s="61" t="s">
        <v>66</v>
      </c>
      <c r="B797" s="12" t="s">
        <v>67</v>
      </c>
      <c r="C797" s="61">
        <v>18.0</v>
      </c>
      <c r="D797" s="62" t="s">
        <v>3796</v>
      </c>
      <c r="E797" s="56" t="s">
        <v>246</v>
      </c>
      <c r="F797" s="61" t="s">
        <v>3800</v>
      </c>
      <c r="G797" s="57" t="str">
        <f t="shared" si="1"/>
        <v>13-Aug-2025</v>
      </c>
      <c r="H797" s="61" t="s">
        <v>98</v>
      </c>
      <c r="I797" s="61" t="s">
        <v>3801</v>
      </c>
      <c r="J797" s="27" t="str">
        <f t="shared" si="4"/>
        <v>13-Aug-2025</v>
      </c>
      <c r="K797" s="27"/>
      <c r="L797" s="27" t="str">
        <f t="shared" si="5"/>
        <v/>
      </c>
      <c r="M797" s="63" t="s">
        <v>15</v>
      </c>
      <c r="N797" s="61" t="s">
        <v>3786</v>
      </c>
      <c r="O797" s="27"/>
      <c r="P797" s="61">
        <v>6.0</v>
      </c>
      <c r="Q797" s="66" t="s">
        <v>3802</v>
      </c>
      <c r="R797" s="27" t="str">
        <f>IFERROR(__xludf.DUMMYFUNCTION("IF(REGEXMATCH(N797, ""PRIORITY: Low""), ""Low"", IF(REGEXMATCH(N797, ""PRIORITY: Medium""), ""Medium"", IF(REGEXMATCH(N797, ""PRIORITY: High""), ""High"", """")))
"),"")</f>
        <v/>
      </c>
      <c r="S797" s="27" t="str">
        <f>IFERROR(__xludf.DUMMYFUNCTION("IF(REGEXMATCH(N797, ""SKILL: Low""), ""Low"", IF(REGEXMATCH(N797, ""SKILL: Medium""), ""Medium"", IF(REGEXMATCH(N797, ""SKILL: High""), ""High"", """")))"),"")</f>
        <v/>
      </c>
      <c r="T797" s="27" t="str">
        <f>IFERROR(__xludf.DUMMYFUNCTION("IF(REGEXMATCH(N797, ""STATUS: Dev Complete - Awaiting QA""), ""Dev Complete - Awaiting QA"", IF(REGEXMATCH(N797, ""STATUS: Follow-Up Required""), ""Follow-Up Required"", IF(REGEXMATCH(N797, ""STATUS: In Progress""), ""In Progress"", IF(REGEXMATCH(N797, """&amp;"STATUS: In QA""), ""In QA"", IF(REGEXMATCH(N797, ""STATUS: Needs Customer Feedback""), ""Needs Customer Feedback"", IF(REGEXMATCH(N797, ""STATUS: QA Passed - Awaiting Release""), ""QA Passed - Awaiting Release"", IF(REGEXMATCH(N797, ""STATUS: Release to P"&amp;"rod""), ""Release to Prod"", """")))))))"),"")</f>
        <v/>
      </c>
    </row>
    <row r="798">
      <c r="A798" s="61" t="s">
        <v>66</v>
      </c>
      <c r="B798" s="12" t="s">
        <v>67</v>
      </c>
      <c r="C798" s="61">
        <v>17.0</v>
      </c>
      <c r="D798" s="62" t="s">
        <v>3796</v>
      </c>
      <c r="E798" s="56" t="s">
        <v>246</v>
      </c>
      <c r="F798" s="61" t="s">
        <v>3803</v>
      </c>
      <c r="G798" s="57" t="str">
        <f t="shared" si="1"/>
        <v>13-Aug-2025</v>
      </c>
      <c r="H798" s="61" t="s">
        <v>98</v>
      </c>
      <c r="I798" s="61" t="s">
        <v>3804</v>
      </c>
      <c r="J798" s="27" t="str">
        <f t="shared" si="4"/>
        <v>13-Aug-2025</v>
      </c>
      <c r="K798" s="27"/>
      <c r="L798" s="27" t="str">
        <f t="shared" si="5"/>
        <v/>
      </c>
      <c r="M798" s="63" t="s">
        <v>15</v>
      </c>
      <c r="N798" s="61" t="s">
        <v>3786</v>
      </c>
      <c r="O798" s="27"/>
      <c r="P798" s="61">
        <v>6.0</v>
      </c>
      <c r="Q798" s="66" t="s">
        <v>3805</v>
      </c>
      <c r="R798" s="27" t="str">
        <f>IFERROR(__xludf.DUMMYFUNCTION("IF(REGEXMATCH(N798, ""PRIORITY: Low""), ""Low"", IF(REGEXMATCH(N798, ""PRIORITY: Medium""), ""Medium"", IF(REGEXMATCH(N798, ""PRIORITY: High""), ""High"", """")))
"),"")</f>
        <v/>
      </c>
      <c r="S798" s="27" t="str">
        <f>IFERROR(__xludf.DUMMYFUNCTION("IF(REGEXMATCH(N798, ""SKILL: Low""), ""Low"", IF(REGEXMATCH(N798, ""SKILL: Medium""), ""Medium"", IF(REGEXMATCH(N798, ""SKILL: High""), ""High"", """")))"),"")</f>
        <v/>
      </c>
      <c r="T798" s="27" t="str">
        <f>IFERROR(__xludf.DUMMYFUNCTION("IF(REGEXMATCH(N798, ""STATUS: Dev Complete - Awaiting QA""), ""Dev Complete - Awaiting QA"", IF(REGEXMATCH(N798, ""STATUS: Follow-Up Required""), ""Follow-Up Required"", IF(REGEXMATCH(N798, ""STATUS: In Progress""), ""In Progress"", IF(REGEXMATCH(N798, """&amp;"STATUS: In QA""), ""In QA"", IF(REGEXMATCH(N798, ""STATUS: Needs Customer Feedback""), ""Needs Customer Feedback"", IF(REGEXMATCH(N798, ""STATUS: QA Passed - Awaiting Release""), ""QA Passed - Awaiting Release"", IF(REGEXMATCH(N798, ""STATUS: Release to P"&amp;"rod""), ""Release to Prod"", """")))))))"),"")</f>
        <v/>
      </c>
    </row>
    <row r="799">
      <c r="A799" s="61" t="s">
        <v>66</v>
      </c>
      <c r="B799" s="12" t="s">
        <v>67</v>
      </c>
      <c r="C799" s="61">
        <v>15.0</v>
      </c>
      <c r="D799" s="62" t="s">
        <v>3806</v>
      </c>
      <c r="E799" s="56" t="s">
        <v>246</v>
      </c>
      <c r="F799" s="61" t="s">
        <v>3807</v>
      </c>
      <c r="G799" s="57" t="str">
        <f t="shared" si="1"/>
        <v>13-Aug-2025</v>
      </c>
      <c r="H799" s="61" t="s">
        <v>98</v>
      </c>
      <c r="I799" s="61" t="s">
        <v>3808</v>
      </c>
      <c r="J799" s="27" t="str">
        <f t="shared" si="4"/>
        <v>13-Aug-2025</v>
      </c>
      <c r="K799" s="27"/>
      <c r="L799" s="27" t="str">
        <f t="shared" si="5"/>
        <v/>
      </c>
      <c r="M799" s="63" t="s">
        <v>15</v>
      </c>
      <c r="N799" s="61" t="s">
        <v>3786</v>
      </c>
      <c r="O799" s="27"/>
      <c r="P799" s="61">
        <v>6.0</v>
      </c>
      <c r="Q799" s="66" t="s">
        <v>3809</v>
      </c>
      <c r="R799" s="27" t="str">
        <f>IFERROR(__xludf.DUMMYFUNCTION("IF(REGEXMATCH(N799, ""PRIORITY: Low""), ""Low"", IF(REGEXMATCH(N799, ""PRIORITY: Medium""), ""Medium"", IF(REGEXMATCH(N799, ""PRIORITY: High""), ""High"", """")))
"),"")</f>
        <v/>
      </c>
      <c r="S799" s="27" t="str">
        <f>IFERROR(__xludf.DUMMYFUNCTION("IF(REGEXMATCH(N799, ""SKILL: Low""), ""Low"", IF(REGEXMATCH(N799, ""SKILL: Medium""), ""Medium"", IF(REGEXMATCH(N799, ""SKILL: High""), ""High"", """")))"),"")</f>
        <v/>
      </c>
      <c r="T799" s="27" t="str">
        <f>IFERROR(__xludf.DUMMYFUNCTION("IF(REGEXMATCH(N799, ""STATUS: Dev Complete - Awaiting QA""), ""Dev Complete - Awaiting QA"", IF(REGEXMATCH(N799, ""STATUS: Follow-Up Required""), ""Follow-Up Required"", IF(REGEXMATCH(N799, ""STATUS: In Progress""), ""In Progress"", IF(REGEXMATCH(N799, """&amp;"STATUS: In QA""), ""In QA"", IF(REGEXMATCH(N799, ""STATUS: Needs Customer Feedback""), ""Needs Customer Feedback"", IF(REGEXMATCH(N799, ""STATUS: QA Passed - Awaiting Release""), ""QA Passed - Awaiting Release"", IF(REGEXMATCH(N799, ""STATUS: Release to P"&amp;"rod""), ""Release to Prod"", """")))))))"),"")</f>
        <v/>
      </c>
    </row>
    <row r="800">
      <c r="A800" s="61" t="s">
        <v>66</v>
      </c>
      <c r="B800" s="12" t="s">
        <v>67</v>
      </c>
      <c r="C800" s="61">
        <v>14.0</v>
      </c>
      <c r="D800" s="62" t="s">
        <v>3810</v>
      </c>
      <c r="E800" s="56" t="s">
        <v>246</v>
      </c>
      <c r="F800" s="61" t="s">
        <v>3811</v>
      </c>
      <c r="G800" s="57" t="str">
        <f t="shared" si="1"/>
        <v>13-Aug-2025</v>
      </c>
      <c r="H800" s="61" t="s">
        <v>98</v>
      </c>
      <c r="I800" s="61" t="s">
        <v>3812</v>
      </c>
      <c r="J800" s="27" t="str">
        <f t="shared" si="4"/>
        <v>13-Aug-2025</v>
      </c>
      <c r="K800" s="27"/>
      <c r="L800" s="27" t="str">
        <f t="shared" si="5"/>
        <v/>
      </c>
      <c r="M800" s="63" t="s">
        <v>15</v>
      </c>
      <c r="N800" s="61" t="s">
        <v>3786</v>
      </c>
      <c r="O800" s="27"/>
      <c r="P800" s="61">
        <v>6.0</v>
      </c>
      <c r="Q800" s="66" t="s">
        <v>3813</v>
      </c>
      <c r="R800" s="27" t="str">
        <f>IFERROR(__xludf.DUMMYFUNCTION("IF(REGEXMATCH(N800, ""PRIORITY: Low""), ""Low"", IF(REGEXMATCH(N800, ""PRIORITY: Medium""), ""Medium"", IF(REGEXMATCH(N800, ""PRIORITY: High""), ""High"", """")))
"),"")</f>
        <v/>
      </c>
      <c r="S800" s="27" t="str">
        <f>IFERROR(__xludf.DUMMYFUNCTION("IF(REGEXMATCH(N800, ""SKILL: Low""), ""Low"", IF(REGEXMATCH(N800, ""SKILL: Medium""), ""Medium"", IF(REGEXMATCH(N800, ""SKILL: High""), ""High"", """")))"),"")</f>
        <v/>
      </c>
      <c r="T800" s="27" t="str">
        <f>IFERROR(__xludf.DUMMYFUNCTION("IF(REGEXMATCH(N800, ""STATUS: Dev Complete - Awaiting QA""), ""Dev Complete - Awaiting QA"", IF(REGEXMATCH(N800, ""STATUS: Follow-Up Required""), ""Follow-Up Required"", IF(REGEXMATCH(N800, ""STATUS: In Progress""), ""In Progress"", IF(REGEXMATCH(N800, """&amp;"STATUS: In QA""), ""In QA"", IF(REGEXMATCH(N800, ""STATUS: Needs Customer Feedback""), ""Needs Customer Feedback"", IF(REGEXMATCH(N800, ""STATUS: QA Passed - Awaiting Release""), ""QA Passed - Awaiting Release"", IF(REGEXMATCH(N800, ""STATUS: Release to P"&amp;"rod""), ""Release to Prod"", """")))))))"),"")</f>
        <v/>
      </c>
    </row>
    <row r="801">
      <c r="A801" s="61" t="s">
        <v>66</v>
      </c>
      <c r="B801" s="12" t="s">
        <v>67</v>
      </c>
      <c r="C801" s="61">
        <v>13.0</v>
      </c>
      <c r="D801" s="62" t="s">
        <v>3814</v>
      </c>
      <c r="E801" s="56" t="s">
        <v>246</v>
      </c>
      <c r="F801" s="61" t="s">
        <v>3815</v>
      </c>
      <c r="G801" s="57" t="str">
        <f t="shared" si="1"/>
        <v>13-Aug-2025</v>
      </c>
      <c r="H801" s="61" t="s">
        <v>98</v>
      </c>
      <c r="I801" s="61" t="s">
        <v>3816</v>
      </c>
      <c r="J801" s="27" t="str">
        <f t="shared" si="4"/>
        <v>13-Aug-2025</v>
      </c>
      <c r="K801" s="27"/>
      <c r="L801" s="27" t="str">
        <f t="shared" si="5"/>
        <v/>
      </c>
      <c r="M801" s="63" t="s">
        <v>15</v>
      </c>
      <c r="N801" s="61" t="s">
        <v>3786</v>
      </c>
      <c r="O801" s="27"/>
      <c r="P801" s="61">
        <v>6.0</v>
      </c>
      <c r="Q801" s="66" t="s">
        <v>3817</v>
      </c>
      <c r="R801" s="27" t="str">
        <f>IFERROR(__xludf.DUMMYFUNCTION("IF(REGEXMATCH(N801, ""PRIORITY: Low""), ""Low"", IF(REGEXMATCH(N801, ""PRIORITY: Medium""), ""Medium"", IF(REGEXMATCH(N801, ""PRIORITY: High""), ""High"", """")))
"),"")</f>
        <v/>
      </c>
      <c r="S801" s="27" t="str">
        <f>IFERROR(__xludf.DUMMYFUNCTION("IF(REGEXMATCH(N801, ""SKILL: Low""), ""Low"", IF(REGEXMATCH(N801, ""SKILL: Medium""), ""Medium"", IF(REGEXMATCH(N801, ""SKILL: High""), ""High"", """")))"),"")</f>
        <v/>
      </c>
      <c r="T801" s="27" t="str">
        <f>IFERROR(__xludf.DUMMYFUNCTION("IF(REGEXMATCH(N801, ""STATUS: Dev Complete - Awaiting QA""), ""Dev Complete - Awaiting QA"", IF(REGEXMATCH(N801, ""STATUS: Follow-Up Required""), ""Follow-Up Required"", IF(REGEXMATCH(N801, ""STATUS: In Progress""), ""In Progress"", IF(REGEXMATCH(N801, """&amp;"STATUS: In QA""), ""In QA"", IF(REGEXMATCH(N801, ""STATUS: Needs Customer Feedback""), ""Needs Customer Feedback"", IF(REGEXMATCH(N801, ""STATUS: QA Passed - Awaiting Release""), ""QA Passed - Awaiting Release"", IF(REGEXMATCH(N801, ""STATUS: Release to P"&amp;"rod""), ""Release to Prod"", """")))))))"),"")</f>
        <v/>
      </c>
    </row>
    <row r="802">
      <c r="A802" s="61" t="s">
        <v>66</v>
      </c>
      <c r="B802" s="12" t="s">
        <v>67</v>
      </c>
      <c r="C802" s="61">
        <v>12.0</v>
      </c>
      <c r="D802" s="62" t="s">
        <v>3814</v>
      </c>
      <c r="E802" s="56" t="s">
        <v>246</v>
      </c>
      <c r="F802" s="61" t="s">
        <v>3815</v>
      </c>
      <c r="G802" s="57" t="str">
        <f t="shared" si="1"/>
        <v>13-Aug-2025</v>
      </c>
      <c r="H802" s="61" t="s">
        <v>98</v>
      </c>
      <c r="I802" s="61" t="s">
        <v>3818</v>
      </c>
      <c r="J802" s="27" t="str">
        <f t="shared" si="4"/>
        <v>13-Aug-2025</v>
      </c>
      <c r="K802" s="27"/>
      <c r="L802" s="27" t="str">
        <f t="shared" si="5"/>
        <v/>
      </c>
      <c r="M802" s="63" t="s">
        <v>15</v>
      </c>
      <c r="N802" s="61" t="s">
        <v>3786</v>
      </c>
      <c r="O802" s="27"/>
      <c r="P802" s="61">
        <v>6.0</v>
      </c>
      <c r="Q802" s="66" t="s">
        <v>3819</v>
      </c>
      <c r="R802" s="27" t="str">
        <f>IFERROR(__xludf.DUMMYFUNCTION("IF(REGEXMATCH(N802, ""PRIORITY: Low""), ""Low"", IF(REGEXMATCH(N802, ""PRIORITY: Medium""), ""Medium"", IF(REGEXMATCH(N802, ""PRIORITY: High""), ""High"", """")))
"),"")</f>
        <v/>
      </c>
      <c r="S802" s="27" t="str">
        <f>IFERROR(__xludf.DUMMYFUNCTION("IF(REGEXMATCH(N802, ""SKILL: Low""), ""Low"", IF(REGEXMATCH(N802, ""SKILL: Medium""), ""Medium"", IF(REGEXMATCH(N802, ""SKILL: High""), ""High"", """")))"),"")</f>
        <v/>
      </c>
      <c r="T802" s="27" t="str">
        <f>IFERROR(__xludf.DUMMYFUNCTION("IF(REGEXMATCH(N802, ""STATUS: Dev Complete - Awaiting QA""), ""Dev Complete - Awaiting QA"", IF(REGEXMATCH(N802, ""STATUS: Follow-Up Required""), ""Follow-Up Required"", IF(REGEXMATCH(N802, ""STATUS: In Progress""), ""In Progress"", IF(REGEXMATCH(N802, """&amp;"STATUS: In QA""), ""In QA"", IF(REGEXMATCH(N802, ""STATUS: Needs Customer Feedback""), ""Needs Customer Feedback"", IF(REGEXMATCH(N802, ""STATUS: QA Passed - Awaiting Release""), ""QA Passed - Awaiting Release"", IF(REGEXMATCH(N802, ""STATUS: Release to P"&amp;"rod""), ""Release to Prod"", """")))))))"),"")</f>
        <v/>
      </c>
    </row>
    <row r="803">
      <c r="A803" s="61" t="s">
        <v>66</v>
      </c>
      <c r="B803" s="12" t="s">
        <v>67</v>
      </c>
      <c r="C803" s="61">
        <v>11.0</v>
      </c>
      <c r="D803" s="62" t="s">
        <v>3814</v>
      </c>
      <c r="E803" s="56" t="s">
        <v>246</v>
      </c>
      <c r="F803" s="61" t="s">
        <v>3820</v>
      </c>
      <c r="G803" s="57" t="str">
        <f t="shared" si="1"/>
        <v>13-Aug-2025</v>
      </c>
      <c r="H803" s="61" t="s">
        <v>98</v>
      </c>
      <c r="I803" s="61" t="s">
        <v>3821</v>
      </c>
      <c r="J803" s="27" t="str">
        <f t="shared" si="4"/>
        <v>13-Aug-2025</v>
      </c>
      <c r="K803" s="27"/>
      <c r="L803" s="27" t="str">
        <f t="shared" si="5"/>
        <v/>
      </c>
      <c r="M803" s="63" t="s">
        <v>15</v>
      </c>
      <c r="N803" s="61" t="s">
        <v>3786</v>
      </c>
      <c r="O803" s="27"/>
      <c r="P803" s="61">
        <v>6.0</v>
      </c>
      <c r="Q803" s="66" t="s">
        <v>3822</v>
      </c>
      <c r="R803" s="27" t="str">
        <f>IFERROR(__xludf.DUMMYFUNCTION("IF(REGEXMATCH(N803, ""PRIORITY: Low""), ""Low"", IF(REGEXMATCH(N803, ""PRIORITY: Medium""), ""Medium"", IF(REGEXMATCH(N803, ""PRIORITY: High""), ""High"", """")))
"),"")</f>
        <v/>
      </c>
      <c r="S803" s="27" t="str">
        <f>IFERROR(__xludf.DUMMYFUNCTION("IF(REGEXMATCH(N803, ""SKILL: Low""), ""Low"", IF(REGEXMATCH(N803, ""SKILL: Medium""), ""Medium"", IF(REGEXMATCH(N803, ""SKILL: High""), ""High"", """")))"),"")</f>
        <v/>
      </c>
      <c r="T803" s="27" t="str">
        <f>IFERROR(__xludf.DUMMYFUNCTION("IF(REGEXMATCH(N803, ""STATUS: Dev Complete - Awaiting QA""), ""Dev Complete - Awaiting QA"", IF(REGEXMATCH(N803, ""STATUS: Follow-Up Required""), ""Follow-Up Required"", IF(REGEXMATCH(N803, ""STATUS: In Progress""), ""In Progress"", IF(REGEXMATCH(N803, """&amp;"STATUS: In QA""), ""In QA"", IF(REGEXMATCH(N803, ""STATUS: Needs Customer Feedback""), ""Needs Customer Feedback"", IF(REGEXMATCH(N803, ""STATUS: QA Passed - Awaiting Release""), ""QA Passed - Awaiting Release"", IF(REGEXMATCH(N803, ""STATUS: Release to P"&amp;"rod""), ""Release to Prod"", """")))))))"),"")</f>
        <v/>
      </c>
    </row>
    <row r="804">
      <c r="A804" s="61" t="s">
        <v>66</v>
      </c>
      <c r="B804" s="12" t="s">
        <v>67</v>
      </c>
      <c r="C804" s="61">
        <v>10.0</v>
      </c>
      <c r="D804" s="62" t="s">
        <v>3823</v>
      </c>
      <c r="E804" s="56" t="s">
        <v>246</v>
      </c>
      <c r="F804" s="61" t="s">
        <v>3824</v>
      </c>
      <c r="G804" s="57" t="str">
        <f t="shared" si="1"/>
        <v>13-Aug-2025</v>
      </c>
      <c r="H804" s="61" t="s">
        <v>98</v>
      </c>
      <c r="I804" s="61" t="s">
        <v>3825</v>
      </c>
      <c r="J804" s="27" t="str">
        <f t="shared" si="4"/>
        <v>13-Aug-2025</v>
      </c>
      <c r="K804" s="27"/>
      <c r="L804" s="27" t="str">
        <f t="shared" si="5"/>
        <v/>
      </c>
      <c r="M804" s="63" t="s">
        <v>15</v>
      </c>
      <c r="N804" s="61" t="s">
        <v>3786</v>
      </c>
      <c r="O804" s="27"/>
      <c r="P804" s="61">
        <v>6.0</v>
      </c>
      <c r="Q804" s="66" t="s">
        <v>3826</v>
      </c>
      <c r="R804" s="27" t="str">
        <f>IFERROR(__xludf.DUMMYFUNCTION("IF(REGEXMATCH(N804, ""PRIORITY: Low""), ""Low"", IF(REGEXMATCH(N804, ""PRIORITY: Medium""), ""Medium"", IF(REGEXMATCH(N804, ""PRIORITY: High""), ""High"", """")))
"),"")</f>
        <v/>
      </c>
      <c r="S804" s="27" t="str">
        <f>IFERROR(__xludf.DUMMYFUNCTION("IF(REGEXMATCH(N804, ""SKILL: Low""), ""Low"", IF(REGEXMATCH(N804, ""SKILL: Medium""), ""Medium"", IF(REGEXMATCH(N804, ""SKILL: High""), ""High"", """")))"),"")</f>
        <v/>
      </c>
      <c r="T804" s="27" t="str">
        <f>IFERROR(__xludf.DUMMYFUNCTION("IF(REGEXMATCH(N804, ""STATUS: Dev Complete - Awaiting QA""), ""Dev Complete - Awaiting QA"", IF(REGEXMATCH(N804, ""STATUS: Follow-Up Required""), ""Follow-Up Required"", IF(REGEXMATCH(N804, ""STATUS: In Progress""), ""In Progress"", IF(REGEXMATCH(N804, """&amp;"STATUS: In QA""), ""In QA"", IF(REGEXMATCH(N804, ""STATUS: Needs Customer Feedback""), ""Needs Customer Feedback"", IF(REGEXMATCH(N804, ""STATUS: QA Passed - Awaiting Release""), ""QA Passed - Awaiting Release"", IF(REGEXMATCH(N804, ""STATUS: Release to P"&amp;"rod""), ""Release to Prod"", """")))))))"),"")</f>
        <v/>
      </c>
    </row>
    <row r="805">
      <c r="A805" s="61" t="s">
        <v>66</v>
      </c>
      <c r="B805" s="12" t="s">
        <v>67</v>
      </c>
      <c r="C805" s="61">
        <v>9.0</v>
      </c>
      <c r="D805" s="62" t="s">
        <v>3823</v>
      </c>
      <c r="E805" s="56" t="s">
        <v>246</v>
      </c>
      <c r="F805" s="61" t="s">
        <v>3824</v>
      </c>
      <c r="G805" s="57" t="str">
        <f t="shared" si="1"/>
        <v>13-Aug-2025</v>
      </c>
      <c r="H805" s="61" t="s">
        <v>98</v>
      </c>
      <c r="I805" s="61" t="s">
        <v>3827</v>
      </c>
      <c r="J805" s="27" t="str">
        <f t="shared" si="4"/>
        <v>13-Aug-2025</v>
      </c>
      <c r="K805" s="27"/>
      <c r="L805" s="27" t="str">
        <f t="shared" si="5"/>
        <v/>
      </c>
      <c r="M805" s="63" t="s">
        <v>15</v>
      </c>
      <c r="N805" s="61" t="s">
        <v>3786</v>
      </c>
      <c r="O805" s="27"/>
      <c r="P805" s="61">
        <v>6.0</v>
      </c>
      <c r="Q805" s="66" t="s">
        <v>3828</v>
      </c>
      <c r="R805" s="27" t="str">
        <f>IFERROR(__xludf.DUMMYFUNCTION("IF(REGEXMATCH(N805, ""PRIORITY: Low""), ""Low"", IF(REGEXMATCH(N805, ""PRIORITY: Medium""), ""Medium"", IF(REGEXMATCH(N805, ""PRIORITY: High""), ""High"", """")))
"),"")</f>
        <v/>
      </c>
      <c r="S805" s="27" t="str">
        <f>IFERROR(__xludf.DUMMYFUNCTION("IF(REGEXMATCH(N805, ""SKILL: Low""), ""Low"", IF(REGEXMATCH(N805, ""SKILL: Medium""), ""Medium"", IF(REGEXMATCH(N805, ""SKILL: High""), ""High"", """")))"),"")</f>
        <v/>
      </c>
      <c r="T805" s="27" t="str">
        <f>IFERROR(__xludf.DUMMYFUNCTION("IF(REGEXMATCH(N805, ""STATUS: Dev Complete - Awaiting QA""), ""Dev Complete - Awaiting QA"", IF(REGEXMATCH(N805, ""STATUS: Follow-Up Required""), ""Follow-Up Required"", IF(REGEXMATCH(N805, ""STATUS: In Progress""), ""In Progress"", IF(REGEXMATCH(N805, """&amp;"STATUS: In QA""), ""In QA"", IF(REGEXMATCH(N805, ""STATUS: Needs Customer Feedback""), ""Needs Customer Feedback"", IF(REGEXMATCH(N805, ""STATUS: QA Passed - Awaiting Release""), ""QA Passed - Awaiting Release"", IF(REGEXMATCH(N805, ""STATUS: Release to P"&amp;"rod""), ""Release to Prod"", """")))))))"),"")</f>
        <v/>
      </c>
    </row>
    <row r="806">
      <c r="A806" s="61" t="s">
        <v>66</v>
      </c>
      <c r="B806" s="12" t="s">
        <v>67</v>
      </c>
      <c r="C806" s="61">
        <v>4.0</v>
      </c>
      <c r="D806" s="62" t="s">
        <v>3829</v>
      </c>
      <c r="E806" s="56" t="s">
        <v>246</v>
      </c>
      <c r="F806" s="61" t="s">
        <v>3830</v>
      </c>
      <c r="G806" s="57" t="str">
        <f t="shared" si="1"/>
        <v>13-Aug-2025</v>
      </c>
      <c r="H806" s="61" t="s">
        <v>98</v>
      </c>
      <c r="I806" s="61" t="s">
        <v>3831</v>
      </c>
      <c r="J806" s="27" t="str">
        <f t="shared" si="4"/>
        <v>13-Aug-2025</v>
      </c>
      <c r="K806" s="27"/>
      <c r="L806" s="27" t="str">
        <f t="shared" si="5"/>
        <v/>
      </c>
      <c r="M806" s="63" t="s">
        <v>15</v>
      </c>
      <c r="N806" s="61" t="s">
        <v>3832</v>
      </c>
      <c r="O806" s="27"/>
      <c r="P806" s="61">
        <v>0.0</v>
      </c>
      <c r="Q806" s="66" t="s">
        <v>3833</v>
      </c>
      <c r="R806" s="27" t="str">
        <f>IFERROR(__xludf.DUMMYFUNCTION("IF(REGEXMATCH(N806, ""PRIORITY: Low""), ""Low"", IF(REGEXMATCH(N806, ""PRIORITY: Medium""), ""Medium"", IF(REGEXMATCH(N806, ""PRIORITY: High""), ""High"", """")))
"),"")</f>
        <v/>
      </c>
      <c r="S806" s="27" t="str">
        <f>IFERROR(__xludf.DUMMYFUNCTION("IF(REGEXMATCH(N806, ""SKILL: Low""), ""Low"", IF(REGEXMATCH(N806, ""SKILL: Medium""), ""Medium"", IF(REGEXMATCH(N806, ""SKILL: High""), ""High"", """")))"),"")</f>
        <v/>
      </c>
      <c r="T806" s="27" t="str">
        <f>IFERROR(__xludf.DUMMYFUNCTION("IF(REGEXMATCH(N806, ""STATUS: Dev Complete - Awaiting QA""), ""Dev Complete - Awaiting QA"", IF(REGEXMATCH(N806, ""STATUS: Follow-Up Required""), ""Follow-Up Required"", IF(REGEXMATCH(N806, ""STATUS: In Progress""), ""In Progress"", IF(REGEXMATCH(N806, """&amp;"STATUS: In QA""), ""In QA"", IF(REGEXMATCH(N806, ""STATUS: Needs Customer Feedback""), ""Needs Customer Feedback"", IF(REGEXMATCH(N806, ""STATUS: QA Passed - Awaiting Release""), ""QA Passed - Awaiting Release"", IF(REGEXMATCH(N806, ""STATUS: Release to P"&amp;"rod""), ""Release to Prod"", """")))))))"),"")</f>
        <v/>
      </c>
    </row>
    <row r="807">
      <c r="A807" s="61" t="s">
        <v>66</v>
      </c>
      <c r="B807" s="12" t="s">
        <v>67</v>
      </c>
      <c r="C807" s="61">
        <v>3.0</v>
      </c>
      <c r="D807" s="62" t="s">
        <v>3834</v>
      </c>
      <c r="E807" s="56" t="s">
        <v>246</v>
      </c>
      <c r="F807" s="61" t="s">
        <v>3835</v>
      </c>
      <c r="G807" s="57" t="str">
        <f t="shared" si="1"/>
        <v>13-Aug-2025</v>
      </c>
      <c r="H807" s="61" t="s">
        <v>98</v>
      </c>
      <c r="I807" s="61" t="s">
        <v>3835</v>
      </c>
      <c r="J807" s="27" t="str">
        <f t="shared" si="4"/>
        <v>13-Aug-2025</v>
      </c>
      <c r="K807" s="27"/>
      <c r="L807" s="27" t="str">
        <f t="shared" si="5"/>
        <v/>
      </c>
      <c r="M807" s="63" t="s">
        <v>15</v>
      </c>
      <c r="N807" s="61" t="s">
        <v>3832</v>
      </c>
      <c r="O807" s="27"/>
      <c r="P807" s="61">
        <v>0.0</v>
      </c>
      <c r="Q807" s="66" t="s">
        <v>3836</v>
      </c>
      <c r="R807" s="27" t="str">
        <f>IFERROR(__xludf.DUMMYFUNCTION("IF(REGEXMATCH(N807, ""PRIORITY: Low""), ""Low"", IF(REGEXMATCH(N807, ""PRIORITY: Medium""), ""Medium"", IF(REGEXMATCH(N807, ""PRIORITY: High""), ""High"", """")))
"),"")</f>
        <v/>
      </c>
      <c r="S807" s="27" t="str">
        <f>IFERROR(__xludf.DUMMYFUNCTION("IF(REGEXMATCH(N807, ""SKILL: Low""), ""Low"", IF(REGEXMATCH(N807, ""SKILL: Medium""), ""Medium"", IF(REGEXMATCH(N807, ""SKILL: High""), ""High"", """")))"),"")</f>
        <v/>
      </c>
      <c r="T807" s="27" t="str">
        <f>IFERROR(__xludf.DUMMYFUNCTION("IF(REGEXMATCH(N807, ""STATUS: Dev Complete - Awaiting QA""), ""Dev Complete - Awaiting QA"", IF(REGEXMATCH(N807, ""STATUS: Follow-Up Required""), ""Follow-Up Required"", IF(REGEXMATCH(N807, ""STATUS: In Progress""), ""In Progress"", IF(REGEXMATCH(N807, """&amp;"STATUS: In QA""), ""In QA"", IF(REGEXMATCH(N807, ""STATUS: Needs Customer Feedback""), ""Needs Customer Feedback"", IF(REGEXMATCH(N807, ""STATUS: QA Passed - Awaiting Release""), ""QA Passed - Awaiting Release"", IF(REGEXMATCH(N807, ""STATUS: Release to P"&amp;"rod""), ""Release to Prod"", """")))))))"),"")</f>
        <v/>
      </c>
    </row>
    <row r="808">
      <c r="A808" s="61" t="s">
        <v>66</v>
      </c>
      <c r="B808" s="12" t="s">
        <v>67</v>
      </c>
      <c r="C808" s="61">
        <v>2.0</v>
      </c>
      <c r="D808" s="62" t="s">
        <v>3837</v>
      </c>
      <c r="E808" s="56" t="s">
        <v>246</v>
      </c>
      <c r="F808" s="61" t="s">
        <v>3838</v>
      </c>
      <c r="G808" s="57" t="str">
        <f t="shared" si="1"/>
        <v>13-Aug-2025</v>
      </c>
      <c r="H808" s="61" t="s">
        <v>98</v>
      </c>
      <c r="I808" s="61" t="s">
        <v>3839</v>
      </c>
      <c r="J808" s="27" t="str">
        <f t="shared" si="4"/>
        <v>13-Aug-2025</v>
      </c>
      <c r="K808" s="27"/>
      <c r="L808" s="27" t="str">
        <f t="shared" si="5"/>
        <v/>
      </c>
      <c r="M808" s="63" t="s">
        <v>15</v>
      </c>
      <c r="N808" s="61" t="s">
        <v>3832</v>
      </c>
      <c r="O808" s="27"/>
      <c r="P808" s="61">
        <v>0.0</v>
      </c>
      <c r="Q808" s="66" t="s">
        <v>3840</v>
      </c>
      <c r="R808" s="27" t="str">
        <f>IFERROR(__xludf.DUMMYFUNCTION("IF(REGEXMATCH(N808, ""PRIORITY: Low""), ""Low"", IF(REGEXMATCH(N808, ""PRIORITY: Medium""), ""Medium"", IF(REGEXMATCH(N808, ""PRIORITY: High""), ""High"", """")))
"),"")</f>
        <v/>
      </c>
      <c r="S808" s="27" t="str">
        <f>IFERROR(__xludf.DUMMYFUNCTION("IF(REGEXMATCH(N808, ""SKILL: Low""), ""Low"", IF(REGEXMATCH(N808, ""SKILL: Medium""), ""Medium"", IF(REGEXMATCH(N808, ""SKILL: High""), ""High"", """")))"),"")</f>
        <v/>
      </c>
      <c r="T808" s="27" t="str">
        <f>IFERROR(__xludf.DUMMYFUNCTION("IF(REGEXMATCH(N808, ""STATUS: Dev Complete - Awaiting QA""), ""Dev Complete - Awaiting QA"", IF(REGEXMATCH(N808, ""STATUS: Follow-Up Required""), ""Follow-Up Required"", IF(REGEXMATCH(N808, ""STATUS: In Progress""), ""In Progress"", IF(REGEXMATCH(N808, """&amp;"STATUS: In QA""), ""In QA"", IF(REGEXMATCH(N808, ""STATUS: Needs Customer Feedback""), ""Needs Customer Feedback"", IF(REGEXMATCH(N808, ""STATUS: QA Passed - Awaiting Release""), ""QA Passed - Awaiting Release"", IF(REGEXMATCH(N808, ""STATUS: Release to P"&amp;"rod""), ""Release to Prod"", """")))))))"),"")</f>
        <v/>
      </c>
    </row>
    <row r="809" hidden="1">
      <c r="A809" s="61" t="s">
        <v>75</v>
      </c>
      <c r="B809" s="12" t="s">
        <v>76</v>
      </c>
      <c r="C809" s="61">
        <v>1.0</v>
      </c>
      <c r="D809" s="62" t="s">
        <v>3841</v>
      </c>
      <c r="E809" s="56" t="s">
        <v>173</v>
      </c>
      <c r="F809" s="61" t="s">
        <v>3842</v>
      </c>
      <c r="G809" s="57" t="str">
        <f t="shared" si="1"/>
        <v>19-Aug-2025</v>
      </c>
      <c r="H809" s="61" t="s">
        <v>37</v>
      </c>
      <c r="I809" s="61" t="s">
        <v>3842</v>
      </c>
      <c r="J809" s="27" t="str">
        <f t="shared" si="4"/>
        <v>19-Aug-2025</v>
      </c>
      <c r="K809" s="27"/>
      <c r="L809" s="27" t="str">
        <f t="shared" si="5"/>
        <v/>
      </c>
      <c r="M809" s="63" t="s">
        <v>15</v>
      </c>
      <c r="N809" s="61" t="s">
        <v>3843</v>
      </c>
      <c r="O809" s="61"/>
      <c r="P809" s="61">
        <v>0.0</v>
      </c>
      <c r="Q809" s="66" t="s">
        <v>3844</v>
      </c>
      <c r="R809" s="27" t="str">
        <f>IFERROR(__xludf.DUMMYFUNCTION("IF(REGEXMATCH(N809, ""PRIORITY: Low""), ""Low"", IF(REGEXMATCH(N809, ""PRIORITY: Medium""), ""Medium"", IF(REGEXMATCH(N809, ""PRIORITY: High""), ""High"", """")))
"),"")</f>
        <v/>
      </c>
      <c r="S809" s="27" t="str">
        <f>IFERROR(__xludf.DUMMYFUNCTION("IF(REGEXMATCH(N809, ""SKILL: Low""), ""Low"", IF(REGEXMATCH(N809, ""SKILL: Medium""), ""Medium"", IF(REGEXMATCH(N809, ""SKILL: High""), ""High"", """")))"),"")</f>
        <v/>
      </c>
      <c r="T809" s="27" t="str">
        <f>IFERROR(__xludf.DUMMYFUNCTION("IF(REGEXMATCH(N809, ""STATUS: Dev Complete - Awaiting QA""), ""Dev Complete - Awaiting QA"", IF(REGEXMATCH(N809, ""STATUS: Follow-Up Required""), ""Follow-Up Required"", IF(REGEXMATCH(N809, ""STATUS: In Progress""), ""In Progress"", IF(REGEXMATCH(N809, """&amp;"STATUS: In QA""), ""In QA"", IF(REGEXMATCH(N809, ""STATUS: Needs Customer Feedback""), ""Needs Customer Feedback"", IF(REGEXMATCH(N809, ""STATUS: QA Passed - Awaiting Release""), ""QA Passed - Awaiting Release"", IF(REGEXMATCH(N809, ""STATUS: Release to P"&amp;"rod""), ""Release to Prod"", """")))))))"),"")</f>
        <v/>
      </c>
    </row>
    <row r="810" hidden="1">
      <c r="A810" s="61" t="s">
        <v>77</v>
      </c>
      <c r="B810" s="12" t="s">
        <v>78</v>
      </c>
      <c r="C810" s="61">
        <v>1.0</v>
      </c>
      <c r="D810" s="62" t="s">
        <v>3845</v>
      </c>
      <c r="E810" s="56" t="s">
        <v>173</v>
      </c>
      <c r="F810" s="61" t="s">
        <v>3846</v>
      </c>
      <c r="G810" s="57" t="str">
        <f t="shared" si="1"/>
        <v>29-Aug-2025</v>
      </c>
      <c r="H810" s="61" t="s">
        <v>37</v>
      </c>
      <c r="I810" s="61" t="s">
        <v>3846</v>
      </c>
      <c r="J810" s="27" t="str">
        <f t="shared" si="4"/>
        <v>29-Aug-2025</v>
      </c>
      <c r="K810" s="27"/>
      <c r="L810" s="27" t="str">
        <f t="shared" si="5"/>
        <v/>
      </c>
      <c r="M810" s="63" t="s">
        <v>15</v>
      </c>
      <c r="N810" s="61" t="s">
        <v>177</v>
      </c>
      <c r="O810" s="61"/>
      <c r="P810" s="61">
        <v>0.0</v>
      </c>
      <c r="Q810" s="66" t="s">
        <v>3847</v>
      </c>
      <c r="R810" s="27" t="str">
        <f>IFERROR(__xludf.DUMMYFUNCTION("IF(REGEXMATCH(N810, ""PRIORITY: Low""), ""Low"", IF(REGEXMATCH(N810, ""PRIORITY: Medium""), ""Medium"", IF(REGEXMATCH(N810, ""PRIORITY: High""), ""High"", """")))
"),"")</f>
        <v/>
      </c>
      <c r="S810" s="27" t="str">
        <f>IFERROR(__xludf.DUMMYFUNCTION("IF(REGEXMATCH(N810, ""SKILL: Low""), ""Low"", IF(REGEXMATCH(N810, ""SKILL: Medium""), ""Medium"", IF(REGEXMATCH(N810, ""SKILL: High""), ""High"", """")))"),"")</f>
        <v/>
      </c>
      <c r="T810" s="27" t="str">
        <f>IFERROR(__xludf.DUMMYFUNCTION("IF(REGEXMATCH(N810, ""STATUS: Dev Complete - Awaiting QA""), ""Dev Complete - Awaiting QA"", IF(REGEXMATCH(N810, ""STATUS: Follow-Up Required""), ""Follow-Up Required"", IF(REGEXMATCH(N810, ""STATUS: In Progress""), ""In Progress"", IF(REGEXMATCH(N810, """&amp;"STATUS: In QA""), ""In QA"", IF(REGEXMATCH(N810, ""STATUS: Needs Customer Feedback""), ""Needs Customer Feedback"", IF(REGEXMATCH(N810, ""STATUS: QA Passed - Awaiting Release""), ""QA Passed - Awaiting Release"", IF(REGEXMATCH(N810, ""STATUS: Release to P"&amp;"rod""), ""Release to Prod"", """")))))))"),"")</f>
        <v/>
      </c>
    </row>
    <row r="811">
      <c r="A811" s="61" t="s">
        <v>58</v>
      </c>
      <c r="B811" s="18" t="s">
        <v>59</v>
      </c>
      <c r="C811" s="61">
        <v>13.0</v>
      </c>
      <c r="D811" s="62" t="s">
        <v>3848</v>
      </c>
      <c r="E811" s="56" t="s">
        <v>246</v>
      </c>
      <c r="F811" s="61" t="s">
        <v>3849</v>
      </c>
      <c r="G811" s="57" t="str">
        <f t="shared" si="1"/>
        <v>12-Dec-2025</v>
      </c>
      <c r="H811" s="61" t="s">
        <v>57</v>
      </c>
      <c r="I811" s="61" t="s">
        <v>3849</v>
      </c>
      <c r="J811" s="27" t="str">
        <f t="shared" si="4"/>
        <v>12-Dec-2025</v>
      </c>
      <c r="K811" s="27"/>
      <c r="L811" s="27" t="str">
        <f t="shared" si="5"/>
        <v/>
      </c>
      <c r="M811" s="63" t="s">
        <v>249</v>
      </c>
      <c r="N811" s="61" t="s">
        <v>177</v>
      </c>
      <c r="O811" s="67" t="s">
        <v>57</v>
      </c>
      <c r="P811" s="61">
        <v>0.0</v>
      </c>
      <c r="Q811" s="66" t="s">
        <v>3850</v>
      </c>
      <c r="R811" s="27" t="str">
        <f>IFERROR(__xludf.DUMMYFUNCTION("IF(REGEXMATCH(N811, ""PRIORITY: Low""), ""Low"", IF(REGEXMATCH(N811, ""PRIORITY: Medium""), ""Medium"", IF(REGEXMATCH(N811, ""PRIORITY: High""), ""High"", """")))
"),"")</f>
        <v/>
      </c>
      <c r="S811" s="27" t="str">
        <f>IFERROR(__xludf.DUMMYFUNCTION("IF(REGEXMATCH(N811, ""SKILL: Low""), ""Low"", IF(REGEXMATCH(N811, ""SKILL: Medium""), ""Medium"", IF(REGEXMATCH(N811, ""SKILL: High""), ""High"", """")))"),"")</f>
        <v/>
      </c>
      <c r="T811" s="27" t="str">
        <f>IFERROR(__xludf.DUMMYFUNCTION("IF(REGEXMATCH(N811, ""STATUS: Dev Complete - Awaiting QA""), ""Dev Complete - Awaiting QA"", IF(REGEXMATCH(N811, ""STATUS: Follow-Up Required""), ""Follow-Up Required"", IF(REGEXMATCH(N811, ""STATUS: In Progress""), ""In Progress"", IF(REGEXMATCH(N811, """&amp;"STATUS: In QA""), ""In QA"", IF(REGEXMATCH(N811, ""STATUS: Needs Customer Feedback""), ""Needs Customer Feedback"", IF(REGEXMATCH(N811, ""STATUS: QA Passed - Awaiting Release""), ""QA Passed - Awaiting Release"", IF(REGEXMATCH(N811, ""STATUS: Release to P"&amp;"rod""), ""Release to Prod"", """")))))))"),"")</f>
        <v/>
      </c>
    </row>
    <row r="812">
      <c r="A812" s="61" t="s">
        <v>58</v>
      </c>
      <c r="B812" s="18" t="s">
        <v>59</v>
      </c>
      <c r="C812" s="61">
        <v>12.0</v>
      </c>
      <c r="D812" s="62" t="s">
        <v>3851</v>
      </c>
      <c r="E812" s="56" t="s">
        <v>246</v>
      </c>
      <c r="F812" s="61" t="s">
        <v>3852</v>
      </c>
      <c r="G812" s="57" t="str">
        <f t="shared" si="1"/>
        <v>11-Dec-2025</v>
      </c>
      <c r="H812" s="61" t="s">
        <v>57</v>
      </c>
      <c r="I812" s="61" t="s">
        <v>3852</v>
      </c>
      <c r="J812" s="27" t="str">
        <f t="shared" si="4"/>
        <v>11-Dec-2025</v>
      </c>
      <c r="K812" s="27"/>
      <c r="L812" s="27" t="str">
        <f t="shared" si="5"/>
        <v/>
      </c>
      <c r="M812" s="63" t="s">
        <v>291</v>
      </c>
      <c r="N812" s="61" t="s">
        <v>177</v>
      </c>
      <c r="O812" s="67" t="s">
        <v>63</v>
      </c>
      <c r="P812" s="69">
        <v>0.0</v>
      </c>
      <c r="Q812" s="70" t="s">
        <v>3853</v>
      </c>
      <c r="R812" s="27" t="str">
        <f>IFERROR(__xludf.DUMMYFUNCTION("IF(REGEXMATCH(N812, ""PRIORITY: Low""), ""Low"", IF(REGEXMATCH(N812, ""PRIORITY: Medium""), ""Medium"", IF(REGEXMATCH(N812, ""PRIORITY: High""), ""High"", """")))
"),"")</f>
        <v/>
      </c>
      <c r="S812" s="27" t="str">
        <f>IFERROR(__xludf.DUMMYFUNCTION("IF(REGEXMATCH(N812, ""SKILL: Low""), ""Low"", IF(REGEXMATCH(N812, ""SKILL: Medium""), ""Medium"", IF(REGEXMATCH(N812, ""SKILL: High""), ""High"", """")))"),"")</f>
        <v/>
      </c>
      <c r="T812" s="27" t="str">
        <f>IFERROR(__xludf.DUMMYFUNCTION("IF(REGEXMATCH(N812, ""STATUS: Dev Complete - Awaiting QA""), ""Dev Complete - Awaiting QA"", IF(REGEXMATCH(N812, ""STATUS: Follow-Up Required""), ""Follow-Up Required"", IF(REGEXMATCH(N812, ""STATUS: In Progress""), ""In Progress"", IF(REGEXMATCH(N812, """&amp;"STATUS: In QA""), ""In QA"", IF(REGEXMATCH(N812, ""STATUS: Needs Customer Feedback""), ""Needs Customer Feedback"", IF(REGEXMATCH(N812, ""STATUS: QA Passed - Awaiting Release""), ""QA Passed - Awaiting Release"", IF(REGEXMATCH(N812, ""STATUS: Release to P"&amp;"rod""), ""Release to Prod"", """")))))))"),"")</f>
        <v/>
      </c>
    </row>
    <row r="813">
      <c r="A813" s="61" t="s">
        <v>38</v>
      </c>
      <c r="B813" s="12" t="s">
        <v>85</v>
      </c>
      <c r="C813" s="61">
        <v>11.0</v>
      </c>
      <c r="D813" s="62" t="s">
        <v>3854</v>
      </c>
      <c r="E813" s="56" t="s">
        <v>246</v>
      </c>
      <c r="F813" s="61" t="s">
        <v>3855</v>
      </c>
      <c r="G813" s="57" t="str">
        <f t="shared" si="1"/>
        <v>15-Dec-2025</v>
      </c>
      <c r="H813" s="61" t="s">
        <v>47</v>
      </c>
      <c r="I813" s="61" t="s">
        <v>3856</v>
      </c>
      <c r="J813" s="27" t="str">
        <f t="shared" si="4"/>
        <v>15-Dec-2025</v>
      </c>
      <c r="K813" s="27"/>
      <c r="L813" s="27" t="str">
        <f t="shared" si="5"/>
        <v/>
      </c>
      <c r="M813" s="63" t="s">
        <v>291</v>
      </c>
      <c r="N813" s="61" t="s">
        <v>177</v>
      </c>
      <c r="O813" s="67" t="s">
        <v>3857</v>
      </c>
      <c r="P813" s="69">
        <v>0.0</v>
      </c>
      <c r="Q813" s="70" t="s">
        <v>3858</v>
      </c>
      <c r="R813" s="27" t="str">
        <f>IFERROR(__xludf.DUMMYFUNCTION("IF(REGEXMATCH(N813, ""PRIORITY: Low""), ""Low"", IF(REGEXMATCH(N813, ""PRIORITY: Medium""), ""Medium"", IF(REGEXMATCH(N813, ""PRIORITY: High""), ""High"", """")))
"),"")</f>
        <v/>
      </c>
      <c r="S813" s="27" t="str">
        <f>IFERROR(__xludf.DUMMYFUNCTION("IF(REGEXMATCH(N813, ""SKILL: Low""), ""Low"", IF(REGEXMATCH(N813, ""SKILL: Medium""), ""Medium"", IF(REGEXMATCH(N813, ""SKILL: High""), ""High"", """")))"),"")</f>
        <v/>
      </c>
      <c r="T813" s="27" t="str">
        <f>IFERROR(__xludf.DUMMYFUNCTION("IF(REGEXMATCH(N813, ""STATUS: Dev Complete - Awaiting QA""), ""Dev Complete - Awaiting QA"", IF(REGEXMATCH(N813, ""STATUS: Follow-Up Required""), ""Follow-Up Required"", IF(REGEXMATCH(N813, ""STATUS: In Progress""), ""In Progress"", IF(REGEXMATCH(N813, """&amp;"STATUS: In QA""), ""In QA"", IF(REGEXMATCH(N813, ""STATUS: Needs Customer Feedback""), ""Needs Customer Feedback"", IF(REGEXMATCH(N813, ""STATUS: QA Passed - Awaiting Release""), ""QA Passed - Awaiting Release"", IF(REGEXMATCH(N813, ""STATUS: Release to P"&amp;"rod""), ""Release to Prod"", """")))))))"),"")</f>
        <v/>
      </c>
    </row>
    <row r="814" hidden="1">
      <c r="A814" s="61" t="s">
        <v>38</v>
      </c>
      <c r="B814" s="12" t="s">
        <v>85</v>
      </c>
      <c r="C814" s="61">
        <v>8.0</v>
      </c>
      <c r="D814" s="62" t="s">
        <v>3859</v>
      </c>
      <c r="E814" s="56" t="s">
        <v>173</v>
      </c>
      <c r="F814" s="61" t="s">
        <v>3860</v>
      </c>
      <c r="G814" s="57" t="str">
        <f t="shared" si="1"/>
        <v>08-Dec-2025</v>
      </c>
      <c r="H814" s="61" t="s">
        <v>44</v>
      </c>
      <c r="I814" s="61" t="s">
        <v>3861</v>
      </c>
      <c r="J814" s="27" t="str">
        <f t="shared" si="4"/>
        <v>16-Dec-2025</v>
      </c>
      <c r="K814" s="61" t="s">
        <v>3861</v>
      </c>
      <c r="L814" s="27" t="str">
        <f t="shared" si="5"/>
        <v>16-Dec-2025</v>
      </c>
      <c r="M814" s="63" t="s">
        <v>291</v>
      </c>
      <c r="N814" s="61" t="s">
        <v>177</v>
      </c>
      <c r="O814" s="61" t="s">
        <v>3862</v>
      </c>
      <c r="P814" s="69">
        <v>3.0</v>
      </c>
      <c r="Q814" s="70" t="s">
        <v>3863</v>
      </c>
      <c r="R814" s="27" t="str">
        <f>IFERROR(__xludf.DUMMYFUNCTION("IF(REGEXMATCH(N814, ""PRIORITY: Low""), ""Low"", IF(REGEXMATCH(N814, ""PRIORITY: Medium""), ""Medium"", IF(REGEXMATCH(N814, ""PRIORITY: High""), ""High"", """")))
"),"")</f>
        <v/>
      </c>
      <c r="S814" s="27" t="str">
        <f>IFERROR(__xludf.DUMMYFUNCTION("IF(REGEXMATCH(N814, ""SKILL: Low""), ""Low"", IF(REGEXMATCH(N814, ""SKILL: Medium""), ""Medium"", IF(REGEXMATCH(N814, ""SKILL: High""), ""High"", """")))"),"")</f>
        <v/>
      </c>
      <c r="T814" s="27" t="str">
        <f>IFERROR(__xludf.DUMMYFUNCTION("IF(REGEXMATCH(N814, ""STATUS: Dev Complete - Awaiting QA""), ""Dev Complete - Awaiting QA"", IF(REGEXMATCH(N814, ""STATUS: Follow-Up Required""), ""Follow-Up Required"", IF(REGEXMATCH(N814, ""STATUS: In Progress""), ""In Progress"", IF(REGEXMATCH(N814, """&amp;"STATUS: In QA""), ""In QA"", IF(REGEXMATCH(N814, ""STATUS: Needs Customer Feedback""), ""Needs Customer Feedback"", IF(REGEXMATCH(N814, ""STATUS: QA Passed - Awaiting Release""), ""QA Passed - Awaiting Release"", IF(REGEXMATCH(N814, ""STATUS: Release to P"&amp;"rod""), ""Release to Prod"", """")))))))"),"")</f>
        <v/>
      </c>
    </row>
    <row r="815">
      <c r="A815" s="61" t="s">
        <v>38</v>
      </c>
      <c r="B815" s="12" t="s">
        <v>85</v>
      </c>
      <c r="C815" s="61">
        <v>1.0</v>
      </c>
      <c r="D815" s="62" t="s">
        <v>3864</v>
      </c>
      <c r="E815" s="56" t="s">
        <v>246</v>
      </c>
      <c r="F815" s="61" t="s">
        <v>3865</v>
      </c>
      <c r="G815" s="57" t="str">
        <f t="shared" si="1"/>
        <v>13-Oct-2025</v>
      </c>
      <c r="H815" s="61" t="s">
        <v>136</v>
      </c>
      <c r="I815" s="61" t="s">
        <v>3866</v>
      </c>
      <c r="J815" s="27" t="str">
        <f t="shared" si="4"/>
        <v>12-Dec-2025</v>
      </c>
      <c r="K815" s="27"/>
      <c r="L815" s="27" t="str">
        <f t="shared" si="5"/>
        <v/>
      </c>
      <c r="M815" s="63" t="s">
        <v>15</v>
      </c>
      <c r="N815" s="61" t="s">
        <v>177</v>
      </c>
      <c r="O815" s="67" t="s">
        <v>41</v>
      </c>
      <c r="P815" s="69">
        <v>0.0</v>
      </c>
      <c r="Q815" s="70" t="s">
        <v>3867</v>
      </c>
      <c r="R815" s="27" t="str">
        <f>IFERROR(__xludf.DUMMYFUNCTION("IF(REGEXMATCH(N815, ""PRIORITY: Low""), ""Low"", IF(REGEXMATCH(N815, ""PRIORITY: Medium""), ""Medium"", IF(REGEXMATCH(N815, ""PRIORITY: High""), ""High"", """")))
"),"")</f>
        <v/>
      </c>
      <c r="S815" s="27" t="str">
        <f>IFERROR(__xludf.DUMMYFUNCTION("IF(REGEXMATCH(N815, ""SKILL: Low""), ""Low"", IF(REGEXMATCH(N815, ""SKILL: Medium""), ""Medium"", IF(REGEXMATCH(N815, ""SKILL: High""), ""High"", """")))"),"")</f>
        <v/>
      </c>
      <c r="T815" s="27" t="str">
        <f>IFERROR(__xludf.DUMMYFUNCTION("IF(REGEXMATCH(N815, ""STATUS: Dev Complete - Awaiting QA""), ""Dev Complete - Awaiting QA"", IF(REGEXMATCH(N815, ""STATUS: Follow-Up Required""), ""Follow-Up Required"", IF(REGEXMATCH(N815, ""STATUS: In Progress""), ""In Progress"", IF(REGEXMATCH(N815, """&amp;"STATUS: In QA""), ""In QA"", IF(REGEXMATCH(N815, ""STATUS: Needs Customer Feedback""), ""Needs Customer Feedback"", IF(REGEXMATCH(N815, ""STATUS: QA Passed - Awaiting Release""), ""QA Passed - Awaiting Release"", IF(REGEXMATCH(N815, ""STATUS: Release to P"&amp;"rod""), ""Release to Prod"", """")))))))"),"")</f>
        <v/>
      </c>
    </row>
    <row r="816">
      <c r="A816" s="71"/>
      <c r="B816" s="29"/>
      <c r="C816" s="71"/>
      <c r="D816" s="72"/>
      <c r="E816" s="73"/>
      <c r="F816" s="71"/>
      <c r="G816" s="57" t="str">
        <f t="shared" si="1"/>
        <v/>
      </c>
      <c r="H816" s="71"/>
      <c r="I816" s="71"/>
      <c r="J816" s="27" t="str">
        <f t="shared" si="4"/>
        <v/>
      </c>
      <c r="K816" s="71"/>
      <c r="L816" s="27" t="str">
        <f t="shared" si="5"/>
        <v/>
      </c>
      <c r="M816" s="74"/>
      <c r="N816" s="71"/>
      <c r="O816" s="71"/>
      <c r="P816" s="71"/>
      <c r="Q816" s="71"/>
      <c r="R816" s="27" t="str">
        <f>IFERROR(__xludf.DUMMYFUNCTION("IF(REGEXMATCH(N816, ""PRIORITY: Low""), ""Low"", IF(REGEXMATCH(N816, ""PRIORITY: Medium""), ""Medium"", IF(REGEXMATCH(N816, ""PRIORITY: High""), ""High"", """")))
"),"")</f>
        <v/>
      </c>
      <c r="S816" s="27" t="str">
        <f>IFERROR(__xludf.DUMMYFUNCTION("IF(REGEXMATCH(N816, ""SKILL: Low""), ""Low"", IF(REGEXMATCH(N816, ""SKILL: Medium""), ""Medium"", IF(REGEXMATCH(N816, ""SKILL: High""), ""High"", """")))"),"")</f>
        <v/>
      </c>
      <c r="T816" s="27" t="str">
        <f>IFERROR(__xludf.DUMMYFUNCTION("IF(REGEXMATCH(N816, ""STATUS: Dev Complete - Awaiting QA""), ""Dev Complete - Awaiting QA"", IF(REGEXMATCH(N816, ""STATUS: Follow-Up Required""), ""Follow-Up Required"", IF(REGEXMATCH(N816, ""STATUS: In Progress""), ""In Progress"", IF(REGEXMATCH(N816, """&amp;"STATUS: In QA""), ""In QA"", IF(REGEXMATCH(N816, ""STATUS: Needs Customer Feedback""), ""Needs Customer Feedback"", IF(REGEXMATCH(N816, ""STATUS: QA Passed - Awaiting Release""), ""QA Passed - Awaiting Release"", IF(REGEXMATCH(N816, ""STATUS: Release to P"&amp;"rod""), ""Release to Prod"", """")))))))"),"")</f>
        <v/>
      </c>
    </row>
    <row r="817">
      <c r="A817" s="71"/>
      <c r="B817" s="29"/>
      <c r="C817" s="71"/>
      <c r="D817" s="72"/>
      <c r="E817" s="73"/>
      <c r="F817" s="71"/>
      <c r="G817" s="57" t="str">
        <f t="shared" si="1"/>
        <v/>
      </c>
      <c r="H817" s="71"/>
      <c r="I817" s="71"/>
      <c r="J817" s="27" t="str">
        <f t="shared" si="4"/>
        <v/>
      </c>
      <c r="K817" s="71"/>
      <c r="L817" s="27" t="str">
        <f t="shared" si="5"/>
        <v/>
      </c>
      <c r="M817" s="74"/>
      <c r="N817" s="71"/>
      <c r="O817" s="71"/>
      <c r="P817" s="71"/>
      <c r="Q817" s="71"/>
      <c r="R817" s="27" t="str">
        <f>IFERROR(__xludf.DUMMYFUNCTION("IF(REGEXMATCH(N817, ""PRIORITY: Low""), ""Low"", IF(REGEXMATCH(N817, ""PRIORITY: Medium""), ""Medium"", IF(REGEXMATCH(N817, ""PRIORITY: High""), ""High"", """")))
"),"")</f>
        <v/>
      </c>
      <c r="S817" s="27" t="str">
        <f>IFERROR(__xludf.DUMMYFUNCTION("IF(REGEXMATCH(N817, ""SKILL: Low""), ""Low"", IF(REGEXMATCH(N817, ""SKILL: Medium""), ""Medium"", IF(REGEXMATCH(N817, ""SKILL: High""), ""High"", """")))"),"")</f>
        <v/>
      </c>
      <c r="T817" s="27" t="str">
        <f>IFERROR(__xludf.DUMMYFUNCTION("IF(REGEXMATCH(N817, ""STATUS: Dev Complete - Awaiting QA""), ""Dev Complete - Awaiting QA"", IF(REGEXMATCH(N817, ""STATUS: Follow-Up Required""), ""Follow-Up Required"", IF(REGEXMATCH(N817, ""STATUS: In Progress""), ""In Progress"", IF(REGEXMATCH(N817, """&amp;"STATUS: In QA""), ""In QA"", IF(REGEXMATCH(N817, ""STATUS: Needs Customer Feedback""), ""Needs Customer Feedback"", IF(REGEXMATCH(N817, ""STATUS: QA Passed - Awaiting Release""), ""QA Passed - Awaiting Release"", IF(REGEXMATCH(N817, ""STATUS: Release to P"&amp;"rod""), ""Release to Prod"", """")))))))"),"")</f>
        <v/>
      </c>
    </row>
    <row r="818">
      <c r="A818" s="71"/>
      <c r="B818" s="29"/>
      <c r="C818" s="71"/>
      <c r="D818" s="72"/>
      <c r="E818" s="73"/>
      <c r="F818" s="71"/>
      <c r="G818" s="57" t="str">
        <f t="shared" si="1"/>
        <v/>
      </c>
      <c r="H818" s="71"/>
      <c r="I818" s="71"/>
      <c r="J818" s="27" t="str">
        <f t="shared" si="4"/>
        <v/>
      </c>
      <c r="K818" s="71"/>
      <c r="L818" s="27" t="str">
        <f t="shared" si="5"/>
        <v/>
      </c>
      <c r="M818" s="74"/>
      <c r="N818" s="71"/>
      <c r="O818" s="71"/>
      <c r="P818" s="71"/>
      <c r="Q818" s="71"/>
      <c r="R818" s="27" t="str">
        <f>IFERROR(__xludf.DUMMYFUNCTION("IF(REGEXMATCH(N818, ""PRIORITY: Low""), ""Low"", IF(REGEXMATCH(N818, ""PRIORITY: Medium""), ""Medium"", IF(REGEXMATCH(N818, ""PRIORITY: High""), ""High"", """")))
"),"")</f>
        <v/>
      </c>
      <c r="S818" s="27" t="str">
        <f>IFERROR(__xludf.DUMMYFUNCTION("IF(REGEXMATCH(N818, ""SKILL: Low""), ""Low"", IF(REGEXMATCH(N818, ""SKILL: Medium""), ""Medium"", IF(REGEXMATCH(N818, ""SKILL: High""), ""High"", """")))"),"")</f>
        <v/>
      </c>
      <c r="T818" s="27" t="str">
        <f>IFERROR(__xludf.DUMMYFUNCTION("IF(REGEXMATCH(N818, ""STATUS: Dev Complete - Awaiting QA""), ""Dev Complete - Awaiting QA"", IF(REGEXMATCH(N818, ""STATUS: Follow-Up Required""), ""Follow-Up Required"", IF(REGEXMATCH(N818, ""STATUS: In Progress""), ""In Progress"", IF(REGEXMATCH(N818, """&amp;"STATUS: In QA""), ""In QA"", IF(REGEXMATCH(N818, ""STATUS: Needs Customer Feedback""), ""Needs Customer Feedback"", IF(REGEXMATCH(N818, ""STATUS: QA Passed - Awaiting Release""), ""QA Passed - Awaiting Release"", IF(REGEXMATCH(N818, ""STATUS: Release to P"&amp;"rod""), ""Release to Prod"", """")))))))"),"")</f>
        <v/>
      </c>
    </row>
    <row r="819">
      <c r="A819" s="71"/>
      <c r="B819" s="29"/>
      <c r="C819" s="71"/>
      <c r="D819" s="72"/>
      <c r="E819" s="73"/>
      <c r="F819" s="71"/>
      <c r="G819" s="57" t="str">
        <f t="shared" si="1"/>
        <v/>
      </c>
      <c r="H819" s="71"/>
      <c r="I819" s="71"/>
      <c r="J819" s="27" t="str">
        <f t="shared" si="4"/>
        <v/>
      </c>
      <c r="K819" s="71"/>
      <c r="L819" s="27" t="str">
        <f t="shared" si="5"/>
        <v/>
      </c>
      <c r="M819" s="74"/>
      <c r="N819" s="71"/>
      <c r="O819" s="71"/>
      <c r="P819" s="71"/>
      <c r="Q819" s="71"/>
      <c r="R819" s="27" t="str">
        <f>IFERROR(__xludf.DUMMYFUNCTION("IF(REGEXMATCH(N819, ""PRIORITY: Low""), ""Low"", IF(REGEXMATCH(N819, ""PRIORITY: Medium""), ""Medium"", IF(REGEXMATCH(N819, ""PRIORITY: High""), ""High"", """")))
"),"")</f>
        <v/>
      </c>
      <c r="S819" s="27" t="str">
        <f>IFERROR(__xludf.DUMMYFUNCTION("IF(REGEXMATCH(N819, ""SKILL: Low""), ""Low"", IF(REGEXMATCH(N819, ""SKILL: Medium""), ""Medium"", IF(REGEXMATCH(N819, ""SKILL: High""), ""High"", """")))"),"")</f>
        <v/>
      </c>
      <c r="T819" s="27" t="str">
        <f>IFERROR(__xludf.DUMMYFUNCTION("IF(REGEXMATCH(N819, ""STATUS: Dev Complete - Awaiting QA""), ""Dev Complete - Awaiting QA"", IF(REGEXMATCH(N819, ""STATUS: Follow-Up Required""), ""Follow-Up Required"", IF(REGEXMATCH(N819, ""STATUS: In Progress""), ""In Progress"", IF(REGEXMATCH(N819, """&amp;"STATUS: In QA""), ""In QA"", IF(REGEXMATCH(N819, ""STATUS: Needs Customer Feedback""), ""Needs Customer Feedback"", IF(REGEXMATCH(N819, ""STATUS: QA Passed - Awaiting Release""), ""QA Passed - Awaiting Release"", IF(REGEXMATCH(N819, ""STATUS: Release to P"&amp;"rod""), ""Release to Prod"", """")))))))"),"")</f>
        <v/>
      </c>
    </row>
    <row r="820">
      <c r="A820" s="71"/>
      <c r="B820" s="29"/>
      <c r="C820" s="71"/>
      <c r="D820" s="72"/>
      <c r="E820" s="73"/>
      <c r="F820" s="71"/>
      <c r="G820" s="57" t="str">
        <f t="shared" si="1"/>
        <v/>
      </c>
      <c r="H820" s="71"/>
      <c r="I820" s="71"/>
      <c r="J820" s="27" t="str">
        <f t="shared" si="4"/>
        <v/>
      </c>
      <c r="K820" s="71"/>
      <c r="L820" s="27" t="str">
        <f t="shared" si="5"/>
        <v/>
      </c>
      <c r="M820" s="74"/>
      <c r="N820" s="71"/>
      <c r="O820" s="71"/>
      <c r="P820" s="71"/>
      <c r="Q820" s="71"/>
      <c r="R820" s="27" t="str">
        <f>IFERROR(__xludf.DUMMYFUNCTION("IF(REGEXMATCH(N820, ""PRIORITY: Low""), ""Low"", IF(REGEXMATCH(N820, ""PRIORITY: Medium""), ""Medium"", IF(REGEXMATCH(N820, ""PRIORITY: High""), ""High"", """")))
"),"")</f>
        <v/>
      </c>
      <c r="S820" s="27" t="str">
        <f>IFERROR(__xludf.DUMMYFUNCTION("IF(REGEXMATCH(N820, ""SKILL: Low""), ""Low"", IF(REGEXMATCH(N820, ""SKILL: Medium""), ""Medium"", IF(REGEXMATCH(N820, ""SKILL: High""), ""High"", """")))"),"")</f>
        <v/>
      </c>
      <c r="T820" s="27" t="str">
        <f>IFERROR(__xludf.DUMMYFUNCTION("IF(REGEXMATCH(N820, ""STATUS: Dev Complete - Awaiting QA""), ""Dev Complete - Awaiting QA"", IF(REGEXMATCH(N820, ""STATUS: Follow-Up Required""), ""Follow-Up Required"", IF(REGEXMATCH(N820, ""STATUS: In Progress""), ""In Progress"", IF(REGEXMATCH(N820, """&amp;"STATUS: In QA""), ""In QA"", IF(REGEXMATCH(N820, ""STATUS: Needs Customer Feedback""), ""Needs Customer Feedback"", IF(REGEXMATCH(N820, ""STATUS: QA Passed - Awaiting Release""), ""QA Passed - Awaiting Release"", IF(REGEXMATCH(N820, ""STATUS: Release to P"&amp;"rod""), ""Release to Prod"", """")))))))"),"")</f>
        <v/>
      </c>
    </row>
    <row r="821">
      <c r="A821" s="71"/>
      <c r="B821" s="29"/>
      <c r="C821" s="71"/>
      <c r="D821" s="72"/>
      <c r="E821" s="73"/>
      <c r="F821" s="71"/>
      <c r="G821" s="57" t="str">
        <f t="shared" si="1"/>
        <v/>
      </c>
      <c r="H821" s="71"/>
      <c r="I821" s="71"/>
      <c r="J821" s="27" t="str">
        <f t="shared" si="4"/>
        <v/>
      </c>
      <c r="K821" s="71"/>
      <c r="L821" s="27" t="str">
        <f t="shared" si="5"/>
        <v/>
      </c>
      <c r="M821" s="74"/>
      <c r="N821" s="71"/>
      <c r="O821" s="71"/>
      <c r="P821" s="71"/>
      <c r="Q821" s="71"/>
      <c r="R821" s="27" t="str">
        <f>IFERROR(__xludf.DUMMYFUNCTION("IF(REGEXMATCH(N821, ""PRIORITY: Low""), ""Low"", IF(REGEXMATCH(N821, ""PRIORITY: Medium""), ""Medium"", IF(REGEXMATCH(N821, ""PRIORITY: High""), ""High"", """")))
"),"")</f>
        <v/>
      </c>
      <c r="S821" s="27" t="str">
        <f>IFERROR(__xludf.DUMMYFUNCTION("IF(REGEXMATCH(N821, ""SKILL: Low""), ""Low"", IF(REGEXMATCH(N821, ""SKILL: Medium""), ""Medium"", IF(REGEXMATCH(N821, ""SKILL: High""), ""High"", """")))"),"")</f>
        <v/>
      </c>
      <c r="T821" s="27" t="str">
        <f>IFERROR(__xludf.DUMMYFUNCTION("IF(REGEXMATCH(N821, ""STATUS: Dev Complete - Awaiting QA""), ""Dev Complete - Awaiting QA"", IF(REGEXMATCH(N821, ""STATUS: Follow-Up Required""), ""Follow-Up Required"", IF(REGEXMATCH(N821, ""STATUS: In Progress""), ""In Progress"", IF(REGEXMATCH(N821, """&amp;"STATUS: In QA""), ""In QA"", IF(REGEXMATCH(N821, ""STATUS: Needs Customer Feedback""), ""Needs Customer Feedback"", IF(REGEXMATCH(N821, ""STATUS: QA Passed - Awaiting Release""), ""QA Passed - Awaiting Release"", IF(REGEXMATCH(N821, ""STATUS: Release to P"&amp;"rod""), ""Release to Prod"", """")))))))"),"")</f>
        <v/>
      </c>
    </row>
    <row r="822">
      <c r="A822" s="71"/>
      <c r="B822" s="29"/>
      <c r="C822" s="71"/>
      <c r="D822" s="72"/>
      <c r="E822" s="73"/>
      <c r="F822" s="71"/>
      <c r="G822" s="57" t="str">
        <f t="shared" si="1"/>
        <v/>
      </c>
      <c r="H822" s="71"/>
      <c r="I822" s="71"/>
      <c r="J822" s="27" t="str">
        <f t="shared" si="4"/>
        <v/>
      </c>
      <c r="K822" s="71"/>
      <c r="L822" s="27" t="str">
        <f t="shared" si="5"/>
        <v/>
      </c>
      <c r="M822" s="74"/>
      <c r="N822" s="71"/>
      <c r="O822" s="71"/>
      <c r="P822" s="71"/>
      <c r="Q822" s="71"/>
      <c r="R822" s="27" t="str">
        <f>IFERROR(__xludf.DUMMYFUNCTION("IF(REGEXMATCH(N822, ""PRIORITY: Low""), ""Low"", IF(REGEXMATCH(N822, ""PRIORITY: Medium""), ""Medium"", IF(REGEXMATCH(N822, ""PRIORITY: High""), ""High"", """")))
"),"")</f>
        <v/>
      </c>
      <c r="S822" s="27" t="str">
        <f>IFERROR(__xludf.DUMMYFUNCTION("IF(REGEXMATCH(N822, ""SKILL: Low""), ""Low"", IF(REGEXMATCH(N822, ""SKILL: Medium""), ""Medium"", IF(REGEXMATCH(N822, ""SKILL: High""), ""High"", """")))"),"")</f>
        <v/>
      </c>
      <c r="T822" s="27" t="str">
        <f>IFERROR(__xludf.DUMMYFUNCTION("IF(REGEXMATCH(N822, ""STATUS: Dev Complete - Awaiting QA""), ""Dev Complete - Awaiting QA"", IF(REGEXMATCH(N822, ""STATUS: Follow-Up Required""), ""Follow-Up Required"", IF(REGEXMATCH(N822, ""STATUS: In Progress""), ""In Progress"", IF(REGEXMATCH(N822, """&amp;"STATUS: In QA""), ""In QA"", IF(REGEXMATCH(N822, ""STATUS: Needs Customer Feedback""), ""Needs Customer Feedback"", IF(REGEXMATCH(N822, ""STATUS: QA Passed - Awaiting Release""), ""QA Passed - Awaiting Release"", IF(REGEXMATCH(N822, ""STATUS: Release to P"&amp;"rod""), ""Release to Prod"", """")))))))"),"")</f>
        <v/>
      </c>
    </row>
    <row r="823">
      <c r="A823" s="71"/>
      <c r="B823" s="29"/>
      <c r="C823" s="71"/>
      <c r="D823" s="72"/>
      <c r="E823" s="73"/>
      <c r="F823" s="71"/>
      <c r="G823" s="57" t="str">
        <f t="shared" si="1"/>
        <v/>
      </c>
      <c r="H823" s="71"/>
      <c r="I823" s="71"/>
      <c r="J823" s="27" t="str">
        <f t="shared" si="4"/>
        <v/>
      </c>
      <c r="K823" s="71"/>
      <c r="L823" s="27" t="str">
        <f t="shared" si="5"/>
        <v/>
      </c>
      <c r="M823" s="74"/>
      <c r="N823" s="71"/>
      <c r="O823" s="71"/>
      <c r="P823" s="71"/>
      <c r="Q823" s="71"/>
      <c r="R823" s="27" t="str">
        <f>IFERROR(__xludf.DUMMYFUNCTION("IF(REGEXMATCH(N823, ""PRIORITY: Low""), ""Low"", IF(REGEXMATCH(N823, ""PRIORITY: Medium""), ""Medium"", IF(REGEXMATCH(N823, ""PRIORITY: High""), ""High"", """")))
"),"")</f>
        <v/>
      </c>
      <c r="S823" s="27" t="str">
        <f>IFERROR(__xludf.DUMMYFUNCTION("IF(REGEXMATCH(N823, ""SKILL: Low""), ""Low"", IF(REGEXMATCH(N823, ""SKILL: Medium""), ""Medium"", IF(REGEXMATCH(N823, ""SKILL: High""), ""High"", """")))"),"")</f>
        <v/>
      </c>
      <c r="T823" s="27" t="str">
        <f>IFERROR(__xludf.DUMMYFUNCTION("IF(REGEXMATCH(N823, ""STATUS: Dev Complete - Awaiting QA""), ""Dev Complete - Awaiting QA"", IF(REGEXMATCH(N823, ""STATUS: Follow-Up Required""), ""Follow-Up Required"", IF(REGEXMATCH(N823, ""STATUS: In Progress""), ""In Progress"", IF(REGEXMATCH(N823, """&amp;"STATUS: In QA""), ""In QA"", IF(REGEXMATCH(N823, ""STATUS: Needs Customer Feedback""), ""Needs Customer Feedback"", IF(REGEXMATCH(N823, ""STATUS: QA Passed - Awaiting Release""), ""QA Passed - Awaiting Release"", IF(REGEXMATCH(N823, ""STATUS: Release to P"&amp;"rod""), ""Release to Prod"", """")))))))"),"")</f>
        <v/>
      </c>
    </row>
    <row r="824">
      <c r="A824" s="71"/>
      <c r="B824" s="29"/>
      <c r="C824" s="71"/>
      <c r="D824" s="72"/>
      <c r="E824" s="73"/>
      <c r="F824" s="71"/>
      <c r="G824" s="57" t="str">
        <f t="shared" si="1"/>
        <v/>
      </c>
      <c r="H824" s="71"/>
      <c r="I824" s="71"/>
      <c r="J824" s="27" t="str">
        <f t="shared" si="4"/>
        <v/>
      </c>
      <c r="K824" s="71"/>
      <c r="L824" s="27" t="str">
        <f t="shared" si="5"/>
        <v/>
      </c>
      <c r="M824" s="74"/>
      <c r="N824" s="71"/>
      <c r="O824" s="71"/>
      <c r="P824" s="71"/>
      <c r="Q824" s="71"/>
      <c r="R824" s="27" t="str">
        <f>IFERROR(__xludf.DUMMYFUNCTION("IF(REGEXMATCH(N824, ""PRIORITY: Low""), ""Low"", IF(REGEXMATCH(N824, ""PRIORITY: Medium""), ""Medium"", IF(REGEXMATCH(N824, ""PRIORITY: High""), ""High"", """")))
"),"")</f>
        <v/>
      </c>
      <c r="S824" s="27" t="str">
        <f>IFERROR(__xludf.DUMMYFUNCTION("IF(REGEXMATCH(N824, ""SKILL: Low""), ""Low"", IF(REGEXMATCH(N824, ""SKILL: Medium""), ""Medium"", IF(REGEXMATCH(N824, ""SKILL: High""), ""High"", """")))"),"")</f>
        <v/>
      </c>
      <c r="T824" s="27" t="str">
        <f>IFERROR(__xludf.DUMMYFUNCTION("IF(REGEXMATCH(N824, ""STATUS: Dev Complete - Awaiting QA""), ""Dev Complete - Awaiting QA"", IF(REGEXMATCH(N824, ""STATUS: Follow-Up Required""), ""Follow-Up Required"", IF(REGEXMATCH(N824, ""STATUS: In Progress""), ""In Progress"", IF(REGEXMATCH(N824, """&amp;"STATUS: In QA""), ""In QA"", IF(REGEXMATCH(N824, ""STATUS: Needs Customer Feedback""), ""Needs Customer Feedback"", IF(REGEXMATCH(N824, ""STATUS: QA Passed - Awaiting Release""), ""QA Passed - Awaiting Release"", IF(REGEXMATCH(N824, ""STATUS: Release to P"&amp;"rod""), ""Release to Prod"", """")))))))"),"")</f>
        <v/>
      </c>
    </row>
    <row r="825">
      <c r="A825" s="71"/>
      <c r="B825" s="29"/>
      <c r="C825" s="71"/>
      <c r="D825" s="72"/>
      <c r="E825" s="73"/>
      <c r="F825" s="71"/>
      <c r="G825" s="57" t="str">
        <f t="shared" si="1"/>
        <v/>
      </c>
      <c r="H825" s="71"/>
      <c r="I825" s="71"/>
      <c r="J825" s="27" t="str">
        <f t="shared" si="4"/>
        <v/>
      </c>
      <c r="K825" s="71"/>
      <c r="L825" s="27" t="str">
        <f t="shared" si="5"/>
        <v/>
      </c>
      <c r="M825" s="74"/>
      <c r="N825" s="71"/>
      <c r="O825" s="71"/>
      <c r="P825" s="71"/>
      <c r="Q825" s="71"/>
      <c r="R825" s="27" t="str">
        <f>IFERROR(__xludf.DUMMYFUNCTION("IF(REGEXMATCH(N825, ""PRIORITY: Low""), ""Low"", IF(REGEXMATCH(N825, ""PRIORITY: Medium""), ""Medium"", IF(REGEXMATCH(N825, ""PRIORITY: High""), ""High"", """")))
"),"")</f>
        <v/>
      </c>
      <c r="S825" s="27" t="str">
        <f>IFERROR(__xludf.DUMMYFUNCTION("IF(REGEXMATCH(N825, ""SKILL: Low""), ""Low"", IF(REGEXMATCH(N825, ""SKILL: Medium""), ""Medium"", IF(REGEXMATCH(N825, ""SKILL: High""), ""High"", """")))"),"")</f>
        <v/>
      </c>
      <c r="T825" s="27" t="str">
        <f>IFERROR(__xludf.DUMMYFUNCTION("IF(REGEXMATCH(N825, ""STATUS: Dev Complete - Awaiting QA""), ""Dev Complete - Awaiting QA"", IF(REGEXMATCH(N825, ""STATUS: Follow-Up Required""), ""Follow-Up Required"", IF(REGEXMATCH(N825, ""STATUS: In Progress""), ""In Progress"", IF(REGEXMATCH(N825, """&amp;"STATUS: In QA""), ""In QA"", IF(REGEXMATCH(N825, ""STATUS: Needs Customer Feedback""), ""Needs Customer Feedback"", IF(REGEXMATCH(N825, ""STATUS: QA Passed - Awaiting Release""), ""QA Passed - Awaiting Release"", IF(REGEXMATCH(N825, ""STATUS: Release to P"&amp;"rod""), ""Release to Prod"", """")))))))"),"")</f>
        <v/>
      </c>
    </row>
    <row r="826">
      <c r="A826" s="71"/>
      <c r="B826" s="29"/>
      <c r="C826" s="71"/>
      <c r="D826" s="72"/>
      <c r="E826" s="73"/>
      <c r="F826" s="71"/>
      <c r="G826" s="57" t="str">
        <f t="shared" si="1"/>
        <v/>
      </c>
      <c r="H826" s="71"/>
      <c r="I826" s="71"/>
      <c r="J826" s="27" t="str">
        <f t="shared" si="4"/>
        <v/>
      </c>
      <c r="K826" s="71"/>
      <c r="L826" s="27" t="str">
        <f t="shared" si="5"/>
        <v/>
      </c>
      <c r="M826" s="74"/>
      <c r="N826" s="71"/>
      <c r="O826" s="71"/>
      <c r="P826" s="71"/>
      <c r="Q826" s="71"/>
      <c r="R826" s="27" t="str">
        <f>IFERROR(__xludf.DUMMYFUNCTION("IF(REGEXMATCH(N826, ""PRIORITY: Low""), ""Low"", IF(REGEXMATCH(N826, ""PRIORITY: Medium""), ""Medium"", IF(REGEXMATCH(N826, ""PRIORITY: High""), ""High"", """")))
"),"")</f>
        <v/>
      </c>
      <c r="S826" s="27" t="str">
        <f>IFERROR(__xludf.DUMMYFUNCTION("IF(REGEXMATCH(N826, ""SKILL: Low""), ""Low"", IF(REGEXMATCH(N826, ""SKILL: Medium""), ""Medium"", IF(REGEXMATCH(N826, ""SKILL: High""), ""High"", """")))"),"")</f>
        <v/>
      </c>
      <c r="T826" s="27" t="str">
        <f>IFERROR(__xludf.DUMMYFUNCTION("IF(REGEXMATCH(N826, ""STATUS: Dev Complete - Awaiting QA""), ""Dev Complete - Awaiting QA"", IF(REGEXMATCH(N826, ""STATUS: Follow-Up Required""), ""Follow-Up Required"", IF(REGEXMATCH(N826, ""STATUS: In Progress""), ""In Progress"", IF(REGEXMATCH(N826, """&amp;"STATUS: In QA""), ""In QA"", IF(REGEXMATCH(N826, ""STATUS: Needs Customer Feedback""), ""Needs Customer Feedback"", IF(REGEXMATCH(N826, ""STATUS: QA Passed - Awaiting Release""), ""QA Passed - Awaiting Release"", IF(REGEXMATCH(N826, ""STATUS: Release to P"&amp;"rod""), ""Release to Prod"", """")))))))"),"")</f>
        <v/>
      </c>
    </row>
    <row r="827">
      <c r="A827" s="71"/>
      <c r="B827" s="29"/>
      <c r="C827" s="71"/>
      <c r="D827" s="72"/>
      <c r="E827" s="73"/>
      <c r="F827" s="71"/>
      <c r="G827" s="57" t="str">
        <f t="shared" si="1"/>
        <v/>
      </c>
      <c r="H827" s="71"/>
      <c r="I827" s="71"/>
      <c r="J827" s="27" t="str">
        <f t="shared" si="4"/>
        <v/>
      </c>
      <c r="K827" s="71"/>
      <c r="L827" s="27" t="str">
        <f t="shared" si="5"/>
        <v/>
      </c>
      <c r="M827" s="74"/>
      <c r="N827" s="71"/>
      <c r="O827" s="71"/>
      <c r="P827" s="71"/>
      <c r="Q827" s="71"/>
      <c r="R827" s="27" t="str">
        <f>IFERROR(__xludf.DUMMYFUNCTION("IF(REGEXMATCH(N827, ""PRIORITY: Low""), ""Low"", IF(REGEXMATCH(N827, ""PRIORITY: Medium""), ""Medium"", IF(REGEXMATCH(N827, ""PRIORITY: High""), ""High"", """")))
"),"")</f>
        <v/>
      </c>
      <c r="S827" s="27" t="str">
        <f>IFERROR(__xludf.DUMMYFUNCTION("IF(REGEXMATCH(N827, ""SKILL: Low""), ""Low"", IF(REGEXMATCH(N827, ""SKILL: Medium""), ""Medium"", IF(REGEXMATCH(N827, ""SKILL: High""), ""High"", """")))"),"")</f>
        <v/>
      </c>
      <c r="T827" s="27" t="str">
        <f>IFERROR(__xludf.DUMMYFUNCTION("IF(REGEXMATCH(N827, ""STATUS: Dev Complete - Awaiting QA""), ""Dev Complete - Awaiting QA"", IF(REGEXMATCH(N827, ""STATUS: Follow-Up Required""), ""Follow-Up Required"", IF(REGEXMATCH(N827, ""STATUS: In Progress""), ""In Progress"", IF(REGEXMATCH(N827, """&amp;"STATUS: In QA""), ""In QA"", IF(REGEXMATCH(N827, ""STATUS: Needs Customer Feedback""), ""Needs Customer Feedback"", IF(REGEXMATCH(N827, ""STATUS: QA Passed - Awaiting Release""), ""QA Passed - Awaiting Release"", IF(REGEXMATCH(N827, ""STATUS: Release to P"&amp;"rod""), ""Release to Prod"", """")))))))"),"")</f>
        <v/>
      </c>
    </row>
    <row r="828">
      <c r="A828" s="71"/>
      <c r="B828" s="29"/>
      <c r="C828" s="71"/>
      <c r="D828" s="72"/>
      <c r="E828" s="73"/>
      <c r="F828" s="71"/>
      <c r="G828" s="57" t="str">
        <f t="shared" si="1"/>
        <v/>
      </c>
      <c r="H828" s="71"/>
      <c r="I828" s="71"/>
      <c r="J828" s="27" t="str">
        <f t="shared" si="4"/>
        <v/>
      </c>
      <c r="K828" s="71"/>
      <c r="L828" s="27" t="str">
        <f t="shared" si="5"/>
        <v/>
      </c>
      <c r="M828" s="74"/>
      <c r="N828" s="71"/>
      <c r="O828" s="71"/>
      <c r="P828" s="71"/>
      <c r="Q828" s="71"/>
      <c r="R828" s="27" t="str">
        <f>IFERROR(__xludf.DUMMYFUNCTION("IF(REGEXMATCH(N828, ""PRIORITY: Low""), ""Low"", IF(REGEXMATCH(N828, ""PRIORITY: Medium""), ""Medium"", IF(REGEXMATCH(N828, ""PRIORITY: High""), ""High"", """")))
"),"")</f>
        <v/>
      </c>
      <c r="S828" s="27" t="str">
        <f>IFERROR(__xludf.DUMMYFUNCTION("IF(REGEXMATCH(N828, ""SKILL: Low""), ""Low"", IF(REGEXMATCH(N828, ""SKILL: Medium""), ""Medium"", IF(REGEXMATCH(N828, ""SKILL: High""), ""High"", """")))"),"")</f>
        <v/>
      </c>
      <c r="T828" s="27" t="str">
        <f>IFERROR(__xludf.DUMMYFUNCTION("IF(REGEXMATCH(N828, ""STATUS: Dev Complete - Awaiting QA""), ""Dev Complete - Awaiting QA"", IF(REGEXMATCH(N828, ""STATUS: Follow-Up Required""), ""Follow-Up Required"", IF(REGEXMATCH(N828, ""STATUS: In Progress""), ""In Progress"", IF(REGEXMATCH(N828, """&amp;"STATUS: In QA""), ""In QA"", IF(REGEXMATCH(N828, ""STATUS: Needs Customer Feedback""), ""Needs Customer Feedback"", IF(REGEXMATCH(N828, ""STATUS: QA Passed - Awaiting Release""), ""QA Passed - Awaiting Release"", IF(REGEXMATCH(N828, ""STATUS: Release to P"&amp;"rod""), ""Release to Prod"", """")))))))"),"")</f>
        <v/>
      </c>
    </row>
    <row r="829">
      <c r="A829" s="71"/>
      <c r="B829" s="29"/>
      <c r="C829" s="71"/>
      <c r="D829" s="72"/>
      <c r="E829" s="73"/>
      <c r="F829" s="71"/>
      <c r="G829" s="57" t="str">
        <f t="shared" si="1"/>
        <v/>
      </c>
      <c r="H829" s="71"/>
      <c r="I829" s="71"/>
      <c r="J829" s="27" t="str">
        <f t="shared" si="4"/>
        <v/>
      </c>
      <c r="K829" s="71"/>
      <c r="L829" s="27" t="str">
        <f t="shared" si="5"/>
        <v/>
      </c>
      <c r="M829" s="74"/>
      <c r="N829" s="71"/>
      <c r="O829" s="71"/>
      <c r="P829" s="71"/>
      <c r="Q829" s="71"/>
      <c r="R829" s="27" t="str">
        <f>IFERROR(__xludf.DUMMYFUNCTION("IF(REGEXMATCH(N829, ""PRIORITY: Low""), ""Low"", IF(REGEXMATCH(N829, ""PRIORITY: Medium""), ""Medium"", IF(REGEXMATCH(N829, ""PRIORITY: High""), ""High"", """")))
"),"")</f>
        <v/>
      </c>
      <c r="S829" s="27" t="str">
        <f>IFERROR(__xludf.DUMMYFUNCTION("IF(REGEXMATCH(N829, ""SKILL: Low""), ""Low"", IF(REGEXMATCH(N829, ""SKILL: Medium""), ""Medium"", IF(REGEXMATCH(N829, ""SKILL: High""), ""High"", """")))"),"")</f>
        <v/>
      </c>
      <c r="T829" s="27" t="str">
        <f>IFERROR(__xludf.DUMMYFUNCTION("IF(REGEXMATCH(N829, ""STATUS: Dev Complete - Awaiting QA""), ""Dev Complete - Awaiting QA"", IF(REGEXMATCH(N829, ""STATUS: Follow-Up Required""), ""Follow-Up Required"", IF(REGEXMATCH(N829, ""STATUS: In Progress""), ""In Progress"", IF(REGEXMATCH(N829, """&amp;"STATUS: In QA""), ""In QA"", IF(REGEXMATCH(N829, ""STATUS: Needs Customer Feedback""), ""Needs Customer Feedback"", IF(REGEXMATCH(N829, ""STATUS: QA Passed - Awaiting Release""), ""QA Passed - Awaiting Release"", IF(REGEXMATCH(N829, ""STATUS: Release to P"&amp;"rod""), ""Release to Prod"", """")))))))"),"")</f>
        <v/>
      </c>
    </row>
    <row r="830">
      <c r="A830" s="71"/>
      <c r="B830" s="29"/>
      <c r="C830" s="71"/>
      <c r="D830" s="72"/>
      <c r="E830" s="73"/>
      <c r="F830" s="71"/>
      <c r="G830" s="57" t="str">
        <f t="shared" si="1"/>
        <v/>
      </c>
      <c r="H830" s="71"/>
      <c r="I830" s="71"/>
      <c r="J830" s="27" t="str">
        <f t="shared" si="4"/>
        <v/>
      </c>
      <c r="K830" s="71"/>
      <c r="L830" s="27" t="str">
        <f t="shared" si="5"/>
        <v/>
      </c>
      <c r="M830" s="74"/>
      <c r="N830" s="71"/>
      <c r="O830" s="71"/>
      <c r="P830" s="71"/>
      <c r="Q830" s="71"/>
      <c r="R830" s="27" t="str">
        <f>IFERROR(__xludf.DUMMYFUNCTION("IF(REGEXMATCH(N830, ""PRIORITY: Low""), ""Low"", IF(REGEXMATCH(N830, ""PRIORITY: Medium""), ""Medium"", IF(REGEXMATCH(N830, ""PRIORITY: High""), ""High"", """")))
"),"")</f>
        <v/>
      </c>
      <c r="S830" s="27" t="str">
        <f>IFERROR(__xludf.DUMMYFUNCTION("IF(REGEXMATCH(N830, ""SKILL: Low""), ""Low"", IF(REGEXMATCH(N830, ""SKILL: Medium""), ""Medium"", IF(REGEXMATCH(N830, ""SKILL: High""), ""High"", """")))"),"")</f>
        <v/>
      </c>
      <c r="T830" s="27" t="str">
        <f>IFERROR(__xludf.DUMMYFUNCTION("IF(REGEXMATCH(N830, ""STATUS: Dev Complete - Awaiting QA""), ""Dev Complete - Awaiting QA"", IF(REGEXMATCH(N830, ""STATUS: Follow-Up Required""), ""Follow-Up Required"", IF(REGEXMATCH(N830, ""STATUS: In Progress""), ""In Progress"", IF(REGEXMATCH(N830, """&amp;"STATUS: In QA""), ""In QA"", IF(REGEXMATCH(N830, ""STATUS: Needs Customer Feedback""), ""Needs Customer Feedback"", IF(REGEXMATCH(N830, ""STATUS: QA Passed - Awaiting Release""), ""QA Passed - Awaiting Release"", IF(REGEXMATCH(N830, ""STATUS: Release to P"&amp;"rod""), ""Release to Prod"", """")))))))"),"")</f>
        <v/>
      </c>
    </row>
    <row r="831">
      <c r="A831" s="71"/>
      <c r="B831" s="29"/>
      <c r="C831" s="71"/>
      <c r="D831" s="72"/>
      <c r="E831" s="73"/>
      <c r="F831" s="71"/>
      <c r="G831" s="57" t="str">
        <f t="shared" si="1"/>
        <v/>
      </c>
      <c r="H831" s="71"/>
      <c r="I831" s="71"/>
      <c r="J831" s="27" t="str">
        <f t="shared" si="4"/>
        <v/>
      </c>
      <c r="K831" s="71"/>
      <c r="L831" s="27" t="str">
        <f t="shared" si="5"/>
        <v/>
      </c>
      <c r="M831" s="74"/>
      <c r="N831" s="71"/>
      <c r="O831" s="71"/>
      <c r="P831" s="71"/>
      <c r="Q831" s="71"/>
      <c r="R831" s="27" t="str">
        <f>IFERROR(__xludf.DUMMYFUNCTION("IF(REGEXMATCH(N831, ""PRIORITY: Low""), ""Low"", IF(REGEXMATCH(N831, ""PRIORITY: Medium""), ""Medium"", IF(REGEXMATCH(N831, ""PRIORITY: High""), ""High"", """")))
"),"")</f>
        <v/>
      </c>
      <c r="S831" s="27" t="str">
        <f>IFERROR(__xludf.DUMMYFUNCTION("IF(REGEXMATCH(N831, ""SKILL: Low""), ""Low"", IF(REGEXMATCH(N831, ""SKILL: Medium""), ""Medium"", IF(REGEXMATCH(N831, ""SKILL: High""), ""High"", """")))"),"")</f>
        <v/>
      </c>
      <c r="T831" s="27" t="str">
        <f>IFERROR(__xludf.DUMMYFUNCTION("IF(REGEXMATCH(N831, ""STATUS: Dev Complete - Awaiting QA""), ""Dev Complete - Awaiting QA"", IF(REGEXMATCH(N831, ""STATUS: Follow-Up Required""), ""Follow-Up Required"", IF(REGEXMATCH(N831, ""STATUS: In Progress""), ""In Progress"", IF(REGEXMATCH(N831, """&amp;"STATUS: In QA""), ""In QA"", IF(REGEXMATCH(N831, ""STATUS: Needs Customer Feedback""), ""Needs Customer Feedback"", IF(REGEXMATCH(N831, ""STATUS: QA Passed - Awaiting Release""), ""QA Passed - Awaiting Release"", IF(REGEXMATCH(N831, ""STATUS: Release to P"&amp;"rod""), ""Release to Prod"", """")))))))"),"")</f>
        <v/>
      </c>
    </row>
    <row r="832">
      <c r="A832" s="71"/>
      <c r="B832" s="29"/>
      <c r="C832" s="71"/>
      <c r="D832" s="72"/>
      <c r="E832" s="73"/>
      <c r="F832" s="71"/>
      <c r="G832" s="57" t="str">
        <f t="shared" si="1"/>
        <v/>
      </c>
      <c r="H832" s="71"/>
      <c r="I832" s="71"/>
      <c r="J832" s="27" t="str">
        <f t="shared" si="4"/>
        <v/>
      </c>
      <c r="K832" s="71"/>
      <c r="L832" s="27" t="str">
        <f t="shared" si="5"/>
        <v/>
      </c>
      <c r="M832" s="74"/>
      <c r="N832" s="71"/>
      <c r="O832" s="71"/>
      <c r="P832" s="71"/>
      <c r="Q832" s="71"/>
      <c r="R832" s="27" t="str">
        <f>IFERROR(__xludf.DUMMYFUNCTION("IF(REGEXMATCH(N832, ""PRIORITY: Low""), ""Low"", IF(REGEXMATCH(N832, ""PRIORITY: Medium""), ""Medium"", IF(REGEXMATCH(N832, ""PRIORITY: High""), ""High"", """")))
"),"")</f>
        <v/>
      </c>
      <c r="S832" s="27" t="str">
        <f>IFERROR(__xludf.DUMMYFUNCTION("IF(REGEXMATCH(N832, ""SKILL: Low""), ""Low"", IF(REGEXMATCH(N832, ""SKILL: Medium""), ""Medium"", IF(REGEXMATCH(N832, ""SKILL: High""), ""High"", """")))"),"")</f>
        <v/>
      </c>
      <c r="T832" s="27" t="str">
        <f>IFERROR(__xludf.DUMMYFUNCTION("IF(REGEXMATCH(N832, ""STATUS: Dev Complete - Awaiting QA""), ""Dev Complete - Awaiting QA"", IF(REGEXMATCH(N832, ""STATUS: Follow-Up Required""), ""Follow-Up Required"", IF(REGEXMATCH(N832, ""STATUS: In Progress""), ""In Progress"", IF(REGEXMATCH(N832, """&amp;"STATUS: In QA""), ""In QA"", IF(REGEXMATCH(N832, ""STATUS: Needs Customer Feedback""), ""Needs Customer Feedback"", IF(REGEXMATCH(N832, ""STATUS: QA Passed - Awaiting Release""), ""QA Passed - Awaiting Release"", IF(REGEXMATCH(N832, ""STATUS: Release to P"&amp;"rod""), ""Release to Prod"", """")))))))"),"")</f>
        <v/>
      </c>
    </row>
    <row r="833">
      <c r="A833" s="71"/>
      <c r="B833" s="29"/>
      <c r="C833" s="71"/>
      <c r="D833" s="72"/>
      <c r="E833" s="73"/>
      <c r="F833" s="71"/>
      <c r="G833" s="57" t="str">
        <f t="shared" si="1"/>
        <v/>
      </c>
      <c r="H833" s="71"/>
      <c r="I833" s="71"/>
      <c r="J833" s="27" t="str">
        <f t="shared" si="4"/>
        <v/>
      </c>
      <c r="K833" s="71"/>
      <c r="L833" s="27" t="str">
        <f t="shared" si="5"/>
        <v/>
      </c>
      <c r="M833" s="74"/>
      <c r="N833" s="71"/>
      <c r="O833" s="71"/>
      <c r="P833" s="71"/>
      <c r="Q833" s="71"/>
      <c r="R833" s="27" t="str">
        <f>IFERROR(__xludf.DUMMYFUNCTION("IF(REGEXMATCH(N833, ""PRIORITY: Low""), ""Low"", IF(REGEXMATCH(N833, ""PRIORITY: Medium""), ""Medium"", IF(REGEXMATCH(N833, ""PRIORITY: High""), ""High"", """")))
"),"")</f>
        <v/>
      </c>
      <c r="S833" s="27" t="str">
        <f>IFERROR(__xludf.DUMMYFUNCTION("IF(REGEXMATCH(N833, ""SKILL: Low""), ""Low"", IF(REGEXMATCH(N833, ""SKILL: Medium""), ""Medium"", IF(REGEXMATCH(N833, ""SKILL: High""), ""High"", """")))"),"")</f>
        <v/>
      </c>
      <c r="T833" s="27" t="str">
        <f>IFERROR(__xludf.DUMMYFUNCTION("IF(REGEXMATCH(N833, ""STATUS: Dev Complete - Awaiting QA""), ""Dev Complete - Awaiting QA"", IF(REGEXMATCH(N833, ""STATUS: Follow-Up Required""), ""Follow-Up Required"", IF(REGEXMATCH(N833, ""STATUS: In Progress""), ""In Progress"", IF(REGEXMATCH(N833, """&amp;"STATUS: In QA""), ""In QA"", IF(REGEXMATCH(N833, ""STATUS: Needs Customer Feedback""), ""Needs Customer Feedback"", IF(REGEXMATCH(N833, ""STATUS: QA Passed - Awaiting Release""), ""QA Passed - Awaiting Release"", IF(REGEXMATCH(N833, ""STATUS: Release to P"&amp;"rod""), ""Release to Prod"", """")))))))"),"")</f>
        <v/>
      </c>
    </row>
    <row r="834">
      <c r="A834" s="71"/>
      <c r="B834" s="29"/>
      <c r="C834" s="71"/>
      <c r="D834" s="72"/>
      <c r="E834" s="73"/>
      <c r="F834" s="71"/>
      <c r="G834" s="57" t="str">
        <f t="shared" si="1"/>
        <v/>
      </c>
      <c r="H834" s="71"/>
      <c r="I834" s="71"/>
      <c r="J834" s="27" t="str">
        <f t="shared" si="4"/>
        <v/>
      </c>
      <c r="K834" s="71"/>
      <c r="L834" s="27" t="str">
        <f t="shared" si="5"/>
        <v/>
      </c>
      <c r="M834" s="74"/>
      <c r="N834" s="71"/>
      <c r="O834" s="71"/>
      <c r="P834" s="71"/>
      <c r="Q834" s="71"/>
      <c r="R834" s="27" t="str">
        <f>IFERROR(__xludf.DUMMYFUNCTION("IF(REGEXMATCH(N834, ""PRIORITY: Low""), ""Low"", IF(REGEXMATCH(N834, ""PRIORITY: Medium""), ""Medium"", IF(REGEXMATCH(N834, ""PRIORITY: High""), ""High"", """")))
"),"")</f>
        <v/>
      </c>
      <c r="S834" s="27" t="str">
        <f>IFERROR(__xludf.DUMMYFUNCTION("IF(REGEXMATCH(N834, ""SKILL: Low""), ""Low"", IF(REGEXMATCH(N834, ""SKILL: Medium""), ""Medium"", IF(REGEXMATCH(N834, ""SKILL: High""), ""High"", """")))"),"")</f>
        <v/>
      </c>
      <c r="T834" s="27" t="str">
        <f>IFERROR(__xludf.DUMMYFUNCTION("IF(REGEXMATCH(N834, ""STATUS: Dev Complete - Awaiting QA""), ""Dev Complete - Awaiting QA"", IF(REGEXMATCH(N834, ""STATUS: Follow-Up Required""), ""Follow-Up Required"", IF(REGEXMATCH(N834, ""STATUS: In Progress""), ""In Progress"", IF(REGEXMATCH(N834, """&amp;"STATUS: In QA""), ""In QA"", IF(REGEXMATCH(N834, ""STATUS: Needs Customer Feedback""), ""Needs Customer Feedback"", IF(REGEXMATCH(N834, ""STATUS: QA Passed - Awaiting Release""), ""QA Passed - Awaiting Release"", IF(REGEXMATCH(N834, ""STATUS: Release to P"&amp;"rod""), ""Release to Prod"", """")))))))"),"")</f>
        <v/>
      </c>
    </row>
    <row r="835">
      <c r="A835" s="71"/>
      <c r="B835" s="29"/>
      <c r="C835" s="71"/>
      <c r="D835" s="72"/>
      <c r="E835" s="73"/>
      <c r="F835" s="71"/>
      <c r="G835" s="57" t="str">
        <f t="shared" si="1"/>
        <v/>
      </c>
      <c r="H835" s="71"/>
      <c r="I835" s="71"/>
      <c r="J835" s="27" t="str">
        <f t="shared" si="4"/>
        <v/>
      </c>
      <c r="K835" s="71"/>
      <c r="L835" s="27" t="str">
        <f t="shared" si="5"/>
        <v/>
      </c>
      <c r="M835" s="74"/>
      <c r="N835" s="71"/>
      <c r="O835" s="71"/>
      <c r="P835" s="71"/>
      <c r="Q835" s="71"/>
      <c r="R835" s="27" t="str">
        <f>IFERROR(__xludf.DUMMYFUNCTION("IF(REGEXMATCH(N835, ""PRIORITY: Low""), ""Low"", IF(REGEXMATCH(N835, ""PRIORITY: Medium""), ""Medium"", IF(REGEXMATCH(N835, ""PRIORITY: High""), ""High"", """")))
"),"")</f>
        <v/>
      </c>
      <c r="S835" s="27" t="str">
        <f>IFERROR(__xludf.DUMMYFUNCTION("IF(REGEXMATCH(N835, ""SKILL: Low""), ""Low"", IF(REGEXMATCH(N835, ""SKILL: Medium""), ""Medium"", IF(REGEXMATCH(N835, ""SKILL: High""), ""High"", """")))"),"")</f>
        <v/>
      </c>
      <c r="T835" s="27" t="str">
        <f>IFERROR(__xludf.DUMMYFUNCTION("IF(REGEXMATCH(N835, ""STATUS: Dev Complete - Awaiting QA""), ""Dev Complete - Awaiting QA"", IF(REGEXMATCH(N835, ""STATUS: Follow-Up Required""), ""Follow-Up Required"", IF(REGEXMATCH(N835, ""STATUS: In Progress""), ""In Progress"", IF(REGEXMATCH(N835, """&amp;"STATUS: In QA""), ""In QA"", IF(REGEXMATCH(N835, ""STATUS: Needs Customer Feedback""), ""Needs Customer Feedback"", IF(REGEXMATCH(N835, ""STATUS: QA Passed - Awaiting Release""), ""QA Passed - Awaiting Release"", IF(REGEXMATCH(N835, ""STATUS: Release to P"&amp;"rod""), ""Release to Prod"", """")))))))"),"")</f>
        <v/>
      </c>
    </row>
    <row r="836">
      <c r="A836" s="71"/>
      <c r="B836" s="29"/>
      <c r="C836" s="71"/>
      <c r="D836" s="72"/>
      <c r="E836" s="73"/>
      <c r="F836" s="71"/>
      <c r="G836" s="57" t="str">
        <f t="shared" si="1"/>
        <v/>
      </c>
      <c r="H836" s="71"/>
      <c r="I836" s="71"/>
      <c r="J836" s="27" t="str">
        <f t="shared" si="4"/>
        <v/>
      </c>
      <c r="K836" s="71"/>
      <c r="L836" s="27" t="str">
        <f t="shared" si="5"/>
        <v/>
      </c>
      <c r="M836" s="74"/>
      <c r="N836" s="71"/>
      <c r="O836" s="71"/>
      <c r="P836" s="71"/>
      <c r="Q836" s="71"/>
      <c r="R836" s="27" t="str">
        <f>IFERROR(__xludf.DUMMYFUNCTION("IF(REGEXMATCH(N836, ""PRIORITY: Low""), ""Low"", IF(REGEXMATCH(N836, ""PRIORITY: Medium""), ""Medium"", IF(REGEXMATCH(N836, ""PRIORITY: High""), ""High"", """")))
"),"")</f>
        <v/>
      </c>
      <c r="S836" s="27" t="str">
        <f>IFERROR(__xludf.DUMMYFUNCTION("IF(REGEXMATCH(N836, ""SKILL: Low""), ""Low"", IF(REGEXMATCH(N836, ""SKILL: Medium""), ""Medium"", IF(REGEXMATCH(N836, ""SKILL: High""), ""High"", """")))"),"")</f>
        <v/>
      </c>
      <c r="T836" s="27" t="str">
        <f>IFERROR(__xludf.DUMMYFUNCTION("IF(REGEXMATCH(N836, ""STATUS: Dev Complete - Awaiting QA""), ""Dev Complete - Awaiting QA"", IF(REGEXMATCH(N836, ""STATUS: Follow-Up Required""), ""Follow-Up Required"", IF(REGEXMATCH(N836, ""STATUS: In Progress""), ""In Progress"", IF(REGEXMATCH(N836, """&amp;"STATUS: In QA""), ""In QA"", IF(REGEXMATCH(N836, ""STATUS: Needs Customer Feedback""), ""Needs Customer Feedback"", IF(REGEXMATCH(N836, ""STATUS: QA Passed - Awaiting Release""), ""QA Passed - Awaiting Release"", IF(REGEXMATCH(N836, ""STATUS: Release to P"&amp;"rod""), ""Release to Prod"", """")))))))"),"")</f>
        <v/>
      </c>
    </row>
    <row r="837">
      <c r="A837" s="71"/>
      <c r="B837" s="29"/>
      <c r="C837" s="71"/>
      <c r="D837" s="72"/>
      <c r="E837" s="73"/>
      <c r="F837" s="71"/>
      <c r="G837" s="57" t="str">
        <f t="shared" si="1"/>
        <v/>
      </c>
      <c r="H837" s="71"/>
      <c r="I837" s="71"/>
      <c r="J837" s="27" t="str">
        <f t="shared" si="4"/>
        <v/>
      </c>
      <c r="K837" s="71"/>
      <c r="L837" s="27" t="str">
        <f t="shared" si="5"/>
        <v/>
      </c>
      <c r="M837" s="74"/>
      <c r="N837" s="71"/>
      <c r="O837" s="71"/>
      <c r="P837" s="71"/>
      <c r="Q837" s="71"/>
      <c r="R837" s="27" t="str">
        <f>IFERROR(__xludf.DUMMYFUNCTION("IF(REGEXMATCH(N837, ""PRIORITY: Low""), ""Low"", IF(REGEXMATCH(N837, ""PRIORITY: Medium""), ""Medium"", IF(REGEXMATCH(N837, ""PRIORITY: High""), ""High"", """")))
"),"")</f>
        <v/>
      </c>
      <c r="S837" s="27" t="str">
        <f>IFERROR(__xludf.DUMMYFUNCTION("IF(REGEXMATCH(N837, ""SKILL: Low""), ""Low"", IF(REGEXMATCH(N837, ""SKILL: Medium""), ""Medium"", IF(REGEXMATCH(N837, ""SKILL: High""), ""High"", """")))"),"")</f>
        <v/>
      </c>
      <c r="T837" s="27" t="str">
        <f>IFERROR(__xludf.DUMMYFUNCTION("IF(REGEXMATCH(N837, ""STATUS: Dev Complete - Awaiting QA""), ""Dev Complete - Awaiting QA"", IF(REGEXMATCH(N837, ""STATUS: Follow-Up Required""), ""Follow-Up Required"", IF(REGEXMATCH(N837, ""STATUS: In Progress""), ""In Progress"", IF(REGEXMATCH(N837, """&amp;"STATUS: In QA""), ""In QA"", IF(REGEXMATCH(N837, ""STATUS: Needs Customer Feedback""), ""Needs Customer Feedback"", IF(REGEXMATCH(N837, ""STATUS: QA Passed - Awaiting Release""), ""QA Passed - Awaiting Release"", IF(REGEXMATCH(N837, ""STATUS: Release to P"&amp;"rod""), ""Release to Prod"", """")))))))"),"")</f>
        <v/>
      </c>
    </row>
    <row r="838">
      <c r="A838" s="71"/>
      <c r="B838" s="29"/>
      <c r="C838" s="71"/>
      <c r="D838" s="72"/>
      <c r="E838" s="73"/>
      <c r="F838" s="71"/>
      <c r="G838" s="57" t="str">
        <f t="shared" si="1"/>
        <v/>
      </c>
      <c r="H838" s="71"/>
      <c r="I838" s="71"/>
      <c r="J838" s="27" t="str">
        <f t="shared" si="4"/>
        <v/>
      </c>
      <c r="K838" s="71"/>
      <c r="L838" s="27" t="str">
        <f t="shared" si="5"/>
        <v/>
      </c>
      <c r="M838" s="74"/>
      <c r="N838" s="71"/>
      <c r="O838" s="71"/>
      <c r="P838" s="71"/>
      <c r="Q838" s="71"/>
      <c r="R838" s="27" t="str">
        <f>IFERROR(__xludf.DUMMYFUNCTION("IF(REGEXMATCH(N838, ""PRIORITY: Low""), ""Low"", IF(REGEXMATCH(N838, ""PRIORITY: Medium""), ""Medium"", IF(REGEXMATCH(N838, ""PRIORITY: High""), ""High"", """")))
"),"")</f>
        <v/>
      </c>
      <c r="S838" s="27" t="str">
        <f>IFERROR(__xludf.DUMMYFUNCTION("IF(REGEXMATCH(N838, ""SKILL: Low""), ""Low"", IF(REGEXMATCH(N838, ""SKILL: Medium""), ""Medium"", IF(REGEXMATCH(N838, ""SKILL: High""), ""High"", """")))"),"")</f>
        <v/>
      </c>
      <c r="T838" s="27" t="str">
        <f>IFERROR(__xludf.DUMMYFUNCTION("IF(REGEXMATCH(N838, ""STATUS: Dev Complete - Awaiting QA""), ""Dev Complete - Awaiting QA"", IF(REGEXMATCH(N838, ""STATUS: Follow-Up Required""), ""Follow-Up Required"", IF(REGEXMATCH(N838, ""STATUS: In Progress""), ""In Progress"", IF(REGEXMATCH(N838, """&amp;"STATUS: In QA""), ""In QA"", IF(REGEXMATCH(N838, ""STATUS: Needs Customer Feedback""), ""Needs Customer Feedback"", IF(REGEXMATCH(N838, ""STATUS: QA Passed - Awaiting Release""), ""QA Passed - Awaiting Release"", IF(REGEXMATCH(N838, ""STATUS: Release to P"&amp;"rod""), ""Release to Prod"", """")))))))"),"")</f>
        <v/>
      </c>
    </row>
    <row r="839">
      <c r="A839" s="71"/>
      <c r="B839" s="29"/>
      <c r="C839" s="71"/>
      <c r="D839" s="72"/>
      <c r="E839" s="73"/>
      <c r="F839" s="71"/>
      <c r="G839" s="57" t="str">
        <f t="shared" si="1"/>
        <v/>
      </c>
      <c r="H839" s="71"/>
      <c r="I839" s="71"/>
      <c r="J839" s="27" t="str">
        <f t="shared" si="4"/>
        <v/>
      </c>
      <c r="K839" s="71"/>
      <c r="L839" s="27" t="str">
        <f t="shared" si="5"/>
        <v/>
      </c>
      <c r="M839" s="74"/>
      <c r="N839" s="71"/>
      <c r="O839" s="71"/>
      <c r="P839" s="71"/>
      <c r="Q839" s="71"/>
      <c r="R839" s="27" t="str">
        <f>IFERROR(__xludf.DUMMYFUNCTION("IF(REGEXMATCH(N839, ""PRIORITY: Low""), ""Low"", IF(REGEXMATCH(N839, ""PRIORITY: Medium""), ""Medium"", IF(REGEXMATCH(N839, ""PRIORITY: High""), ""High"", """")))
"),"")</f>
        <v/>
      </c>
      <c r="S839" s="27" t="str">
        <f>IFERROR(__xludf.DUMMYFUNCTION("IF(REGEXMATCH(N839, ""SKILL: Low""), ""Low"", IF(REGEXMATCH(N839, ""SKILL: Medium""), ""Medium"", IF(REGEXMATCH(N839, ""SKILL: High""), ""High"", """")))"),"")</f>
        <v/>
      </c>
      <c r="T839" s="27" t="str">
        <f>IFERROR(__xludf.DUMMYFUNCTION("IF(REGEXMATCH(N839, ""STATUS: Dev Complete - Awaiting QA""), ""Dev Complete - Awaiting QA"", IF(REGEXMATCH(N839, ""STATUS: Follow-Up Required""), ""Follow-Up Required"", IF(REGEXMATCH(N839, ""STATUS: In Progress""), ""In Progress"", IF(REGEXMATCH(N839, """&amp;"STATUS: In QA""), ""In QA"", IF(REGEXMATCH(N839, ""STATUS: Needs Customer Feedback""), ""Needs Customer Feedback"", IF(REGEXMATCH(N839, ""STATUS: QA Passed - Awaiting Release""), ""QA Passed - Awaiting Release"", IF(REGEXMATCH(N839, ""STATUS: Release to P"&amp;"rod""), ""Release to Prod"", """")))))))"),"")</f>
        <v/>
      </c>
    </row>
    <row r="840">
      <c r="A840" s="71"/>
      <c r="B840" s="29"/>
      <c r="C840" s="71"/>
      <c r="D840" s="72"/>
      <c r="E840" s="73"/>
      <c r="F840" s="71"/>
      <c r="G840" s="57" t="str">
        <f t="shared" si="1"/>
        <v/>
      </c>
      <c r="H840" s="71"/>
      <c r="I840" s="71"/>
      <c r="J840" s="27" t="str">
        <f t="shared" si="4"/>
        <v/>
      </c>
      <c r="K840" s="71"/>
      <c r="L840" s="27" t="str">
        <f t="shared" si="5"/>
        <v/>
      </c>
      <c r="M840" s="74"/>
      <c r="N840" s="71"/>
      <c r="O840" s="71"/>
      <c r="P840" s="71"/>
      <c r="Q840" s="71"/>
      <c r="R840" s="27" t="str">
        <f>IFERROR(__xludf.DUMMYFUNCTION("IF(REGEXMATCH(N840, ""PRIORITY: Low""), ""Low"", IF(REGEXMATCH(N840, ""PRIORITY: Medium""), ""Medium"", IF(REGEXMATCH(N840, ""PRIORITY: High""), ""High"", """")))
"),"")</f>
        <v/>
      </c>
      <c r="S840" s="27" t="str">
        <f>IFERROR(__xludf.DUMMYFUNCTION("IF(REGEXMATCH(N840, ""SKILL: Low""), ""Low"", IF(REGEXMATCH(N840, ""SKILL: Medium""), ""Medium"", IF(REGEXMATCH(N840, ""SKILL: High""), ""High"", """")))"),"")</f>
        <v/>
      </c>
      <c r="T840" s="27" t="str">
        <f>IFERROR(__xludf.DUMMYFUNCTION("IF(REGEXMATCH(N840, ""STATUS: Dev Complete - Awaiting QA""), ""Dev Complete - Awaiting QA"", IF(REGEXMATCH(N840, ""STATUS: Follow-Up Required""), ""Follow-Up Required"", IF(REGEXMATCH(N840, ""STATUS: In Progress""), ""In Progress"", IF(REGEXMATCH(N840, """&amp;"STATUS: In QA""), ""In QA"", IF(REGEXMATCH(N840, ""STATUS: Needs Customer Feedback""), ""Needs Customer Feedback"", IF(REGEXMATCH(N840, ""STATUS: QA Passed - Awaiting Release""), ""QA Passed - Awaiting Release"", IF(REGEXMATCH(N840, ""STATUS: Release to P"&amp;"rod""), ""Release to Prod"", """")))))))"),"")</f>
        <v/>
      </c>
    </row>
    <row r="841">
      <c r="A841" s="71"/>
      <c r="B841" s="29"/>
      <c r="C841" s="71"/>
      <c r="D841" s="72"/>
      <c r="E841" s="73"/>
      <c r="F841" s="71"/>
      <c r="G841" s="57" t="str">
        <f t="shared" si="1"/>
        <v/>
      </c>
      <c r="H841" s="71"/>
      <c r="I841" s="71"/>
      <c r="J841" s="27" t="str">
        <f t="shared" si="4"/>
        <v/>
      </c>
      <c r="K841" s="71"/>
      <c r="L841" s="27" t="str">
        <f t="shared" si="5"/>
        <v/>
      </c>
      <c r="M841" s="74"/>
      <c r="N841" s="71"/>
      <c r="O841" s="71"/>
      <c r="P841" s="71"/>
      <c r="Q841" s="71"/>
      <c r="R841" s="27" t="str">
        <f>IFERROR(__xludf.DUMMYFUNCTION("IF(REGEXMATCH(N841, ""PRIORITY: Low""), ""Low"", IF(REGEXMATCH(N841, ""PRIORITY: Medium""), ""Medium"", IF(REGEXMATCH(N841, ""PRIORITY: High""), ""High"", """")))
"),"")</f>
        <v/>
      </c>
      <c r="S841" s="27" t="str">
        <f>IFERROR(__xludf.DUMMYFUNCTION("IF(REGEXMATCH(N841, ""SKILL: Low""), ""Low"", IF(REGEXMATCH(N841, ""SKILL: Medium""), ""Medium"", IF(REGEXMATCH(N841, ""SKILL: High""), ""High"", """")))"),"")</f>
        <v/>
      </c>
      <c r="T841" s="27" t="str">
        <f>IFERROR(__xludf.DUMMYFUNCTION("IF(REGEXMATCH(N841, ""STATUS: Dev Complete - Awaiting QA""), ""Dev Complete - Awaiting QA"", IF(REGEXMATCH(N841, ""STATUS: Follow-Up Required""), ""Follow-Up Required"", IF(REGEXMATCH(N841, ""STATUS: In Progress""), ""In Progress"", IF(REGEXMATCH(N841, """&amp;"STATUS: In QA""), ""In QA"", IF(REGEXMATCH(N841, ""STATUS: Needs Customer Feedback""), ""Needs Customer Feedback"", IF(REGEXMATCH(N841, ""STATUS: QA Passed - Awaiting Release""), ""QA Passed - Awaiting Release"", IF(REGEXMATCH(N841, ""STATUS: Release to P"&amp;"rod""), ""Release to Prod"", """")))))))"),"")</f>
        <v/>
      </c>
    </row>
  </sheetData>
  <autoFilter ref="$A$1:$T$841">
    <filterColumn colId="4">
      <filters blank="1">
        <filter val="open"/>
      </filters>
    </filterColumn>
  </autoFilter>
  <conditionalFormatting sqref="R2:R841">
    <cfRule type="containsText" dxfId="0" priority="1" operator="containsText" text="High">
      <formula>NOT(ISERROR(SEARCH(("High"),(R2))))</formula>
    </cfRule>
  </conditionalFormatting>
  <conditionalFormatting sqref="R2:R841">
    <cfRule type="containsText" dxfId="1" priority="2" operator="containsText" text="Medium">
      <formula>NOT(ISERROR(SEARCH(("Medium"),(R2))))</formula>
    </cfRule>
  </conditionalFormatting>
  <conditionalFormatting sqref="R2:R841">
    <cfRule type="containsText" dxfId="2" priority="3" operator="containsText" text="Low">
      <formula>NOT(ISERROR(SEARCH(("Low"),(R2))))</formula>
    </cfRule>
  </conditionalFormatting>
  <conditionalFormatting sqref="E2:E841">
    <cfRule type="containsText" dxfId="3" priority="4" operator="containsText" text="closed">
      <formula>NOT(ISERROR(SEARCH(("closed"),(E2))))</formula>
    </cfRule>
  </conditionalFormatting>
  <conditionalFormatting sqref="E2:E841">
    <cfRule type="containsText" dxfId="4" priority="5" operator="containsText" text="open">
      <formula>NOT(ISERROR(SEARCH(("open"),(E2))))</formula>
    </cfRule>
  </conditionalFormatting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7"/>
    <hyperlink r:id="rId77" ref="Q78"/>
    <hyperlink r:id="rId78" ref="Q79"/>
    <hyperlink r:id="rId79" ref="Q80"/>
    <hyperlink r:id="rId80" ref="Q81"/>
    <hyperlink r:id="rId81" ref="Q82"/>
    <hyperlink r:id="rId82" ref="Q83"/>
    <hyperlink r:id="rId83" ref="Q84"/>
    <hyperlink r:id="rId84" ref="Q85"/>
    <hyperlink r:id="rId85" ref="Q86"/>
    <hyperlink r:id="rId86" ref="Q87"/>
    <hyperlink r:id="rId87" ref="Q88"/>
    <hyperlink r:id="rId88" ref="Q89"/>
    <hyperlink r:id="rId89" ref="Q90"/>
    <hyperlink r:id="rId90" ref="Q91"/>
    <hyperlink r:id="rId91" ref="Q92"/>
    <hyperlink r:id="rId92" ref="Q93"/>
    <hyperlink r:id="rId93" ref="Q94"/>
    <hyperlink r:id="rId94" ref="Q95"/>
    <hyperlink r:id="rId95" ref="Q96"/>
    <hyperlink r:id="rId96" ref="Q97"/>
    <hyperlink r:id="rId97" ref="Q98"/>
    <hyperlink r:id="rId98" ref="Q99"/>
    <hyperlink r:id="rId99" ref="Q100"/>
    <hyperlink r:id="rId100" ref="Q101"/>
    <hyperlink r:id="rId101" ref="Q102"/>
    <hyperlink r:id="rId102" ref="Q103"/>
    <hyperlink r:id="rId103" ref="Q104"/>
    <hyperlink r:id="rId104" ref="Q105"/>
    <hyperlink r:id="rId105" ref="Q106"/>
    <hyperlink r:id="rId106" ref="Q107"/>
    <hyperlink r:id="rId107" ref="Q108"/>
    <hyperlink r:id="rId108" ref="Q109"/>
    <hyperlink r:id="rId109" ref="Q110"/>
    <hyperlink r:id="rId110" ref="Q111"/>
    <hyperlink r:id="rId111" ref="Q112"/>
    <hyperlink r:id="rId112" ref="Q113"/>
    <hyperlink r:id="rId113" ref="Q114"/>
    <hyperlink r:id="rId114" ref="Q115"/>
    <hyperlink r:id="rId115" ref="Q116"/>
    <hyperlink r:id="rId116" ref="Q117"/>
    <hyperlink r:id="rId117" ref="Q118"/>
    <hyperlink r:id="rId118" ref="Q119"/>
    <hyperlink r:id="rId119" ref="Q120"/>
    <hyperlink r:id="rId120" ref="Q121"/>
    <hyperlink r:id="rId121" ref="Q122"/>
    <hyperlink r:id="rId122" ref="Q123"/>
    <hyperlink r:id="rId123" ref="Q124"/>
    <hyperlink r:id="rId124" ref="Q125"/>
    <hyperlink r:id="rId125" ref="Q126"/>
    <hyperlink r:id="rId126" ref="Q127"/>
    <hyperlink r:id="rId127" ref="Q128"/>
    <hyperlink r:id="rId128" ref="Q129"/>
    <hyperlink r:id="rId129" ref="Q130"/>
    <hyperlink r:id="rId130" ref="Q131"/>
    <hyperlink r:id="rId131" ref="Q132"/>
    <hyperlink r:id="rId132" ref="Q133"/>
    <hyperlink r:id="rId133" ref="Q134"/>
    <hyperlink r:id="rId134" ref="Q135"/>
    <hyperlink r:id="rId135" ref="Q136"/>
    <hyperlink r:id="rId136" ref="Q137"/>
    <hyperlink r:id="rId137" ref="Q138"/>
    <hyperlink r:id="rId138" ref="Q139"/>
    <hyperlink r:id="rId139" ref="Q140"/>
    <hyperlink r:id="rId140" ref="Q141"/>
    <hyperlink r:id="rId141" ref="Q142"/>
    <hyperlink r:id="rId142" ref="Q143"/>
    <hyperlink r:id="rId143" ref="Q144"/>
    <hyperlink r:id="rId144" ref="Q145"/>
    <hyperlink r:id="rId145" ref="Q146"/>
    <hyperlink r:id="rId146" ref="Q147"/>
    <hyperlink r:id="rId147" ref="Q148"/>
    <hyperlink r:id="rId148" ref="Q149"/>
    <hyperlink r:id="rId149" ref="Q150"/>
    <hyperlink r:id="rId150" ref="Q151"/>
    <hyperlink r:id="rId151" ref="Q152"/>
    <hyperlink r:id="rId152" ref="Q153"/>
    <hyperlink r:id="rId153" ref="Q154"/>
    <hyperlink r:id="rId154" ref="Q155"/>
    <hyperlink r:id="rId155" ref="Q156"/>
    <hyperlink r:id="rId156" ref="Q157"/>
    <hyperlink r:id="rId157" ref="Q158"/>
    <hyperlink r:id="rId158" ref="Q159"/>
    <hyperlink r:id="rId159" ref="Q160"/>
    <hyperlink r:id="rId160" ref="Q161"/>
    <hyperlink r:id="rId161" ref="Q162"/>
    <hyperlink r:id="rId162" ref="Q163"/>
    <hyperlink r:id="rId163" ref="Q164"/>
    <hyperlink r:id="rId164" ref="Q165"/>
    <hyperlink r:id="rId165" ref="Q166"/>
    <hyperlink r:id="rId166" ref="Q167"/>
    <hyperlink r:id="rId167" ref="Q168"/>
    <hyperlink r:id="rId168" ref="Q169"/>
    <hyperlink r:id="rId169" ref="Q170"/>
    <hyperlink r:id="rId170" ref="Q171"/>
    <hyperlink r:id="rId171" ref="Q172"/>
    <hyperlink r:id="rId172" ref="Q173"/>
    <hyperlink r:id="rId173" ref="Q174"/>
    <hyperlink r:id="rId174" ref="Q175"/>
    <hyperlink r:id="rId175" ref="Q176"/>
    <hyperlink r:id="rId176" ref="Q177"/>
    <hyperlink r:id="rId177" ref="Q178"/>
    <hyperlink r:id="rId178" ref="Q179"/>
    <hyperlink r:id="rId179" ref="Q180"/>
    <hyperlink r:id="rId180" ref="Q181"/>
    <hyperlink r:id="rId181" ref="Q182"/>
    <hyperlink r:id="rId182" ref="Q183"/>
    <hyperlink r:id="rId183" ref="Q184"/>
    <hyperlink r:id="rId184" ref="Q185"/>
    <hyperlink r:id="rId185" ref="Q186"/>
    <hyperlink r:id="rId186" ref="Q187"/>
    <hyperlink r:id="rId187" ref="Q188"/>
    <hyperlink r:id="rId188" ref="Q189"/>
    <hyperlink r:id="rId189" ref="Q190"/>
    <hyperlink r:id="rId190" ref="Q191"/>
    <hyperlink r:id="rId191" ref="Q192"/>
    <hyperlink r:id="rId192" ref="Q193"/>
    <hyperlink r:id="rId193" ref="Q194"/>
    <hyperlink r:id="rId194" ref="Q195"/>
    <hyperlink r:id="rId195" ref="Q196"/>
    <hyperlink r:id="rId196" ref="Q197"/>
    <hyperlink r:id="rId197" ref="Q198"/>
    <hyperlink r:id="rId198" ref="Q199"/>
    <hyperlink r:id="rId199" ref="Q200"/>
    <hyperlink r:id="rId200" ref="Q201"/>
    <hyperlink r:id="rId201" ref="Q202"/>
    <hyperlink r:id="rId202" ref="Q203"/>
    <hyperlink r:id="rId203" ref="Q204"/>
    <hyperlink r:id="rId204" ref="Q205"/>
    <hyperlink r:id="rId205" ref="Q206"/>
    <hyperlink r:id="rId206" ref="Q207"/>
    <hyperlink r:id="rId207" ref="Q208"/>
    <hyperlink r:id="rId208" ref="Q209"/>
    <hyperlink r:id="rId209" ref="Q210"/>
    <hyperlink r:id="rId210" ref="Q211"/>
    <hyperlink r:id="rId211" ref="Q212"/>
    <hyperlink r:id="rId212" ref="Q213"/>
    <hyperlink r:id="rId213" ref="Q214"/>
    <hyperlink r:id="rId214" ref="Q215"/>
    <hyperlink r:id="rId215" ref="Q216"/>
    <hyperlink r:id="rId216" ref="Q217"/>
    <hyperlink r:id="rId217" ref="Q218"/>
    <hyperlink r:id="rId218" ref="Q219"/>
    <hyperlink r:id="rId219" ref="Q220"/>
    <hyperlink r:id="rId220" ref="Q221"/>
    <hyperlink r:id="rId221" ref="Q222"/>
    <hyperlink r:id="rId222" ref="Q223"/>
    <hyperlink r:id="rId223" ref="Q224"/>
    <hyperlink r:id="rId224" ref="Q225"/>
    <hyperlink r:id="rId225" ref="Q226"/>
    <hyperlink r:id="rId226" ref="Q227"/>
    <hyperlink r:id="rId227" ref="Q228"/>
    <hyperlink r:id="rId228" ref="Q229"/>
    <hyperlink r:id="rId229" ref="Q230"/>
    <hyperlink r:id="rId230" ref="Q231"/>
    <hyperlink r:id="rId231" ref="Q232"/>
    <hyperlink r:id="rId232" ref="Q233"/>
    <hyperlink r:id="rId233" ref="Q234"/>
    <hyperlink r:id="rId234" ref="Q235"/>
    <hyperlink r:id="rId235" ref="Q236"/>
    <hyperlink r:id="rId236" ref="Q237"/>
    <hyperlink r:id="rId237" ref="Q238"/>
    <hyperlink r:id="rId238" ref="Q239"/>
    <hyperlink r:id="rId239" ref="Q240"/>
    <hyperlink r:id="rId240" ref="Q241"/>
    <hyperlink r:id="rId241" ref="Q242"/>
    <hyperlink r:id="rId242" ref="Q243"/>
    <hyperlink r:id="rId243" ref="Q244"/>
    <hyperlink r:id="rId244" ref="Q245"/>
    <hyperlink r:id="rId245" ref="Q246"/>
    <hyperlink r:id="rId246" ref="Q247"/>
    <hyperlink r:id="rId247" ref="Q248"/>
    <hyperlink r:id="rId248" ref="Q249"/>
    <hyperlink r:id="rId249" ref="Q250"/>
    <hyperlink r:id="rId250" ref="Q251"/>
    <hyperlink r:id="rId251" ref="Q252"/>
    <hyperlink r:id="rId252" ref="Q253"/>
    <hyperlink r:id="rId253" ref="Q254"/>
    <hyperlink r:id="rId254" ref="Q255"/>
    <hyperlink r:id="rId255" ref="Q256"/>
    <hyperlink r:id="rId256" ref="Q257"/>
    <hyperlink r:id="rId257" ref="Q258"/>
    <hyperlink r:id="rId258" ref="Q259"/>
    <hyperlink r:id="rId259" ref="Q260"/>
    <hyperlink r:id="rId260" ref="Q261"/>
    <hyperlink r:id="rId261" ref="Q262"/>
    <hyperlink r:id="rId262" ref="Q263"/>
    <hyperlink r:id="rId263" ref="Q264"/>
    <hyperlink r:id="rId264" ref="Q265"/>
    <hyperlink r:id="rId265" ref="Q266"/>
    <hyperlink r:id="rId266" ref="Q267"/>
    <hyperlink r:id="rId267" ref="Q268"/>
    <hyperlink r:id="rId268" ref="Q269"/>
    <hyperlink r:id="rId269" ref="Q270"/>
    <hyperlink r:id="rId270" ref="Q271"/>
    <hyperlink r:id="rId271" ref="Q272"/>
    <hyperlink r:id="rId272" ref="Q273"/>
    <hyperlink r:id="rId273" ref="Q274"/>
    <hyperlink r:id="rId274" ref="Q275"/>
    <hyperlink r:id="rId275" ref="Q276"/>
    <hyperlink r:id="rId276" ref="Q277"/>
    <hyperlink r:id="rId277" ref="Q278"/>
    <hyperlink r:id="rId278" ref="Q279"/>
    <hyperlink r:id="rId279" ref="Q280"/>
    <hyperlink r:id="rId280" ref="Q281"/>
    <hyperlink r:id="rId281" ref="Q282"/>
    <hyperlink r:id="rId282" ref="Q283"/>
    <hyperlink r:id="rId283" ref="Q284"/>
    <hyperlink r:id="rId284" ref="Q285"/>
    <hyperlink r:id="rId285" ref="Q286"/>
    <hyperlink r:id="rId286" ref="Q287"/>
    <hyperlink r:id="rId287" ref="Q288"/>
    <hyperlink r:id="rId288" ref="Q289"/>
    <hyperlink r:id="rId289" ref="Q290"/>
    <hyperlink r:id="rId290" ref="Q291"/>
    <hyperlink r:id="rId291" ref="Q292"/>
    <hyperlink r:id="rId292" ref="Q293"/>
    <hyperlink r:id="rId293" ref="Q294"/>
    <hyperlink r:id="rId294" ref="Q295"/>
    <hyperlink r:id="rId295" ref="Q296"/>
    <hyperlink r:id="rId296" ref="Q297"/>
    <hyperlink r:id="rId297" ref="Q298"/>
    <hyperlink r:id="rId298" ref="Q299"/>
    <hyperlink r:id="rId299" ref="Q300"/>
    <hyperlink r:id="rId300" ref="Q301"/>
    <hyperlink r:id="rId301" ref="Q302"/>
    <hyperlink r:id="rId302" ref="Q303"/>
    <hyperlink r:id="rId303" ref="Q304"/>
    <hyperlink r:id="rId304" ref="Q305"/>
    <hyperlink r:id="rId305" ref="Q306"/>
    <hyperlink r:id="rId306" ref="Q307"/>
    <hyperlink r:id="rId307" ref="Q308"/>
    <hyperlink r:id="rId308" ref="Q309"/>
    <hyperlink r:id="rId309" ref="Q310"/>
    <hyperlink r:id="rId310" ref="Q311"/>
    <hyperlink r:id="rId311" ref="Q312"/>
    <hyperlink r:id="rId312" ref="Q313"/>
    <hyperlink r:id="rId313" ref="Q314"/>
    <hyperlink r:id="rId314" ref="Q315"/>
    <hyperlink r:id="rId315" ref="Q316"/>
    <hyperlink r:id="rId316" ref="Q317"/>
    <hyperlink r:id="rId317" ref="Q318"/>
    <hyperlink r:id="rId318" ref="Q319"/>
    <hyperlink r:id="rId319" ref="Q320"/>
    <hyperlink r:id="rId320" ref="Q321"/>
    <hyperlink r:id="rId321" ref="Q322"/>
    <hyperlink r:id="rId322" ref="Q323"/>
    <hyperlink r:id="rId323" ref="Q324"/>
    <hyperlink r:id="rId324" ref="Q325"/>
    <hyperlink r:id="rId325" ref="Q326"/>
    <hyperlink r:id="rId326" ref="Q327"/>
    <hyperlink r:id="rId327" ref="Q328"/>
    <hyperlink r:id="rId328" ref="Q329"/>
    <hyperlink r:id="rId329" ref="Q330"/>
    <hyperlink r:id="rId330" ref="Q331"/>
    <hyperlink r:id="rId331" ref="Q332"/>
    <hyperlink r:id="rId332" ref="Q333"/>
    <hyperlink r:id="rId333" ref="Q334"/>
    <hyperlink r:id="rId334" ref="Q335"/>
    <hyperlink r:id="rId335" ref="Q336"/>
    <hyperlink r:id="rId336" ref="Q337"/>
    <hyperlink r:id="rId337" ref="Q338"/>
    <hyperlink r:id="rId338" ref="Q339"/>
    <hyperlink r:id="rId339" ref="Q340"/>
    <hyperlink r:id="rId340" ref="Q341"/>
    <hyperlink r:id="rId341" ref="Q342"/>
    <hyperlink r:id="rId342" ref="Q343"/>
    <hyperlink r:id="rId343" ref="Q344"/>
    <hyperlink r:id="rId344" ref="Q345"/>
    <hyperlink r:id="rId345" ref="Q346"/>
    <hyperlink r:id="rId346" ref="Q347"/>
    <hyperlink r:id="rId347" ref="Q348"/>
    <hyperlink r:id="rId348" ref="Q349"/>
    <hyperlink r:id="rId349" ref="Q350"/>
    <hyperlink r:id="rId350" ref="Q351"/>
    <hyperlink r:id="rId351" ref="Q352"/>
    <hyperlink r:id="rId352" ref="Q353"/>
    <hyperlink r:id="rId353" ref="Q354"/>
    <hyperlink r:id="rId354" ref="Q355"/>
    <hyperlink r:id="rId355" ref="Q356"/>
    <hyperlink r:id="rId356" ref="Q357"/>
    <hyperlink r:id="rId357" ref="Q358"/>
    <hyperlink r:id="rId358" ref="Q359"/>
    <hyperlink r:id="rId359" ref="Q360"/>
    <hyperlink r:id="rId360" ref="Q361"/>
    <hyperlink r:id="rId361" ref="Q362"/>
    <hyperlink r:id="rId362" ref="Q363"/>
    <hyperlink r:id="rId363" ref="Q364"/>
    <hyperlink r:id="rId364" ref="Q365"/>
    <hyperlink r:id="rId365" ref="Q366"/>
    <hyperlink r:id="rId366" ref="Q367"/>
    <hyperlink r:id="rId367" ref="Q368"/>
    <hyperlink r:id="rId368" ref="Q369"/>
    <hyperlink r:id="rId369" ref="Q370"/>
    <hyperlink r:id="rId370" ref="Q371"/>
    <hyperlink r:id="rId371" ref="Q372"/>
    <hyperlink r:id="rId372" ref="Q373"/>
    <hyperlink r:id="rId373" ref="Q374"/>
    <hyperlink r:id="rId374" ref="Q375"/>
    <hyperlink r:id="rId375" ref="Q376"/>
    <hyperlink r:id="rId376" ref="Q377"/>
    <hyperlink r:id="rId377" ref="Q378"/>
    <hyperlink r:id="rId378" ref="Q379"/>
    <hyperlink r:id="rId379" ref="Q380"/>
    <hyperlink r:id="rId380" ref="Q381"/>
    <hyperlink r:id="rId381" ref="Q382"/>
    <hyperlink r:id="rId382" ref="Q383"/>
    <hyperlink r:id="rId383" ref="Q384"/>
    <hyperlink r:id="rId384" ref="Q385"/>
    <hyperlink r:id="rId385" ref="Q386"/>
    <hyperlink r:id="rId386" ref="Q387"/>
    <hyperlink r:id="rId387" ref="Q388"/>
    <hyperlink r:id="rId388" ref="Q389"/>
    <hyperlink r:id="rId389" ref="Q390"/>
    <hyperlink r:id="rId390" ref="Q391"/>
    <hyperlink r:id="rId391" ref="Q392"/>
    <hyperlink r:id="rId392" ref="Q393"/>
    <hyperlink r:id="rId393" ref="Q394"/>
    <hyperlink r:id="rId394" ref="Q395"/>
    <hyperlink r:id="rId395" ref="Q396"/>
    <hyperlink r:id="rId396" ref="Q397"/>
    <hyperlink r:id="rId397" ref="Q398"/>
    <hyperlink r:id="rId398" ref="Q399"/>
    <hyperlink r:id="rId399" ref="Q400"/>
    <hyperlink r:id="rId400" ref="Q401"/>
    <hyperlink r:id="rId401" ref="Q402"/>
    <hyperlink r:id="rId402" ref="Q403"/>
    <hyperlink r:id="rId403" ref="Q404"/>
    <hyperlink r:id="rId404" ref="Q405"/>
    <hyperlink r:id="rId405" ref="Q406"/>
    <hyperlink r:id="rId406" ref="Q407"/>
    <hyperlink r:id="rId407" ref="Q408"/>
    <hyperlink r:id="rId408" ref="Q409"/>
    <hyperlink r:id="rId409" ref="Q410"/>
    <hyperlink r:id="rId410" ref="Q411"/>
    <hyperlink r:id="rId411" ref="Q412"/>
    <hyperlink r:id="rId412" ref="Q413"/>
    <hyperlink r:id="rId413" ref="Q414"/>
    <hyperlink r:id="rId414" ref="Q415"/>
    <hyperlink r:id="rId415" ref="Q416"/>
    <hyperlink r:id="rId416" ref="Q417"/>
    <hyperlink r:id="rId417" ref="Q418"/>
    <hyperlink r:id="rId418" ref="Q419"/>
    <hyperlink r:id="rId419" ref="Q420"/>
    <hyperlink r:id="rId420" ref="Q421"/>
    <hyperlink r:id="rId421" ref="Q422"/>
    <hyperlink r:id="rId422" ref="Q423"/>
    <hyperlink r:id="rId423" ref="Q424"/>
    <hyperlink r:id="rId424" ref="Q425"/>
    <hyperlink r:id="rId425" ref="Q426"/>
    <hyperlink r:id="rId426" ref="Q427"/>
    <hyperlink r:id="rId427" ref="Q428"/>
    <hyperlink r:id="rId428" ref="Q429"/>
    <hyperlink r:id="rId429" ref="Q430"/>
    <hyperlink r:id="rId430" ref="Q431"/>
    <hyperlink r:id="rId431" ref="Q432"/>
    <hyperlink r:id="rId432" ref="Q433"/>
    <hyperlink r:id="rId433" ref="Q434"/>
    <hyperlink r:id="rId434" ref="Q435"/>
    <hyperlink r:id="rId435" ref="Q436"/>
    <hyperlink r:id="rId436" ref="Q437"/>
    <hyperlink r:id="rId437" ref="Q438"/>
    <hyperlink r:id="rId438" ref="Q439"/>
    <hyperlink r:id="rId439" ref="Q440"/>
    <hyperlink r:id="rId440" ref="Q441"/>
    <hyperlink r:id="rId441" ref="Q442"/>
    <hyperlink r:id="rId442" ref="Q443"/>
    <hyperlink r:id="rId443" ref="Q444"/>
    <hyperlink r:id="rId444" ref="Q445"/>
    <hyperlink r:id="rId445" ref="Q446"/>
    <hyperlink r:id="rId446" ref="Q447"/>
    <hyperlink r:id="rId447" ref="Q448"/>
    <hyperlink r:id="rId448" ref="Q449"/>
    <hyperlink r:id="rId449" ref="Q450"/>
    <hyperlink r:id="rId450" ref="Q451"/>
    <hyperlink r:id="rId451" ref="Q452"/>
    <hyperlink r:id="rId452" ref="Q453"/>
    <hyperlink r:id="rId453" ref="Q454"/>
    <hyperlink r:id="rId454" ref="Q455"/>
    <hyperlink r:id="rId455" ref="Q456"/>
    <hyperlink r:id="rId456" ref="Q457"/>
    <hyperlink r:id="rId457" ref="Q458"/>
    <hyperlink r:id="rId458" ref="Q459"/>
    <hyperlink r:id="rId459" ref="Q460"/>
    <hyperlink r:id="rId460" ref="Q461"/>
    <hyperlink r:id="rId461" ref="Q462"/>
    <hyperlink r:id="rId462" ref="Q463"/>
    <hyperlink r:id="rId463" ref="Q464"/>
    <hyperlink r:id="rId464" ref="Q465"/>
    <hyperlink r:id="rId465" ref="Q466"/>
    <hyperlink r:id="rId466" ref="Q467"/>
    <hyperlink r:id="rId467" ref="Q468"/>
    <hyperlink r:id="rId468" ref="Q469"/>
    <hyperlink r:id="rId469" ref="Q470"/>
    <hyperlink r:id="rId470" ref="Q471"/>
    <hyperlink r:id="rId471" ref="Q472"/>
    <hyperlink r:id="rId472" ref="Q473"/>
    <hyperlink r:id="rId473" ref="Q474"/>
    <hyperlink r:id="rId474" ref="Q475"/>
    <hyperlink r:id="rId475" ref="Q476"/>
    <hyperlink r:id="rId476" ref="Q477"/>
    <hyperlink r:id="rId477" ref="Q478"/>
    <hyperlink r:id="rId478" ref="Q479"/>
    <hyperlink r:id="rId479" ref="Q480"/>
    <hyperlink r:id="rId480" ref="Q481"/>
    <hyperlink r:id="rId481" ref="Q482"/>
    <hyperlink r:id="rId482" ref="Q483"/>
    <hyperlink r:id="rId483" ref="Q484"/>
    <hyperlink r:id="rId484" ref="Q485"/>
    <hyperlink r:id="rId485" ref="Q486"/>
    <hyperlink r:id="rId486" ref="Q487"/>
    <hyperlink r:id="rId487" ref="Q488"/>
    <hyperlink r:id="rId488" ref="Q489"/>
    <hyperlink r:id="rId489" ref="Q490"/>
    <hyperlink r:id="rId490" ref="Q491"/>
    <hyperlink r:id="rId491" ref="Q492"/>
    <hyperlink r:id="rId492" ref="Q493"/>
    <hyperlink r:id="rId493" ref="Q494"/>
    <hyperlink r:id="rId494" ref="Q495"/>
    <hyperlink r:id="rId495" ref="Q496"/>
    <hyperlink r:id="rId496" ref="Q497"/>
    <hyperlink r:id="rId497" ref="Q498"/>
    <hyperlink r:id="rId498" ref="Q499"/>
    <hyperlink r:id="rId499" ref="Q500"/>
    <hyperlink r:id="rId500" ref="Q501"/>
    <hyperlink r:id="rId501" ref="Q502"/>
    <hyperlink r:id="rId502" ref="Q503"/>
    <hyperlink r:id="rId503" ref="Q504"/>
    <hyperlink r:id="rId504" ref="Q505"/>
    <hyperlink r:id="rId505" ref="Q506"/>
    <hyperlink r:id="rId506" ref="Q507"/>
    <hyperlink r:id="rId507" ref="Q508"/>
    <hyperlink r:id="rId508" ref="Q509"/>
    <hyperlink r:id="rId509" ref="Q510"/>
    <hyperlink r:id="rId510" ref="Q511"/>
    <hyperlink r:id="rId511" ref="Q512"/>
    <hyperlink r:id="rId512" ref="Q513"/>
    <hyperlink r:id="rId513" ref="Q514"/>
    <hyperlink r:id="rId514" ref="Q515"/>
    <hyperlink r:id="rId515" ref="Q516"/>
    <hyperlink r:id="rId516" ref="Q517"/>
    <hyperlink r:id="rId517" ref="Q518"/>
    <hyperlink r:id="rId518" ref="Q519"/>
    <hyperlink r:id="rId519" ref="Q520"/>
    <hyperlink r:id="rId520" ref="Q521"/>
    <hyperlink r:id="rId521" ref="Q522"/>
    <hyperlink r:id="rId522" ref="Q523"/>
    <hyperlink r:id="rId523" ref="Q524"/>
    <hyperlink r:id="rId524" ref="Q525"/>
    <hyperlink r:id="rId525" ref="Q526"/>
    <hyperlink r:id="rId526" ref="Q527"/>
    <hyperlink r:id="rId527" ref="Q528"/>
    <hyperlink r:id="rId528" ref="Q529"/>
    <hyperlink r:id="rId529" ref="Q530"/>
    <hyperlink r:id="rId530" ref="Q531"/>
    <hyperlink r:id="rId531" ref="Q532"/>
    <hyperlink r:id="rId532" ref="Q533"/>
    <hyperlink r:id="rId533" ref="Q534"/>
    <hyperlink r:id="rId534" ref="Q535"/>
    <hyperlink r:id="rId535" ref="Q536"/>
    <hyperlink r:id="rId536" ref="Q537"/>
    <hyperlink r:id="rId537" ref="Q538"/>
    <hyperlink r:id="rId538" ref="Q539"/>
    <hyperlink r:id="rId539" ref="Q540"/>
    <hyperlink r:id="rId540" ref="Q541"/>
    <hyperlink r:id="rId541" ref="Q542"/>
    <hyperlink r:id="rId542" ref="Q543"/>
    <hyperlink r:id="rId543" ref="Q544"/>
    <hyperlink r:id="rId544" ref="Q545"/>
    <hyperlink r:id="rId545" ref="Q546"/>
    <hyperlink r:id="rId546" ref="Q547"/>
    <hyperlink r:id="rId547" ref="Q548"/>
    <hyperlink r:id="rId548" ref="Q549"/>
    <hyperlink r:id="rId549" ref="Q550"/>
    <hyperlink r:id="rId550" ref="Q551"/>
    <hyperlink r:id="rId551" ref="Q552"/>
    <hyperlink r:id="rId552" ref="Q553"/>
    <hyperlink r:id="rId553" ref="Q554"/>
    <hyperlink r:id="rId554" ref="Q555"/>
    <hyperlink r:id="rId555" ref="Q556"/>
    <hyperlink r:id="rId556" ref="Q557"/>
    <hyperlink r:id="rId557" ref="Q558"/>
    <hyperlink r:id="rId558" ref="Q559"/>
    <hyperlink r:id="rId559" ref="Q560"/>
    <hyperlink r:id="rId560" ref="Q561"/>
    <hyperlink r:id="rId561" ref="Q562"/>
    <hyperlink r:id="rId562" ref="Q563"/>
    <hyperlink r:id="rId563" ref="Q564"/>
    <hyperlink r:id="rId564" ref="Q565"/>
    <hyperlink r:id="rId565" ref="Q566"/>
    <hyperlink r:id="rId566" ref="Q567"/>
    <hyperlink r:id="rId567" ref="Q568"/>
    <hyperlink r:id="rId568" ref="Q569"/>
    <hyperlink r:id="rId569" ref="Q570"/>
    <hyperlink r:id="rId570" ref="Q571"/>
    <hyperlink r:id="rId571" ref="Q572"/>
    <hyperlink r:id="rId572" ref="Q573"/>
    <hyperlink r:id="rId573" ref="Q574"/>
    <hyperlink r:id="rId574" ref="Q575"/>
    <hyperlink r:id="rId575" ref="Q576"/>
    <hyperlink r:id="rId576" ref="Q577"/>
    <hyperlink r:id="rId577" ref="Q578"/>
    <hyperlink r:id="rId578" ref="Q579"/>
    <hyperlink r:id="rId579" ref="Q580"/>
    <hyperlink r:id="rId580" ref="Q581"/>
    <hyperlink r:id="rId581" ref="Q582"/>
    <hyperlink r:id="rId582" ref="Q583"/>
    <hyperlink r:id="rId583" ref="Q584"/>
    <hyperlink r:id="rId584" ref="Q585"/>
    <hyperlink r:id="rId585" ref="Q586"/>
    <hyperlink r:id="rId586" ref="Q587"/>
    <hyperlink r:id="rId587" ref="Q588"/>
    <hyperlink r:id="rId588" ref="Q589"/>
    <hyperlink r:id="rId589" ref="Q590"/>
    <hyperlink r:id="rId590" ref="Q591"/>
    <hyperlink r:id="rId591" ref="Q592"/>
    <hyperlink r:id="rId592" ref="Q593"/>
    <hyperlink r:id="rId593" ref="Q594"/>
    <hyperlink r:id="rId594" ref="Q595"/>
    <hyperlink r:id="rId595" ref="Q596"/>
    <hyperlink r:id="rId596" ref="Q597"/>
    <hyperlink r:id="rId597" ref="Q598"/>
    <hyperlink r:id="rId598" ref="Q599"/>
    <hyperlink r:id="rId599" ref="Q600"/>
    <hyperlink r:id="rId600" ref="Q601"/>
    <hyperlink r:id="rId601" ref="Q602"/>
    <hyperlink r:id="rId602" ref="Q603"/>
    <hyperlink r:id="rId603" ref="Q604"/>
    <hyperlink r:id="rId604" ref="Q605"/>
    <hyperlink r:id="rId605" ref="Q606"/>
    <hyperlink r:id="rId606" ref="Q607"/>
    <hyperlink r:id="rId607" ref="Q608"/>
    <hyperlink r:id="rId608" ref="Q609"/>
    <hyperlink r:id="rId609" ref="Q610"/>
    <hyperlink r:id="rId610" ref="Q611"/>
    <hyperlink r:id="rId611" ref="Q612"/>
    <hyperlink r:id="rId612" ref="Q613"/>
    <hyperlink r:id="rId613" ref="Q614"/>
    <hyperlink r:id="rId614" ref="Q615"/>
    <hyperlink r:id="rId615" ref="Q616"/>
    <hyperlink r:id="rId616" ref="Q617"/>
    <hyperlink r:id="rId617" ref="Q618"/>
    <hyperlink r:id="rId618" ref="Q619"/>
    <hyperlink r:id="rId619" ref="Q620"/>
    <hyperlink r:id="rId620" ref="Q621"/>
    <hyperlink r:id="rId621" ref="Q622"/>
    <hyperlink r:id="rId622" ref="Q623"/>
    <hyperlink r:id="rId623" ref="Q624"/>
    <hyperlink r:id="rId624" ref="Q625"/>
    <hyperlink r:id="rId625" ref="Q626"/>
    <hyperlink r:id="rId626" ref="Q627"/>
    <hyperlink r:id="rId627" ref="Q628"/>
    <hyperlink r:id="rId628" ref="Q629"/>
    <hyperlink r:id="rId629" ref="Q630"/>
    <hyperlink r:id="rId630" ref="Q631"/>
    <hyperlink r:id="rId631" ref="Q632"/>
    <hyperlink r:id="rId632" ref="Q633"/>
    <hyperlink r:id="rId633" ref="Q634"/>
    <hyperlink r:id="rId634" ref="Q635"/>
    <hyperlink r:id="rId635" ref="Q636"/>
    <hyperlink r:id="rId636" ref="Q637"/>
    <hyperlink r:id="rId637" ref="Q638"/>
    <hyperlink r:id="rId638" ref="Q639"/>
    <hyperlink r:id="rId639" ref="Q640"/>
    <hyperlink r:id="rId640" ref="Q641"/>
    <hyperlink r:id="rId641" ref="Q642"/>
    <hyperlink r:id="rId642" ref="Q643"/>
    <hyperlink r:id="rId643" ref="Q644"/>
    <hyperlink r:id="rId644" ref="Q645"/>
    <hyperlink r:id="rId645" ref="Q646"/>
    <hyperlink r:id="rId646" ref="Q647"/>
    <hyperlink r:id="rId647" ref="Q648"/>
    <hyperlink r:id="rId648" ref="Q649"/>
    <hyperlink r:id="rId649" ref="Q650"/>
    <hyperlink r:id="rId650" ref="Q651"/>
    <hyperlink r:id="rId651" ref="Q652"/>
    <hyperlink r:id="rId652" ref="Q653"/>
    <hyperlink r:id="rId653" ref="Q654"/>
    <hyperlink r:id="rId654" ref="Q655"/>
    <hyperlink r:id="rId655" ref="Q656"/>
    <hyperlink r:id="rId656" ref="Q657"/>
    <hyperlink r:id="rId657" ref="Q658"/>
    <hyperlink r:id="rId658" ref="Q659"/>
    <hyperlink r:id="rId659" ref="Q660"/>
    <hyperlink r:id="rId660" ref="Q661"/>
    <hyperlink r:id="rId661" ref="Q662"/>
    <hyperlink r:id="rId662" ref="Q663"/>
    <hyperlink r:id="rId663" ref="Q664"/>
    <hyperlink r:id="rId664" ref="Q665"/>
    <hyperlink r:id="rId665" ref="Q666"/>
    <hyperlink r:id="rId666" ref="Q667"/>
    <hyperlink r:id="rId667" ref="Q668"/>
    <hyperlink r:id="rId668" ref="Q669"/>
    <hyperlink r:id="rId669" ref="Q670"/>
    <hyperlink r:id="rId670" ref="Q671"/>
    <hyperlink r:id="rId671" ref="Q672"/>
    <hyperlink r:id="rId672" ref="Q673"/>
    <hyperlink r:id="rId673" ref="Q674"/>
    <hyperlink r:id="rId674" ref="Q675"/>
    <hyperlink r:id="rId675" ref="Q676"/>
    <hyperlink r:id="rId676" ref="Q677"/>
    <hyperlink r:id="rId677" ref="Q678"/>
    <hyperlink r:id="rId678" ref="Q679"/>
    <hyperlink r:id="rId679" ref="Q680"/>
    <hyperlink r:id="rId680" ref="Q681"/>
    <hyperlink r:id="rId681" ref="Q682"/>
    <hyperlink r:id="rId682" ref="Q683"/>
    <hyperlink r:id="rId683" ref="Q684"/>
    <hyperlink r:id="rId684" ref="Q685"/>
    <hyperlink r:id="rId685" ref="Q686"/>
    <hyperlink r:id="rId686" ref="Q687"/>
    <hyperlink r:id="rId687" ref="Q688"/>
    <hyperlink r:id="rId688" ref="Q689"/>
    <hyperlink r:id="rId689" ref="Q690"/>
    <hyperlink r:id="rId690" ref="Q691"/>
    <hyperlink r:id="rId691" ref="Q692"/>
    <hyperlink r:id="rId692" ref="Q693"/>
    <hyperlink r:id="rId693" ref="Q694"/>
    <hyperlink r:id="rId694" ref="Q695"/>
    <hyperlink r:id="rId695" ref="Q696"/>
    <hyperlink r:id="rId696" ref="Q697"/>
    <hyperlink r:id="rId697" ref="Q698"/>
    <hyperlink r:id="rId698" ref="Q699"/>
    <hyperlink r:id="rId699" ref="Q700"/>
    <hyperlink r:id="rId700" ref="Q701"/>
    <hyperlink r:id="rId701" ref="Q702"/>
    <hyperlink r:id="rId702" ref="Q703"/>
    <hyperlink r:id="rId703" ref="Q704"/>
    <hyperlink r:id="rId704" ref="Q705"/>
    <hyperlink r:id="rId705" ref="Q706"/>
    <hyperlink r:id="rId706" ref="Q707"/>
    <hyperlink r:id="rId707" ref="Q708"/>
    <hyperlink r:id="rId708" ref="Q709"/>
    <hyperlink r:id="rId709" ref="Q710"/>
    <hyperlink r:id="rId710" ref="Q711"/>
    <hyperlink r:id="rId711" ref="Q712"/>
    <hyperlink r:id="rId712" ref="Q713"/>
    <hyperlink r:id="rId713" ref="Q714"/>
    <hyperlink r:id="rId714" ref="Q715"/>
    <hyperlink r:id="rId715" ref="Q716"/>
    <hyperlink r:id="rId716" ref="Q717"/>
    <hyperlink r:id="rId717" ref="Q718"/>
    <hyperlink r:id="rId718" ref="Q719"/>
    <hyperlink r:id="rId719" ref="Q720"/>
    <hyperlink r:id="rId720" ref="Q721"/>
    <hyperlink r:id="rId721" ref="Q722"/>
    <hyperlink r:id="rId722" ref="Q723"/>
    <hyperlink r:id="rId723" ref="Q724"/>
    <hyperlink r:id="rId724" ref="Q725"/>
    <hyperlink r:id="rId725" ref="Q726"/>
    <hyperlink r:id="rId726" ref="Q727"/>
    <hyperlink r:id="rId727" ref="Q728"/>
    <hyperlink r:id="rId728" ref="Q729"/>
    <hyperlink r:id="rId729" ref="Q730"/>
    <hyperlink r:id="rId730" ref="Q731"/>
    <hyperlink r:id="rId731" ref="Q732"/>
    <hyperlink r:id="rId732" ref="Q733"/>
    <hyperlink r:id="rId733" ref="Q734"/>
    <hyperlink r:id="rId734" ref="Q735"/>
    <hyperlink r:id="rId735" ref="Q736"/>
    <hyperlink r:id="rId736" ref="Q737"/>
    <hyperlink r:id="rId737" ref="Q738"/>
    <hyperlink r:id="rId738" ref="Q739"/>
    <hyperlink r:id="rId739" ref="Q740"/>
    <hyperlink r:id="rId740" ref="Q741"/>
    <hyperlink r:id="rId741" ref="Q742"/>
    <hyperlink r:id="rId742" ref="Q743"/>
    <hyperlink r:id="rId743" ref="Q744"/>
    <hyperlink r:id="rId744" ref="Q745"/>
    <hyperlink r:id="rId745" ref="Q746"/>
    <hyperlink r:id="rId746" ref="Q747"/>
    <hyperlink r:id="rId747" ref="Q748"/>
    <hyperlink r:id="rId748" ref="Q749"/>
    <hyperlink r:id="rId749" ref="Q750"/>
    <hyperlink r:id="rId750" ref="Q751"/>
    <hyperlink r:id="rId751" ref="Q752"/>
    <hyperlink r:id="rId752" ref="Q753"/>
    <hyperlink r:id="rId753" ref="Q754"/>
    <hyperlink r:id="rId754" ref="Q755"/>
    <hyperlink r:id="rId755" ref="Q756"/>
    <hyperlink r:id="rId756" ref="Q757"/>
    <hyperlink r:id="rId757" ref="Q758"/>
    <hyperlink r:id="rId758" ref="Q759"/>
    <hyperlink r:id="rId759" ref="Q760"/>
    <hyperlink r:id="rId760" ref="Q761"/>
    <hyperlink r:id="rId761" ref="Q762"/>
    <hyperlink r:id="rId762" ref="Q763"/>
    <hyperlink r:id="rId763" ref="Q764"/>
    <hyperlink r:id="rId764" ref="Q765"/>
    <hyperlink r:id="rId765" ref="Q766"/>
    <hyperlink r:id="rId766" ref="Q767"/>
    <hyperlink r:id="rId767" ref="Q768"/>
    <hyperlink r:id="rId768" ref="Q769"/>
    <hyperlink r:id="rId769" ref="Q770"/>
    <hyperlink r:id="rId770" ref="Q771"/>
    <hyperlink r:id="rId771" ref="Q772"/>
    <hyperlink r:id="rId772" ref="Q773"/>
    <hyperlink r:id="rId773" ref="Q774"/>
    <hyperlink r:id="rId774" ref="Q775"/>
    <hyperlink r:id="rId775" ref="Q776"/>
    <hyperlink r:id="rId776" ref="Q777"/>
    <hyperlink r:id="rId777" ref="Q778"/>
    <hyperlink r:id="rId778" ref="Q779"/>
    <hyperlink r:id="rId779" ref="Q780"/>
    <hyperlink r:id="rId780" ref="Q781"/>
    <hyperlink r:id="rId781" ref="Q782"/>
    <hyperlink r:id="rId782" ref="Q783"/>
    <hyperlink r:id="rId783" ref="Q784"/>
    <hyperlink r:id="rId784" ref="Q785"/>
    <hyperlink r:id="rId785" ref="Q786"/>
    <hyperlink r:id="rId786" ref="Q787"/>
    <hyperlink r:id="rId787" ref="Q788"/>
    <hyperlink r:id="rId788" ref="Q789"/>
    <hyperlink r:id="rId789" ref="Q790"/>
    <hyperlink r:id="rId790" ref="Q791"/>
    <hyperlink r:id="rId791" ref="Q792"/>
    <hyperlink r:id="rId792" ref="Q793"/>
    <hyperlink r:id="rId793" ref="Q794"/>
    <hyperlink r:id="rId794" ref="Q795"/>
    <hyperlink r:id="rId795" ref="Q796"/>
    <hyperlink r:id="rId796" ref="Q797"/>
    <hyperlink r:id="rId797" ref="Q798"/>
    <hyperlink r:id="rId798" ref="Q799"/>
    <hyperlink r:id="rId799" ref="Q800"/>
    <hyperlink r:id="rId800" ref="Q801"/>
    <hyperlink r:id="rId801" ref="Q802"/>
    <hyperlink r:id="rId802" ref="Q803"/>
    <hyperlink r:id="rId803" ref="Q804"/>
    <hyperlink r:id="rId804" ref="Q805"/>
    <hyperlink r:id="rId805" ref="Q806"/>
    <hyperlink r:id="rId806" ref="Q807"/>
    <hyperlink r:id="rId807" ref="Q808"/>
    <hyperlink r:id="rId808" ref="Q809"/>
    <hyperlink r:id="rId809" ref="Q810"/>
    <hyperlink r:id="rId810" ref="Q811"/>
    <hyperlink r:id="rId811" ref="Q812"/>
    <hyperlink r:id="rId812" ref="Q813"/>
    <hyperlink r:id="rId813" ref="Q814"/>
    <hyperlink r:id="rId814" ref="Q815"/>
  </hyperlinks>
  <printOptions/>
  <pageMargins bottom="0.75" footer="0.0" header="0.0" left="0.7" right="0.7" top="0.75"/>
  <pageSetup orientation="landscape"/>
  <drawing r:id="rId8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2025-05-14T10:59:05Z</dcterms:created>
  <dc:creator>openpyxl</dc:creator>
</cp:coreProperties>
</file>